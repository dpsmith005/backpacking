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wellspan-my.sharepoint.com/personal/dsmith14_wellspan_org/Documents/Documents/GitHub/dps/AT/"/>
    </mc:Choice>
  </mc:AlternateContent>
  <xr:revisionPtr revIDLastSave="65" documentId="11_0C634D029A174C53F0972CE819298C7321EF0523" xr6:coauthVersionLast="47" xr6:coauthVersionMax="47" xr10:uidLastSave="{53E3DA45-2F27-4221-B248-431F17D1D70A}"/>
  <bookViews>
    <workbookView xWindow="945" yWindow="195" windowWidth="27210" windowHeight="15195"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 l="1"/>
  <c r="N10" i="1"/>
  <c r="H10" i="1"/>
  <c r="H13" i="1" s="1"/>
  <c r="J12" i="1" s="1"/>
  <c r="N9" i="1"/>
  <c r="J9" i="1"/>
  <c r="H9" i="1"/>
  <c r="H15" i="1" l="1"/>
  <c r="H17" i="1" s="1"/>
  <c r="H20" i="1" s="1"/>
  <c r="H21" i="1" s="1"/>
  <c r="H23" i="1" s="1"/>
  <c r="N8" i="1" l="1"/>
  <c r="N11" i="1" s="1"/>
  <c r="N12" i="1" s="1"/>
  <c r="H18" i="1"/>
</calcChain>
</file>

<file path=xl/sharedStrings.xml><?xml version="1.0" encoding="utf-8"?>
<sst xmlns="http://schemas.openxmlformats.org/spreadsheetml/2006/main" count="61" uniqueCount="53">
  <si>
    <t>CatSplat's Differential Cut Underquilt Calculator V0.2 (Beta)</t>
  </si>
  <si>
    <t>June 13th 2012</t>
  </si>
  <si>
    <t>To use this sheet, click File-&gt;Make a Copy, which will create a copy in your Google Docs/Drive account and allow you to edit it.</t>
  </si>
  <si>
    <t>Input</t>
  </si>
  <si>
    <t>Output</t>
  </si>
  <si>
    <t>Temperature Rating (Experimental!)</t>
  </si>
  <si>
    <t>For all dimensions, add your own seam/channel allowances</t>
  </si>
  <si>
    <t>Down Density</t>
  </si>
  <si>
    <t>oz/inches^3</t>
  </si>
  <si>
    <t>Length of Quilt, inches (L)</t>
  </si>
  <si>
    <t>Inner Shell Fabric Dimensions</t>
  </si>
  <si>
    <t>inches by</t>
  </si>
  <si>
    <t>inches</t>
  </si>
  <si>
    <t>Average Loft</t>
  </si>
  <si>
    <t>Width of Quilt, inches (W)</t>
  </si>
  <si>
    <t>Inner Shell Fabric Width per Baffle (IWB)</t>
  </si>
  <si>
    <t>Fill Power Correction Factor</t>
  </si>
  <si>
    <t>FP/850 (Data series based on 850FP)</t>
  </si>
  <si>
    <t>Baffle Height, inches (Hb)</t>
  </si>
  <si>
    <t>Temperature Factor</t>
  </si>
  <si>
    <t>oz/inches^2</t>
  </si>
  <si>
    <t>Maximum Chamber Height, inches (Hc)</t>
  </si>
  <si>
    <t>Outer Shell Fabric Dimensions</t>
  </si>
  <si>
    <t>Temperature Rating</t>
  </si>
  <si>
    <t>Degrees F</t>
  </si>
  <si>
    <t>Number of Baffle Chambers</t>
  </si>
  <si>
    <t>Outer Shell Fabric Width per Baffle (OWB)</t>
  </si>
  <si>
    <t>Down Fill Rating</t>
  </si>
  <si>
    <t>TF</t>
  </si>
  <si>
    <t>TR</t>
  </si>
  <si>
    <t>% Down Overstuff</t>
  </si>
  <si>
    <t>Baffle Chamber Cross-sectional Area</t>
  </si>
  <si>
    <t>inches^2</t>
  </si>
  <si>
    <t>UGQ Zeppelin 40</t>
  </si>
  <si>
    <t>(Can enter a negative value for Understuff)</t>
  </si>
  <si>
    <t>HG Incubator 40</t>
  </si>
  <si>
    <t>Volume per Baffle Chamber</t>
  </si>
  <si>
    <t>inches^3</t>
  </si>
  <si>
    <t>UGQ Zeppelin 20</t>
  </si>
  <si>
    <t>Shell Fabric Weight per yd2</t>
  </si>
  <si>
    <t>Oz. of down per chamber</t>
  </si>
  <si>
    <t>oz.</t>
  </si>
  <si>
    <t>HG Incubator 20</t>
  </si>
  <si>
    <t>Baffle Material Weight per yd2</t>
  </si>
  <si>
    <t>UGQ Zeppelin 0</t>
  </si>
  <si>
    <t>Total Chamber Volume</t>
  </si>
  <si>
    <t>HG Incubator 0</t>
  </si>
  <si>
    <t>Total Oz. of down</t>
  </si>
  <si>
    <t>Approx. Weight of Quilt, excluding suspension</t>
  </si>
  <si>
    <t>Quilt Dimension Overview</t>
  </si>
  <si>
    <t>(Experimental)</t>
  </si>
  <si>
    <t>Baffle Cross-section Detail</t>
  </si>
  <si>
    <t xml:space="preserve">
This diagram illustrates the cross-sectional view of a sample underquilt. The red section shows the fabric that is defined by the "Outer Shell Fabric Dimensions" value. The blue section shows the fabric that is defined by the "Inner Shell Fabric Dimensions" value. The thin black lines represent the baffles.  When hung, the Inner shell faces the hammock, while the Outer shell will face away from the hammock. Suspension channels (or loops for the shock cord) would be attached along the edges where the Outer shell meets the Inner shell. When hung, the UQ cross-section will look similar to this: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</si>
</sst>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8" x14ac:knownFonts="1">
    <font>
      <sz val="10"/>
      <color rgb="FF000000"/>
      <name val="Arial"/>
    </font>
    <font>
      <b/>
      <sz val="18"/>
      <color rgb="FF000000"/>
      <name val="Calibri"/>
    </font>
    <font>
      <sz val="11"/>
      <color rgb="FF000000"/>
      <name val="Calibri"/>
    </font>
    <font>
      <b/>
      <sz val="10"/>
      <color rgb="FFFF0000"/>
      <name val="Arial"/>
    </font>
    <font>
      <b/>
      <sz val="16"/>
      <color rgb="FF000000"/>
      <name val="Calibri"/>
    </font>
    <font>
      <sz val="14"/>
      <color rgb="FFFF0000"/>
      <name val="Calibri"/>
    </font>
    <font>
      <b/>
      <sz val="11"/>
      <color rgb="FF000000"/>
      <name val="Calibri"/>
    </font>
    <font>
      <sz val="10"/>
      <name val="Arial"/>
    </font>
  </fonts>
  <fills count="10">
    <fill>
      <patternFill patternType="none"/>
    </fill>
    <fill>
      <patternFill patternType="gray125"/>
    </fill>
    <fill>
      <patternFill patternType="solid">
        <fgColor rgb="FFA5B6CB"/>
        <bgColor rgb="FFA5B6CB"/>
      </patternFill>
    </fill>
    <fill>
      <patternFill patternType="solid">
        <fgColor rgb="FF93CDDD"/>
        <bgColor rgb="FF93CDDD"/>
      </patternFill>
    </fill>
    <fill>
      <patternFill patternType="solid">
        <fgColor rgb="FFF79646"/>
        <bgColor rgb="FFF79646"/>
      </patternFill>
    </fill>
    <fill>
      <patternFill patternType="solid">
        <fgColor rgb="FFC3D69B"/>
        <bgColor rgb="FFC3D69B"/>
      </patternFill>
    </fill>
    <fill>
      <patternFill patternType="solid">
        <fgColor rgb="FFFFC000"/>
        <bgColor rgb="FFFFC000"/>
      </patternFill>
    </fill>
    <fill>
      <patternFill patternType="solid">
        <fgColor rgb="FFD6D4CB"/>
        <bgColor rgb="FFD6D4CB"/>
      </patternFill>
    </fill>
    <fill>
      <patternFill patternType="solid">
        <fgColor rgb="FFB3B1A9"/>
        <bgColor rgb="FFB3B1A9"/>
      </patternFill>
    </fill>
    <fill>
      <patternFill patternType="solid">
        <fgColor rgb="FFF2DCDB"/>
        <bgColor rgb="FFF2DCDB"/>
      </patternFill>
    </fill>
  </fills>
  <borders count="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s>
  <cellStyleXfs count="1">
    <xf numFmtId="0" fontId="0" fillId="0" borderId="0"/>
  </cellStyleXfs>
  <cellXfs count="37">
    <xf numFmtId="0" fontId="0" fillId="0" borderId="0" xfId="0" applyFont="1" applyAlignment="1">
      <alignment wrapText="1"/>
    </xf>
    <xf numFmtId="0" fontId="2" fillId="0" borderId="0" xfId="0" applyFont="1" applyAlignment="1"/>
    <xf numFmtId="0" fontId="4" fillId="0" borderId="0" xfId="0" applyFont="1" applyAlignment="1">
      <alignment horizontal="center"/>
    </xf>
    <xf numFmtId="0" fontId="6" fillId="0" borderId="0" xfId="0" applyFont="1" applyAlignment="1">
      <alignment horizontal="center"/>
    </xf>
    <xf numFmtId="0" fontId="7" fillId="0" borderId="1" xfId="0" applyFont="1" applyBorder="1" applyAlignment="1">
      <alignment wrapText="1"/>
    </xf>
    <xf numFmtId="164" fontId="2" fillId="0" borderId="0" xfId="0" applyNumberFormat="1" applyFont="1" applyAlignment="1"/>
    <xf numFmtId="0" fontId="2" fillId="0" borderId="2" xfId="0" applyFont="1" applyBorder="1" applyAlignment="1"/>
    <xf numFmtId="0" fontId="2" fillId="2" borderId="3" xfId="0" applyFont="1" applyFill="1" applyBorder="1" applyAlignment="1"/>
    <xf numFmtId="0" fontId="7" fillId="0" borderId="4" xfId="0" applyFont="1" applyBorder="1" applyAlignment="1">
      <alignment wrapText="1"/>
    </xf>
    <xf numFmtId="0" fontId="2" fillId="3" borderId="0" xfId="0" applyFont="1" applyFill="1" applyAlignment="1"/>
    <xf numFmtId="0" fontId="2" fillId="2" borderId="3" xfId="0" applyFont="1" applyFill="1" applyBorder="1" applyAlignment="1"/>
    <xf numFmtId="4" fontId="2" fillId="4" borderId="0" xfId="0" applyNumberFormat="1" applyFont="1" applyFill="1" applyAlignment="1"/>
    <xf numFmtId="0" fontId="2" fillId="5" borderId="3" xfId="0" applyFont="1" applyFill="1" applyBorder="1" applyAlignment="1"/>
    <xf numFmtId="0" fontId="2" fillId="5" borderId="3" xfId="0" applyFont="1" applyFill="1" applyBorder="1" applyAlignment="1"/>
    <xf numFmtId="4" fontId="2" fillId="3" borderId="0" xfId="0" applyNumberFormat="1" applyFont="1" applyFill="1" applyAlignment="1"/>
    <xf numFmtId="3" fontId="2" fillId="6" borderId="0" xfId="0" applyNumberFormat="1" applyFont="1" applyFill="1" applyAlignment="1"/>
    <xf numFmtId="0" fontId="2" fillId="7" borderId="3" xfId="0" applyFont="1" applyFill="1" applyBorder="1" applyAlignment="1"/>
    <xf numFmtId="0" fontId="2" fillId="0" borderId="0" xfId="0" applyFont="1" applyAlignment="1">
      <alignment horizontal="center"/>
    </xf>
    <xf numFmtId="0" fontId="2" fillId="0" borderId="0" xfId="0" applyFont="1" applyAlignment="1">
      <alignment horizontal="left"/>
    </xf>
    <xf numFmtId="9" fontId="2" fillId="7" borderId="3" xfId="0" applyNumberFormat="1" applyFont="1" applyFill="1" applyBorder="1" applyAlignment="1"/>
    <xf numFmtId="4" fontId="2" fillId="0" borderId="0" xfId="0" applyNumberFormat="1" applyFont="1" applyAlignment="1"/>
    <xf numFmtId="0" fontId="2" fillId="0" borderId="0" xfId="0" applyFont="1" applyAlignment="1">
      <alignment horizontal="right"/>
    </xf>
    <xf numFmtId="164" fontId="2" fillId="0" borderId="0" xfId="0" applyNumberFormat="1" applyFont="1" applyAlignment="1">
      <alignment horizontal="center"/>
    </xf>
    <xf numFmtId="0" fontId="7" fillId="0" borderId="5" xfId="0" applyFont="1" applyBorder="1" applyAlignment="1">
      <alignment wrapText="1"/>
    </xf>
    <xf numFmtId="0" fontId="2" fillId="7" borderId="3" xfId="0" applyFont="1" applyFill="1" applyBorder="1" applyAlignment="1"/>
    <xf numFmtId="4" fontId="2" fillId="8" borderId="0" xfId="0" applyNumberFormat="1" applyFont="1" applyFill="1" applyAlignment="1"/>
    <xf numFmtId="4" fontId="7" fillId="0" borderId="0" xfId="0" applyNumberFormat="1" applyFont="1" applyAlignment="1">
      <alignment wrapText="1"/>
    </xf>
    <xf numFmtId="3" fontId="2" fillId="0" borderId="0" xfId="0" applyNumberFormat="1" applyFont="1" applyAlignment="1"/>
    <xf numFmtId="4" fontId="2" fillId="9" borderId="0" xfId="0" applyNumberFormat="1" applyFont="1" applyFill="1" applyAlignment="1"/>
    <xf numFmtId="0" fontId="6" fillId="0" borderId="0" xfId="0" applyFont="1" applyAlignment="1"/>
    <xf numFmtId="0" fontId="1" fillId="0" borderId="0" xfId="0" applyFont="1" applyAlignment="1"/>
    <xf numFmtId="0" fontId="0" fillId="0" borderId="0" xfId="0" applyFont="1" applyAlignment="1">
      <alignment wrapText="1"/>
    </xf>
    <xf numFmtId="0" fontId="5" fillId="0" borderId="0" xfId="0" applyFont="1" applyAlignment="1"/>
    <xf numFmtId="0" fontId="6" fillId="0" borderId="0" xfId="0" applyFont="1" applyAlignment="1">
      <alignment horizontal="center"/>
    </xf>
    <xf numFmtId="0" fontId="7" fillId="0" borderId="0" xfId="0" applyFont="1" applyAlignment="1">
      <alignment wrapText="1"/>
    </xf>
    <xf numFmtId="0" fontId="3" fillId="0" borderId="0" xfId="0" applyFont="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gif"/></Relationships>
</file>

<file path=xl/drawings/drawing1.xml><?xml version="1.0" encoding="utf-8"?>
<xdr:wsDr xmlns:xdr="http://schemas.openxmlformats.org/drawingml/2006/spreadsheetDrawing" xmlns:a="http://schemas.openxmlformats.org/drawingml/2006/main">
  <xdr:oneCellAnchor>
    <xdr:from>
      <xdr:col>1</xdr:col>
      <xdr:colOff>152400</xdr:colOff>
      <xdr:row>24</xdr:row>
      <xdr:rowOff>152400</xdr:rowOff>
    </xdr:from>
    <xdr:ext cx="2038350" cy="30480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2000250</xdr:colOff>
      <xdr:row>27</xdr:row>
      <xdr:rowOff>28575</xdr:rowOff>
    </xdr:from>
    <xdr:ext cx="2266950" cy="2114550"/>
    <xdr:pic>
      <xdr:nvPicPr>
        <xdr:cNvPr id="3" name="image4.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2295525" y="5543550"/>
          <a:ext cx="2266950" cy="2114550"/>
        </a:xfrm>
        <a:prstGeom prst="rect">
          <a:avLst/>
        </a:prstGeom>
        <a:noFill/>
      </xdr:spPr>
    </xdr:pic>
    <xdr:clientData fLocksWithSheet="0"/>
  </xdr:oneCellAnchor>
  <xdr:oneCellAnchor>
    <xdr:from>
      <xdr:col>6</xdr:col>
      <xdr:colOff>371475</xdr:colOff>
      <xdr:row>26</xdr:row>
      <xdr:rowOff>381000</xdr:rowOff>
    </xdr:from>
    <xdr:ext cx="7143750" cy="952500"/>
    <xdr:pic>
      <xdr:nvPicPr>
        <xdr:cNvPr id="4" name="image2.gif">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1485900</xdr:colOff>
      <xdr:row>34</xdr:row>
      <xdr:rowOff>342900</xdr:rowOff>
    </xdr:from>
    <xdr:ext cx="5029200" cy="2905125"/>
    <xdr:pic>
      <xdr:nvPicPr>
        <xdr:cNvPr id="5" name="image3.gif">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133350</xdr:colOff>
      <xdr:row>5</xdr:row>
      <xdr:rowOff>371475</xdr:rowOff>
    </xdr:from>
    <xdr:ext cx="5838825" cy="3724275"/>
    <xdr:pic>
      <xdr:nvPicPr>
        <xdr:cNvPr id="6" name="image5.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O67"/>
  <sheetViews>
    <sheetView tabSelected="1" topLeftCell="A5" workbookViewId="0">
      <selection activeCell="C10" sqref="C10"/>
    </sheetView>
  </sheetViews>
  <sheetFormatPr defaultColWidth="12.5703125" defaultRowHeight="12.75" customHeight="1" x14ac:dyDescent="0.2"/>
  <cols>
    <col min="1" max="1" width="4.42578125" customWidth="1"/>
    <col min="2" max="2" width="39" customWidth="1"/>
    <col min="3" max="3" width="11.140625" customWidth="1"/>
    <col min="4" max="5" width="8.140625" customWidth="1"/>
    <col min="6" max="6" width="7.42578125" customWidth="1"/>
    <col min="7" max="7" width="41.140625" customWidth="1"/>
    <col min="8" max="8" width="9.140625" customWidth="1"/>
    <col min="9" max="9" width="9.28515625" customWidth="1"/>
    <col min="10" max="10" width="6" customWidth="1"/>
    <col min="11" max="12" width="8.140625" customWidth="1"/>
    <col min="13" max="13" width="29.7109375" customWidth="1"/>
    <col min="14" max="14" width="8" customWidth="1"/>
    <col min="15" max="15" width="30" customWidth="1"/>
    <col min="16" max="16" width="85.7109375" customWidth="1"/>
  </cols>
  <sheetData>
    <row r="1" spans="2:15" ht="15" customHeight="1" x14ac:dyDescent="0.2"/>
    <row r="2" spans="2:15" ht="23.25" customHeight="1" x14ac:dyDescent="0.35">
      <c r="B2" s="30" t="s">
        <v>0</v>
      </c>
      <c r="C2" s="31"/>
      <c r="D2" s="31"/>
      <c r="E2" s="31"/>
      <c r="F2" s="31"/>
      <c r="G2" s="31"/>
    </row>
    <row r="3" spans="2:15" ht="15" customHeight="1" x14ac:dyDescent="0.25">
      <c r="B3" s="1" t="s">
        <v>1</v>
      </c>
    </row>
    <row r="4" spans="2:15" ht="14.25" customHeight="1" x14ac:dyDescent="0.2">
      <c r="B4" s="35" t="s">
        <v>2</v>
      </c>
      <c r="C4" s="36"/>
      <c r="D4" s="36"/>
      <c r="E4" s="36"/>
      <c r="F4" s="36"/>
      <c r="G4" s="36"/>
    </row>
    <row r="5" spans="2:15" ht="15" customHeight="1" x14ac:dyDescent="0.2"/>
    <row r="6" spans="2:15" ht="21" customHeight="1" x14ac:dyDescent="0.35">
      <c r="B6" s="2" t="s">
        <v>3</v>
      </c>
      <c r="G6" s="2" t="s">
        <v>4</v>
      </c>
      <c r="M6" s="32" t="s">
        <v>5</v>
      </c>
      <c r="N6" s="31"/>
    </row>
    <row r="7" spans="2:15" ht="15" customHeight="1" x14ac:dyDescent="0.25">
      <c r="F7" s="33" t="s">
        <v>6</v>
      </c>
      <c r="G7" s="31"/>
      <c r="H7" s="31"/>
      <c r="I7" s="31"/>
    </row>
    <row r="8" spans="2:15" ht="17.25" customHeight="1" x14ac:dyDescent="0.25">
      <c r="C8" s="4"/>
      <c r="M8" s="1" t="s">
        <v>7</v>
      </c>
      <c r="N8" s="5">
        <f>H21/H20</f>
        <v>1.3750000000000004E-3</v>
      </c>
      <c r="O8" s="1" t="s">
        <v>8</v>
      </c>
    </row>
    <row r="9" spans="2:15" ht="15" customHeight="1" x14ac:dyDescent="0.25">
      <c r="B9" s="6" t="s">
        <v>9</v>
      </c>
      <c r="C9" s="7">
        <v>78</v>
      </c>
      <c r="D9" s="8"/>
      <c r="G9" s="1" t="s">
        <v>10</v>
      </c>
      <c r="H9" s="9">
        <f>C9</f>
        <v>78</v>
      </c>
      <c r="I9" s="1" t="s">
        <v>11</v>
      </c>
      <c r="J9" s="9">
        <f>C10</f>
        <v>48</v>
      </c>
      <c r="K9" s="1" t="s">
        <v>12</v>
      </c>
      <c r="M9" s="1" t="s">
        <v>13</v>
      </c>
      <c r="N9" s="5">
        <f>(C12+C11)/2</f>
        <v>2.25</v>
      </c>
      <c r="O9" s="1" t="s">
        <v>12</v>
      </c>
    </row>
    <row r="10" spans="2:15" ht="15" customHeight="1" x14ac:dyDescent="0.25">
      <c r="B10" s="6" t="s">
        <v>14</v>
      </c>
      <c r="C10" s="10">
        <v>48</v>
      </c>
      <c r="D10" s="8"/>
      <c r="G10" s="1" t="s">
        <v>15</v>
      </c>
      <c r="H10" s="11">
        <f>C10/C13</f>
        <v>4.8</v>
      </c>
      <c r="I10" s="1" t="s">
        <v>12</v>
      </c>
      <c r="M10" s="1" t="s">
        <v>16</v>
      </c>
      <c r="N10" s="5">
        <f>(C14/850)</f>
        <v>0.94117647058823528</v>
      </c>
      <c r="O10" s="1" t="s">
        <v>17</v>
      </c>
    </row>
    <row r="11" spans="2:15" ht="17.25" customHeight="1" x14ac:dyDescent="0.25">
      <c r="B11" s="6" t="s">
        <v>18</v>
      </c>
      <c r="C11" s="12">
        <v>2</v>
      </c>
      <c r="D11" s="8"/>
      <c r="M11" s="1" t="s">
        <v>19</v>
      </c>
      <c r="N11" s="5">
        <f>N8*N9*N10</f>
        <v>2.9117647058823537E-3</v>
      </c>
      <c r="O11" s="1" t="s">
        <v>20</v>
      </c>
    </row>
    <row r="12" spans="2:15" ht="15" customHeight="1" x14ac:dyDescent="0.25">
      <c r="B12" s="6" t="s">
        <v>21</v>
      </c>
      <c r="C12" s="13">
        <v>2.5</v>
      </c>
      <c r="D12" s="8"/>
      <c r="G12" s="1" t="s">
        <v>22</v>
      </c>
      <c r="H12" s="9">
        <f>C9</f>
        <v>78</v>
      </c>
      <c r="I12" s="1" t="s">
        <v>11</v>
      </c>
      <c r="J12" s="14">
        <f>H13*C13+(C11*2)</f>
        <v>58.459307033117419</v>
      </c>
      <c r="K12" s="1" t="s">
        <v>12</v>
      </c>
      <c r="M12" s="1" t="s">
        <v>23</v>
      </c>
      <c r="N12" s="15">
        <f>-17389.0897965567*N11+69.1893383835</f>
        <v>18.556400446467251</v>
      </c>
      <c r="O12" s="1" t="s">
        <v>24</v>
      </c>
    </row>
    <row r="13" spans="2:15" ht="15" customHeight="1" x14ac:dyDescent="0.25">
      <c r="B13" s="6" t="s">
        <v>25</v>
      </c>
      <c r="C13" s="16">
        <v>10</v>
      </c>
      <c r="D13" s="8"/>
      <c r="G13" s="1" t="s">
        <v>26</v>
      </c>
      <c r="H13" s="11">
        <f>(SQRT(((H10/2)^2+(C12-C11)^2)*2)/2)*PI()</f>
        <v>5.4459307033117419</v>
      </c>
      <c r="I13" s="1" t="s">
        <v>12</v>
      </c>
    </row>
    <row r="14" spans="2:15" ht="15" customHeight="1" x14ac:dyDescent="0.25">
      <c r="B14" s="6" t="s">
        <v>27</v>
      </c>
      <c r="C14" s="16">
        <v>800</v>
      </c>
      <c r="D14" s="8"/>
      <c r="N14" s="17" t="s">
        <v>28</v>
      </c>
      <c r="O14" s="18" t="s">
        <v>29</v>
      </c>
    </row>
    <row r="15" spans="2:15" ht="17.25" customHeight="1" x14ac:dyDescent="0.25">
      <c r="B15" s="6" t="s">
        <v>30</v>
      </c>
      <c r="C15" s="19">
        <v>0.1</v>
      </c>
      <c r="D15" s="8"/>
      <c r="G15" s="1" t="s">
        <v>31</v>
      </c>
      <c r="H15" s="20">
        <f>(PI()*H10*(C12-C11)*2/4)/2+(C11*H10)</f>
        <v>11.484955592153876</v>
      </c>
      <c r="I15" s="1" t="s">
        <v>32</v>
      </c>
      <c r="M15" s="21" t="s">
        <v>33</v>
      </c>
      <c r="N15" s="22">
        <v>1.8132075754459999E-3</v>
      </c>
      <c r="O15" s="18">
        <v>40</v>
      </c>
    </row>
    <row r="16" spans="2:15" ht="15" customHeight="1" x14ac:dyDescent="0.25">
      <c r="B16" s="1" t="s">
        <v>34</v>
      </c>
      <c r="C16" s="23"/>
      <c r="M16" s="21" t="s">
        <v>35</v>
      </c>
      <c r="N16" s="22">
        <v>1.6972701621560001E-3</v>
      </c>
      <c r="O16" s="18">
        <v>37.5</v>
      </c>
    </row>
    <row r="17" spans="2:15" ht="17.25" customHeight="1" x14ac:dyDescent="0.25">
      <c r="C17" s="4"/>
      <c r="G17" s="1" t="s">
        <v>36</v>
      </c>
      <c r="H17" s="20">
        <f>H15*C9</f>
        <v>895.82653618800225</v>
      </c>
      <c r="I17" s="1" t="s">
        <v>37</v>
      </c>
      <c r="M17" s="21" t="s">
        <v>38</v>
      </c>
      <c r="N17" s="22">
        <v>2.8546125094480001E-3</v>
      </c>
      <c r="O17" s="18">
        <v>20</v>
      </c>
    </row>
    <row r="18" spans="2:15" ht="17.25" customHeight="1" x14ac:dyDescent="0.25">
      <c r="B18" s="6" t="s">
        <v>39</v>
      </c>
      <c r="C18" s="24">
        <v>0.9</v>
      </c>
      <c r="D18" s="8"/>
      <c r="G18" s="1" t="s">
        <v>40</v>
      </c>
      <c r="H18" s="25">
        <f>H21/C13</f>
        <v>1.2317614872585034</v>
      </c>
      <c r="I18" s="1" t="s">
        <v>41</v>
      </c>
      <c r="M18" s="21" t="s">
        <v>42</v>
      </c>
      <c r="N18" s="22">
        <v>2.9967017335619998E-3</v>
      </c>
      <c r="O18" s="18">
        <v>17.5</v>
      </c>
    </row>
    <row r="19" spans="2:15" ht="17.25" customHeight="1" x14ac:dyDescent="0.25">
      <c r="B19" s="6" t="s">
        <v>43</v>
      </c>
      <c r="C19" s="24">
        <v>0.67</v>
      </c>
      <c r="D19" s="8"/>
      <c r="H19" s="26"/>
      <c r="M19" s="21" t="s">
        <v>44</v>
      </c>
      <c r="N19" s="22">
        <v>3.8061500125979998E-3</v>
      </c>
      <c r="O19" s="18">
        <v>0</v>
      </c>
    </row>
    <row r="20" spans="2:15" ht="17.25" customHeight="1" x14ac:dyDescent="0.25">
      <c r="C20" s="23"/>
      <c r="G20" s="1" t="s">
        <v>45</v>
      </c>
      <c r="H20" s="27">
        <f>H17*C13</f>
        <v>8958.2653618800232</v>
      </c>
      <c r="I20" s="1" t="s">
        <v>37</v>
      </c>
      <c r="M20" s="21" t="s">
        <v>46</v>
      </c>
      <c r="N20" s="22">
        <v>4.2358458899919996E-3</v>
      </c>
      <c r="O20" s="18">
        <v>-2.5</v>
      </c>
    </row>
    <row r="21" spans="2:15" ht="15" customHeight="1" x14ac:dyDescent="0.25">
      <c r="G21" s="1" t="s">
        <v>47</v>
      </c>
      <c r="H21" s="25">
        <f>(H20/C14)*(1+C15)</f>
        <v>12.317614872585034</v>
      </c>
      <c r="I21" s="1" t="s">
        <v>41</v>
      </c>
    </row>
    <row r="22" spans="2:15" ht="15" customHeight="1" x14ac:dyDescent="0.2">
      <c r="H22" s="26"/>
    </row>
    <row r="23" spans="2:15" ht="15" customHeight="1" x14ac:dyDescent="0.25">
      <c r="G23" s="1" t="s">
        <v>48</v>
      </c>
      <c r="H23" s="28">
        <f>((H9*J9)+(H12*J12))*C18*0.000771604938*1.15+H21+(C11*C9*(C13-1))*0.000771604938*C19*1.15</f>
        <v>19.783850870561523</v>
      </c>
      <c r="I23" s="1" t="s">
        <v>41</v>
      </c>
    </row>
    <row r="24" spans="2:15" ht="15" customHeight="1" x14ac:dyDescent="0.25">
      <c r="B24" s="3" t="s">
        <v>49</v>
      </c>
      <c r="G24" s="1" t="s">
        <v>50</v>
      </c>
    </row>
    <row r="25" spans="2:15" ht="15" customHeight="1" x14ac:dyDescent="0.2"/>
    <row r="26" spans="2:15" ht="15" customHeight="1" x14ac:dyDescent="0.2"/>
    <row r="27" spans="2:15" ht="15" customHeight="1" x14ac:dyDescent="0.25">
      <c r="C27" s="33" t="s">
        <v>51</v>
      </c>
      <c r="D27" s="31"/>
      <c r="E27" s="31"/>
    </row>
    <row r="28" spans="2:15" ht="15" customHeight="1" x14ac:dyDescent="0.25">
      <c r="D28" s="29"/>
    </row>
    <row r="29" spans="2:15" ht="15" customHeight="1" x14ac:dyDescent="0.25">
      <c r="D29" s="29"/>
    </row>
    <row r="30" spans="2:15" ht="15" customHeight="1" x14ac:dyDescent="0.25">
      <c r="D30" s="29"/>
    </row>
    <row r="31" spans="2:15" ht="15" customHeight="1" x14ac:dyDescent="0.25">
      <c r="D31" s="29"/>
    </row>
    <row r="32" spans="2:15" ht="24.75" customHeight="1" x14ac:dyDescent="0.25">
      <c r="D32" s="29"/>
    </row>
    <row r="33" spans="4:13" ht="18.75" customHeight="1" x14ac:dyDescent="0.25">
      <c r="D33" s="29"/>
    </row>
    <row r="34" spans="4:13" ht="14.25" customHeight="1" x14ac:dyDescent="0.25">
      <c r="D34" s="29"/>
      <c r="G34" s="34" t="s">
        <v>52</v>
      </c>
      <c r="H34" s="31"/>
      <c r="I34" s="31"/>
      <c r="J34" s="31"/>
      <c r="K34" s="31"/>
      <c r="L34" s="31"/>
      <c r="M34" s="31"/>
    </row>
    <row r="35" spans="4:13" ht="15" customHeight="1" x14ac:dyDescent="0.25">
      <c r="D35" s="29"/>
    </row>
    <row r="36" spans="4:13" ht="15" customHeight="1" x14ac:dyDescent="0.25">
      <c r="D36" s="29"/>
    </row>
    <row r="37" spans="4:13" ht="15" customHeight="1" x14ac:dyDescent="0.25">
      <c r="D37" s="29"/>
    </row>
    <row r="38" spans="4:13" ht="15" customHeight="1" x14ac:dyDescent="0.25">
      <c r="D38" s="29"/>
    </row>
    <row r="39" spans="4:13" ht="15" customHeight="1" x14ac:dyDescent="0.25">
      <c r="D39" s="29"/>
    </row>
    <row r="40" spans="4:13" ht="15" customHeight="1" x14ac:dyDescent="0.25">
      <c r="D40" s="29"/>
    </row>
    <row r="41" spans="4:13" ht="15" customHeight="1" x14ac:dyDescent="0.25">
      <c r="D41" s="29"/>
    </row>
    <row r="42" spans="4:13" ht="15" customHeight="1" x14ac:dyDescent="0.25">
      <c r="D42" s="29"/>
    </row>
    <row r="43" spans="4:13" ht="15" customHeight="1" x14ac:dyDescent="0.25">
      <c r="D43" s="29"/>
    </row>
    <row r="44" spans="4:13" ht="15" customHeight="1" x14ac:dyDescent="0.25">
      <c r="D44" s="29"/>
    </row>
    <row r="45" spans="4:13" ht="15" customHeight="1" x14ac:dyDescent="0.25">
      <c r="D45" s="29"/>
    </row>
    <row r="46" spans="4:13" ht="15" customHeight="1" x14ac:dyDescent="0.25">
      <c r="D46" s="29"/>
    </row>
    <row r="47" spans="4:13" ht="15" customHeight="1" x14ac:dyDescent="0.25">
      <c r="D47" s="29"/>
    </row>
    <row r="48" spans="4:13" ht="15" customHeight="1" x14ac:dyDescent="0.25">
      <c r="D48" s="29"/>
    </row>
    <row r="49" spans="4:4" ht="15" customHeight="1" x14ac:dyDescent="0.25">
      <c r="D49" s="29"/>
    </row>
    <row r="50" spans="4:4" ht="15" customHeight="1" x14ac:dyDescent="0.25">
      <c r="D50" s="29"/>
    </row>
    <row r="51" spans="4:4" ht="15" customHeight="1" x14ac:dyDescent="0.25">
      <c r="D51" s="29"/>
    </row>
    <row r="52" spans="4:4" ht="15" customHeight="1" x14ac:dyDescent="0.25">
      <c r="D52" s="29"/>
    </row>
    <row r="53" spans="4:4" ht="15" customHeight="1" x14ac:dyDescent="0.25">
      <c r="D53" s="29"/>
    </row>
    <row r="54" spans="4:4" ht="15" customHeight="1" x14ac:dyDescent="0.25">
      <c r="D54" s="29"/>
    </row>
    <row r="55" spans="4:4" ht="15" customHeight="1" x14ac:dyDescent="0.25">
      <c r="D55" s="29"/>
    </row>
    <row r="56" spans="4:4" ht="15" customHeight="1" x14ac:dyDescent="0.25">
      <c r="D56" s="29"/>
    </row>
    <row r="57" spans="4:4" ht="15" customHeight="1" x14ac:dyDescent="0.25">
      <c r="D57" s="29"/>
    </row>
    <row r="58" spans="4:4" ht="15" customHeight="1" x14ac:dyDescent="0.25">
      <c r="D58" s="29"/>
    </row>
    <row r="59" spans="4:4" ht="15" customHeight="1" x14ac:dyDescent="0.25">
      <c r="D59" s="29"/>
    </row>
    <row r="60" spans="4:4" ht="15" customHeight="1" x14ac:dyDescent="0.25">
      <c r="D60" s="29"/>
    </row>
    <row r="61" spans="4:4" ht="15" customHeight="1" x14ac:dyDescent="0.25">
      <c r="D61" s="29"/>
    </row>
    <row r="62" spans="4:4" ht="15" customHeight="1" x14ac:dyDescent="0.25">
      <c r="D62" s="29"/>
    </row>
    <row r="63" spans="4:4" ht="15" customHeight="1" x14ac:dyDescent="0.25">
      <c r="D63" s="29"/>
    </row>
    <row r="64" spans="4:4" ht="15" customHeight="1" x14ac:dyDescent="0.25">
      <c r="D64" s="29"/>
    </row>
    <row r="65" spans="4:4" ht="15" customHeight="1" x14ac:dyDescent="0.25">
      <c r="D65" s="29"/>
    </row>
    <row r="66" spans="4:4" ht="15" customHeight="1" x14ac:dyDescent="0.25">
      <c r="D66" s="29"/>
    </row>
    <row r="67" spans="4:4" ht="15" customHeight="1" x14ac:dyDescent="0.25">
      <c r="D67" s="29"/>
    </row>
  </sheetData>
  <mergeCells count="5">
    <mergeCell ref="G34:M34"/>
    <mergeCell ref="B2:G2"/>
    <mergeCell ref="M6:N6"/>
    <mergeCell ref="F7:I7"/>
    <mergeCell ref="C27:E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0"/>
  <sheetViews>
    <sheetView workbookViewId="0"/>
  </sheetViews>
  <sheetFormatPr defaultColWidth="12.5703125" defaultRowHeight="12.75" customHeight="1" x14ac:dyDescent="0.2"/>
  <cols>
    <col min="1" max="6" width="8.140625" customWidth="1"/>
  </cols>
  <sheetData>
    <row r="1" ht="15" customHeight="1" x14ac:dyDescent="0.2"/>
    <row r="2" ht="15" customHeight="1" x14ac:dyDescent="0.2"/>
    <row r="3" ht="15" customHeight="1" x14ac:dyDescent="0.2"/>
    <row r="4" ht="15" customHeight="1" x14ac:dyDescent="0.2"/>
    <row r="5" ht="15" customHeight="1" x14ac:dyDescent="0.2"/>
    <row r="6" ht="15" customHeight="1" x14ac:dyDescent="0.2"/>
    <row r="7" ht="15" customHeight="1" x14ac:dyDescent="0.2"/>
    <row r="8" ht="15" customHeight="1" x14ac:dyDescent="0.2"/>
    <row r="9" ht="15" customHeight="1" x14ac:dyDescent="0.2"/>
    <row r="10" ht="15" customHeight="1" x14ac:dyDescent="0.2"/>
    <row r="11" ht="15" customHeight="1" x14ac:dyDescent="0.2"/>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20"/>
  <sheetViews>
    <sheetView workbookViewId="0"/>
  </sheetViews>
  <sheetFormatPr defaultColWidth="12.5703125" defaultRowHeight="12.75" customHeight="1" x14ac:dyDescent="0.2"/>
  <cols>
    <col min="1" max="6" width="8.140625" customWidth="1"/>
  </cols>
  <sheetData>
    <row r="1" ht="15" customHeight="1" x14ac:dyDescent="0.2"/>
    <row r="2" ht="15" customHeight="1" x14ac:dyDescent="0.2"/>
    <row r="3" ht="15" customHeight="1" x14ac:dyDescent="0.2"/>
    <row r="4" ht="15" customHeight="1" x14ac:dyDescent="0.2"/>
    <row r="5" ht="15" customHeight="1" x14ac:dyDescent="0.2"/>
    <row r="6" ht="15" customHeight="1" x14ac:dyDescent="0.2"/>
    <row r="7" ht="15" customHeight="1" x14ac:dyDescent="0.2"/>
    <row r="8" ht="15" customHeight="1" x14ac:dyDescent="0.2"/>
    <row r="9" ht="15" customHeight="1" x14ac:dyDescent="0.2"/>
    <row r="10" ht="15" customHeight="1" x14ac:dyDescent="0.2"/>
    <row r="11" ht="15" customHeight="1" x14ac:dyDescent="0.2"/>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Smith, David P</cp:lastModifiedBy>
  <dcterms:modified xsi:type="dcterms:W3CDTF">2025-03-14T15:46:10Z</dcterms:modified>
</cp:coreProperties>
</file>