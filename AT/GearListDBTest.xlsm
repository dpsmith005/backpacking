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ellspan-my.sharepoint.com/personal/dsmith14_wellspan_org/Documents/Documents/GitHub/dps/AT/"/>
    </mc:Choice>
  </mc:AlternateContent>
  <xr:revisionPtr revIDLastSave="775" documentId="8_{6BE3D2DC-ED38-46E0-BF4B-6E8F536191DD}" xr6:coauthVersionLast="47" xr6:coauthVersionMax="47" xr10:uidLastSave="{A944C0A2-3CD5-4998-8B48-0ED8B20C2E10}"/>
  <bookViews>
    <workbookView xWindow="6225" yWindow="180" windowWidth="21600" windowHeight="14250" tabRatio="794" activeTab="1" xr2:uid="{68AAFF99-797A-4764-8C30-A0E86570531C}"/>
  </bookViews>
  <sheets>
    <sheet name="Menu" sheetId="27" r:id="rId1"/>
    <sheet name="GearListAll" sheetId="28" r:id="rId2"/>
    <sheet name="SingleSheet" sheetId="7" r:id="rId3"/>
    <sheet name="SingleColumn" sheetId="8" r:id="rId4"/>
    <sheet name="GearCombos" sheetId="9" r:id="rId5"/>
    <sheet name="Pack" sheetId="10" r:id="rId6"/>
    <sheet name="Shelter" sheetId="11" r:id="rId7"/>
    <sheet name="SleepingGear" sheetId="12" r:id="rId8"/>
    <sheet name="SleepingClothes" sheetId="13" r:id="rId9"/>
    <sheet name="RainGear" sheetId="15" r:id="rId10"/>
    <sheet name="Kitchen" sheetId="16" r:id="rId11"/>
    <sheet name="Hygiene" sheetId="17" r:id="rId12"/>
    <sheet name="Navigation" sheetId="18" r:id="rId13"/>
    <sheet name="FirstAid" sheetId="19" r:id="rId14"/>
    <sheet name="Repair" sheetId="20" r:id="rId15"/>
    <sheet name="Misc" sheetId="21" r:id="rId16"/>
    <sheet name="ClothingPacked" sheetId="22" r:id="rId17"/>
    <sheet name="Consumables" sheetId="23" r:id="rId18"/>
    <sheet name="ClothingWorn" sheetId="24" r:id="rId19"/>
  </sheets>
  <definedNames>
    <definedName name="_xleta.TRANSPOSE" hidden="1" xlm="1">#NAME?</definedName>
    <definedName name="_xlpm.ainGear0" hidden="1" xlm="1">#NAME?</definedName>
    <definedName name="_xlpm.ar0" hidden="1" xlm="1">#NAME?</definedName>
    <definedName name="_xlpm.C0" hidden="1" xlm="1">#NAME?</definedName>
    <definedName name="_xlpm.Cl0" hidden="1" xlm="1">#NAME?</definedName>
    <definedName name="_xlpm.ClMisc0" hidden="1" xlm="1">#NAME?</definedName>
    <definedName name="_xlpm.Clo0" hidden="1" xlm="1">#NAME?</definedName>
    <definedName name="_xlpm.CloMisc0" hidden="1" xlm="1">#NAME?</definedName>
    <definedName name="_xlpm.Clot0" hidden="1" xlm="1">#NAME?</definedName>
    <definedName name="_xlpm.Cloth0" hidden="1" xlm="1">#NAME?</definedName>
    <definedName name="_xlpm.Clothi0" hidden="1" xlm="1">#NAME?</definedName>
    <definedName name="_xlpm.ClothiMisc0" hidden="1" xlm="1">#NAME?</definedName>
    <definedName name="_xlpm.Clothin0" hidden="1" xlm="1">#NAME?</definedName>
    <definedName name="_xlpm.Clothing0" hidden="1" xlm="1">#NAME?</definedName>
    <definedName name="_xlpm.ClothingMisc0" hidden="1" xlm="1">#NAME?</definedName>
    <definedName name="_xlpm.ClothingP0" hidden="1" xlm="1">#NAME?</definedName>
    <definedName name="_xlpm.ClothingPa0" hidden="1" xlm="1">#NAME?</definedName>
    <definedName name="_xlpm.ClothingPac0" hidden="1" xlm="1">#NAME?</definedName>
    <definedName name="_xlpm.ClothingPack0" hidden="1" xlm="1">#NAME?</definedName>
    <definedName name="_xlpm.ClothingPacke0" hidden="1" xlm="1">#NAME?</definedName>
    <definedName name="_xlpm.ClothingPacked0" hidden="1" xlm="1">#NAME?</definedName>
    <definedName name="_xlpm.ClothingPackedc0" hidden="1" xlm="1">#NAME?</definedName>
    <definedName name="_xlpm.ClothingPackedisc0" hidden="1" xlm="1">#NAME?</definedName>
    <definedName name="_xlpm.ClothingPackedMisc0" hidden="1" xlm="1">#NAME?</definedName>
    <definedName name="_xlpm.ClothingPackedsc0" hidden="1" xlm="1">#NAME?</definedName>
    <definedName name="_xlpm.ClothingPackeMisc0" hidden="1" xlm="1">#NAME?</definedName>
    <definedName name="_xlpm.ClothingPackMisc0" hidden="1" xlm="1">#NAME?</definedName>
    <definedName name="_xlpm.ClothingPacMisc0" hidden="1" xlm="1">#NAME?</definedName>
    <definedName name="_xlpm.ClothingPaMisc0" hidden="1" xlm="1">#NAME?</definedName>
    <definedName name="_xlpm.ClothingPMisc0" hidden="1" xlm="1">#NAME?</definedName>
    <definedName name="_xlpm.ClothingWorn0" hidden="1" xlm="1">#NAME?</definedName>
    <definedName name="_xlpm.ClothingWornables0" hidden="1" xlm="1">#NAME?</definedName>
    <definedName name="_xlpm.ClothingWornbles0" hidden="1" xlm="1">#NAME?</definedName>
    <definedName name="_xlpm.ClothingWornConsumables0" hidden="1" xlm="1">#NAME?</definedName>
    <definedName name="_xlpm.ClothingWornes0" hidden="1" xlm="1">#NAME?</definedName>
    <definedName name="_xlpm.ClothingWornles0" hidden="1" xlm="1">#NAME?</definedName>
    <definedName name="_xlpm.ClothingWornmables0" hidden="1" xlm="1">#NAME?</definedName>
    <definedName name="_xlpm.ClothingWornnsumables0" hidden="1" xlm="1">#NAME?</definedName>
    <definedName name="_xlpm.ClothingWornonsumables0" hidden="1" xlm="1">#NAME?</definedName>
    <definedName name="_xlpm.ClothingWorns0" hidden="1" xlm="1">#NAME?</definedName>
    <definedName name="_xlpm.ClothingWornsumables0" hidden="1" xlm="1">#NAME?</definedName>
    <definedName name="_xlpm.ClothingWornumables0" hidden="1" xlm="1">#NAME?</definedName>
    <definedName name="_xlpm.ClothinMisc0" hidden="1" xlm="1">#NAME?</definedName>
    <definedName name="_xlpm.ClothMisc0" hidden="1" xlm="1">#NAME?</definedName>
    <definedName name="_xlpm.ClotMisc0" hidden="1" xlm="1">#NAME?</definedName>
    <definedName name="_xlpm.CMisc0" hidden="1" xlm="1">#NAME?</definedName>
    <definedName name="_xlpm.Co0" hidden="1" xlm="1">#NAME?</definedName>
    <definedName name="_xlpm.Con0" hidden="1" xlm="1">#NAME?</definedName>
    <definedName name="_xlpm.Cons0" hidden="1" xlm="1">#NAME?</definedName>
    <definedName name="_xlpm.Consu0" hidden="1" xlm="1">#NAME?</definedName>
    <definedName name="_xlpm.Consum0" hidden="1" xlm="1">#NAME?</definedName>
    <definedName name="_xlpm.Consuma0" hidden="1" xlm="1">#NAME?</definedName>
    <definedName name="_xlpm.Consumab0" hidden="1" xlm="1">#NAME?</definedName>
    <definedName name="_xlpm.Consumabl0" hidden="1" xlm="1">#NAME?</definedName>
    <definedName name="_xlpm.Consumable0" hidden="1" xlm="1">#NAME?</definedName>
    <definedName name="_xlpm.Consumables0" hidden="1" xlm="1">#NAME?</definedName>
    <definedName name="_xlpm.ear0" hidden="1" xlm="1">#NAME?</definedName>
    <definedName name="_xlpm.F0" hidden="1" xlm="1">#NAME?</definedName>
    <definedName name="_xlpm.Fi0" hidden="1" xlm="1">#NAME?</definedName>
    <definedName name="_xlpm.Fir0" hidden="1" xlm="1">#NAME?</definedName>
    <definedName name="_xlpm.Firs0" hidden="1" xlm="1">#NAME?</definedName>
    <definedName name="_xlpm.First0" hidden="1" xlm="1">#NAME?</definedName>
    <definedName name="_xlpm.FirstA0" hidden="1" xlm="1">#NAME?</definedName>
    <definedName name="_xlpm.FirstAi0" hidden="1" xlm="1">#NAME?</definedName>
    <definedName name="_xlpm.FirstAid0" hidden="1" xlm="1">#NAME?</definedName>
    <definedName name="_xlpm.Gear0" hidden="1" xlm="1">#NAME?</definedName>
    <definedName name="_xlpm.H" hidden="1" xlm="1">#NAME?</definedName>
    <definedName name="_xlpm.H0" hidden="1" xlm="1">#NAME?</definedName>
    <definedName name="_xlpm.Hne0" hidden="1" xlm="1">#NAME?</definedName>
    <definedName name="_xlpm.Hy" hidden="1" xlm="1">#NAME?</definedName>
    <definedName name="_xlpm.Hy0" hidden="1" xlm="1">#NAME?</definedName>
    <definedName name="_xlpm.Hyg" hidden="1" xlm="1">#NAME?</definedName>
    <definedName name="_xlpm.Hyg0" hidden="1" xlm="1">#NAME?</definedName>
    <definedName name="_xlpm.Hygi" hidden="1" xlm="1">#NAME?</definedName>
    <definedName name="_xlpm.Hygi0" hidden="1" xlm="1">#NAME?</definedName>
    <definedName name="_xlpm.Hygie" hidden="1" xlm="1">#NAME?</definedName>
    <definedName name="_xlpm.Hygie0" hidden="1" xlm="1">#NAME?</definedName>
    <definedName name="_xlpm.Hygien" hidden="1" xlm="1">#NAME?</definedName>
    <definedName name="_xlpm.Hygien0" hidden="1" xlm="1">#NAME?</definedName>
    <definedName name="_xlpm.Hygiene" hidden="1" xlm="1">#NAME?</definedName>
    <definedName name="_xlpm.Hygiene0" hidden="1" xlm="1">#NAME?</definedName>
    <definedName name="_xlpm.Hygine0" hidden="1" xlm="1">#NAME?</definedName>
    <definedName name="_xlpm.Hygne0" hidden="1" xlm="1">#NAME?</definedName>
    <definedName name="_xlpm.Hyne0" hidden="1" xlm="1">#NAME?</definedName>
    <definedName name="_xlpm.inGear0" hidden="1" xlm="1">#NAME?</definedName>
    <definedName name="_xlpm.KiRainGear0" hidden="1" xlm="1">#NAME?</definedName>
    <definedName name="_xlpm.Kitchen0" hidden="1" xlm="1">#NAME?</definedName>
    <definedName name="_xlpm.KitchenainGear0" hidden="1" xlm="1">#NAME?</definedName>
    <definedName name="_xlpm.Kitchenar0" hidden="1" xlm="1">#NAME?</definedName>
    <definedName name="_xlpm.Kitchenear0" hidden="1" xlm="1">#NAME?</definedName>
    <definedName name="_xlpm.KitchenGear0" hidden="1" xlm="1">#NAME?</definedName>
    <definedName name="_xlpm.KitcheninGear0" hidden="1" xlm="1">#NAME?</definedName>
    <definedName name="_xlpm.KitchennGear0" hidden="1" xlm="1">#NAME?</definedName>
    <definedName name="_xlpm.Kitchenr0" hidden="1" xlm="1">#NAME?</definedName>
    <definedName name="_xlpm.KitchenRainGear0" hidden="1" xlm="1">#NAME?</definedName>
    <definedName name="_xlpm.KitcheRainGear0" hidden="1" xlm="1">#NAME?</definedName>
    <definedName name="_xlpm.KitchRainGear0" hidden="1" xlm="1">#NAME?</definedName>
    <definedName name="_xlpm.KitcRainGear0" hidden="1" xlm="1">#NAME?</definedName>
    <definedName name="_xlpm.KitRainGear0" hidden="1" xlm="1">#NAME?</definedName>
    <definedName name="_xlpm.KRainGear0" hidden="1" xlm="1">#NAME?</definedName>
    <definedName name="_xlpm.M0" hidden="1" xlm="1">#NAME?</definedName>
    <definedName name="_xlpm.Mi0" hidden="1" xlm="1">#NAME?</definedName>
    <definedName name="_xlpm.Mine0" hidden="1" xlm="1">#NAME?</definedName>
    <definedName name="_xlpm.Mis0" hidden="1" xlm="1">#NAME?</definedName>
    <definedName name="_xlpm.Misc0" hidden="1" xlm="1">#NAME?</definedName>
    <definedName name="_xlpm.Misce0" hidden="1" xlm="1">#NAME?</definedName>
    <definedName name="_xlpm.Miscne0" hidden="1" xlm="1">#NAME?</definedName>
    <definedName name="_xlpm.Misne0" hidden="1" xlm="1">#NAME?</definedName>
    <definedName name="_xlpm.Mne0" hidden="1" xlm="1">#NAME?</definedName>
    <definedName name="_xlpm.N" hidden="1" xlm="1">#NAME?</definedName>
    <definedName name="_xlpm.Na" hidden="1" xlm="1">#NAME?</definedName>
    <definedName name="_xlpm.Nav" hidden="1" xlm="1">#NAME?</definedName>
    <definedName name="_xlpm.Navi" hidden="1" xlm="1">#NAME?</definedName>
    <definedName name="_xlpm.Navig" hidden="1" xlm="1">#NAME?</definedName>
    <definedName name="_xlpm.Naviga" hidden="1" xlm="1">#NAME?</definedName>
    <definedName name="_xlpm.Navigat" hidden="1" xlm="1">#NAME?</definedName>
    <definedName name="_xlpm.Navigati" hidden="1" xlm="1">#NAME?</definedName>
    <definedName name="_xlpm.Navigatio" hidden="1" xlm="1">#NAME?</definedName>
    <definedName name="_xlpm.Navigation" hidden="1" xlm="1">#NAME?</definedName>
    <definedName name="_xlpm.Navigation0" hidden="1" xlm="1">#NAME?</definedName>
    <definedName name="_xlpm.ne0" hidden="1" xlm="1">#NAME?</definedName>
    <definedName name="_xlpm.nGear0" hidden="1" xlm="1">#NAME?</definedName>
    <definedName name="_xlpm.Pack0" hidden="1" xlm="1">#NAME?</definedName>
    <definedName name="_xlpm.R" hidden="1" xlm="1">#NAME?</definedName>
    <definedName name="_xlpm.r0" hidden="1" xlm="1">#NAME?</definedName>
    <definedName name="_xlpm.RainGear0" hidden="1" xlm="1">#NAME?</definedName>
    <definedName name="_xlpm.RainGearClothes0" hidden="1" xlm="1">#NAME?</definedName>
    <definedName name="_xlpm.RainGeareepingClothes0" hidden="1" xlm="1">#NAME?</definedName>
    <definedName name="_xlpm.RainGearepingClothes0" hidden="1" xlm="1">#NAME?</definedName>
    <definedName name="_xlpm.RainGeares0" hidden="1" xlm="1">#NAME?</definedName>
    <definedName name="_xlpm.RainGeargClothes0" hidden="1" xlm="1">#NAME?</definedName>
    <definedName name="_xlpm.RainGearhes0" hidden="1" xlm="1">#NAME?</definedName>
    <definedName name="_xlpm.RainGearingClothes0" hidden="1" xlm="1">#NAME?</definedName>
    <definedName name="_xlpm.RainGearleepingClothes0" hidden="1" xlm="1">#NAME?</definedName>
    <definedName name="_xlpm.RainGearlothes0" hidden="1" xlm="1">#NAME?</definedName>
    <definedName name="_xlpm.RainGearngClothes0" hidden="1" xlm="1">#NAME?</definedName>
    <definedName name="_xlpm.RainGearothes0" hidden="1" xlm="1">#NAME?</definedName>
    <definedName name="_xlpm.RainGearpingClothes0" hidden="1" xlm="1">#NAME?</definedName>
    <definedName name="_xlpm.RainGears0" hidden="1" xlm="1">#NAME?</definedName>
    <definedName name="_xlpm.RainGearSleepingClothes0" hidden="1" xlm="1">#NAME?</definedName>
    <definedName name="_xlpm.RainGearthes0" hidden="1" xlm="1">#NAME?</definedName>
    <definedName name="_xlpm.RainGeaSleepingClothes0" hidden="1" xlm="1">#NAME?</definedName>
    <definedName name="_xlpm.RainGeSleepingClothes0" hidden="1" xlm="1">#NAME?</definedName>
    <definedName name="_xlpm.RainGSleepingClothes0" hidden="1" xlm="1">#NAME?</definedName>
    <definedName name="_xlpm.RainSleepingClothes0" hidden="1" xlm="1">#NAME?</definedName>
    <definedName name="_xlpm.RaiSleepingClothes0" hidden="1" xlm="1">#NAME?</definedName>
    <definedName name="_xlpm.RaSleepingClothes0" hidden="1" xlm="1">#NAME?</definedName>
    <definedName name="_xlpm.Re" hidden="1" xlm="1">#NAME?</definedName>
    <definedName name="_xlpm.Rep" hidden="1" xlm="1">#NAME?</definedName>
    <definedName name="_xlpm.Repa" hidden="1" xlm="1">#NAME?</definedName>
    <definedName name="_xlpm.Repai" hidden="1" xlm="1">#NAME?</definedName>
    <definedName name="_xlpm.Repair" hidden="1" xlm="1">#NAME?</definedName>
    <definedName name="_xlpm.Repair0" hidden="1" xlm="1">#NAME?</definedName>
    <definedName name="_xlpm.RSleepingClothes0" hidden="1" xlm="1">#NAME?</definedName>
    <definedName name="_xlpm.Shelter0" hidden="1" xlm="1">#NAME?</definedName>
    <definedName name="_xlpm.Sleeping0" hidden="1" xlm="1">#NAME?</definedName>
    <definedName name="_xlpm.Sleepingar0" hidden="1" xlm="1">#NAME?</definedName>
    <definedName name="_xlpm.SleepingC0" hidden="1" xlm="1">#NAME?</definedName>
    <definedName name="_xlpm.SleepingCl0" hidden="1" xlm="1">#NAME?</definedName>
    <definedName name="_xlpm.SleepingClo0" hidden="1" xlm="1">#NAME?</definedName>
    <definedName name="_xlpm.SleepingClot0" hidden="1" xlm="1">#NAME?</definedName>
    <definedName name="_xlpm.SleepingCloth0" hidden="1" xlm="1">#NAME?</definedName>
    <definedName name="_xlpm.SleepingClothe0" hidden="1" xlm="1">#NAME?</definedName>
    <definedName name="_xlpm.SleepingClothes0" hidden="1" xlm="1">#NAME?</definedName>
    <definedName name="_xlpm.Sleepingear0" hidden="1" xlm="1">#NAME?</definedName>
    <definedName name="_xlpm.SleepingGear0" hidden="1" xlm="1">#NAME?</definedName>
    <definedName name="_xlpm.SleepingGearelter0" hidden="1" xlm="1">#NAME?</definedName>
    <definedName name="_xlpm.SleepingGearer0" hidden="1" xlm="1">#NAME?</definedName>
    <definedName name="_xlpm.SleepingGearhelter0" hidden="1" xlm="1">#NAME?</definedName>
    <definedName name="_xlpm.SleepingGearlter0" hidden="1" xlm="1">#NAME?</definedName>
    <definedName name="_xlpm.SleepingGearr0" hidden="1" xlm="1">#NAME?</definedName>
    <definedName name="_xlpm.SleepingGearShelter0" hidden="1" xlm="1">#NAME?</definedName>
    <definedName name="_xlpm.SleepingGearter0" hidden="1" xlm="1">#NAME?</definedName>
    <definedName name="_xlpm.SleepingGeaShelter0" hidden="1" xlm="1">#NAME?</definedName>
    <definedName name="_xlpm.SleepingGeShelter0" hidden="1" xlm="1">#NAME?</definedName>
    <definedName name="_xlpm.SleepingGShelter0" hidden="1" xlm="1">#NAME?</definedName>
    <definedName name="_xlpm.Sleepingr0" hidden="1" xlm="1">#NAME?</definedName>
    <definedName name="_xlpm.SleepingShelter0" hidden="1" xlm="1">#NAME?</definedName>
    <definedName name="_xlpm.SleepinShelter0" hidden="1" xlm="1">#NAME?</definedName>
    <definedName name="_xlpm.SleepiShelter0" hidden="1" xlm="1">#NAME?</definedName>
    <definedName name="_xlpm.SleepShelter0" hidden="1" xlm="1">#NAME?</definedName>
    <definedName name="_xlpm.SleeShelter0" hidden="1" xlm="1">#NAME?</definedName>
    <definedName name="_xlpm.SleShelter0" hidden="1" xlm="1">#NAME?</definedName>
    <definedName name="_xlpm.SlShelter0" hidden="1" xlm="1">#NAME?</definedName>
    <definedName name="_xlpm.SShelter0" hidden="1" xlm="1">#NAME?</definedName>
    <definedName name="AirMatresses" localSheetId="16">ClothingPacked!#REF!</definedName>
    <definedName name="AirMatresses" localSheetId="18">ClothingWorn!#REF!</definedName>
    <definedName name="AirMatresses" localSheetId="17">Consumables!#REF!</definedName>
    <definedName name="AirMatresses" localSheetId="13">FirstAid!#REF!</definedName>
    <definedName name="AirMatresses" localSheetId="1">GearListAll!#REF!</definedName>
    <definedName name="AirMatresses" localSheetId="11">Hygiene!#REF!</definedName>
    <definedName name="AirMatresses" localSheetId="10">Kitchen!#REF!</definedName>
    <definedName name="AirMatresses" localSheetId="15">Misc!#REF!</definedName>
    <definedName name="AirMatresses" localSheetId="12">Navigation!#REF!</definedName>
    <definedName name="AirMatresses" localSheetId="5">Pack!#REF!</definedName>
    <definedName name="AirMatresses" localSheetId="9">RainGear!#REF!</definedName>
    <definedName name="AirMatresses" localSheetId="14">Repair!#REF!</definedName>
    <definedName name="AirMatresses" localSheetId="6">Shelter!#REF!</definedName>
    <definedName name="AirMatresses" localSheetId="8">SleepingClothes!#REF!</definedName>
    <definedName name="AirMatresses" localSheetId="7">SleepingGear!$E$12:$E$13</definedName>
    <definedName name="AirMatresses">#REF!</definedName>
    <definedName name="Backpacks" localSheetId="16">ClothingPacked!#REF!</definedName>
    <definedName name="Backpacks" localSheetId="18">ClothingWorn!#REF!</definedName>
    <definedName name="Backpacks" localSheetId="17">Consumables!#REF!</definedName>
    <definedName name="Backpacks" localSheetId="13">FirstAid!#REF!</definedName>
    <definedName name="Backpacks" localSheetId="1">GearListAll!#REF!</definedName>
    <definedName name="Backpacks" localSheetId="11">Hygiene!#REF!</definedName>
    <definedName name="Backpacks" localSheetId="10">Kitchen!#REF!</definedName>
    <definedName name="Backpacks" localSheetId="15">Misc!#REF!</definedName>
    <definedName name="Backpacks" localSheetId="12">Navigation!#REF!</definedName>
    <definedName name="Backpacks" localSheetId="5">Pack!$E$4:$E$8</definedName>
    <definedName name="Backpacks" localSheetId="9">RainGear!#REF!</definedName>
    <definedName name="Backpacks" localSheetId="14">Repair!#REF!</definedName>
    <definedName name="Backpacks" localSheetId="6">Shelter!#REF!</definedName>
    <definedName name="Backpacks" localSheetId="8">SleepingClothes!#REF!</definedName>
    <definedName name="Backpacks" localSheetId="7">SleepingGear!#REF!</definedName>
    <definedName name="Backpacks">#REF!</definedName>
    <definedName name="Hammocks" localSheetId="16">ClothingPacked!#REF!</definedName>
    <definedName name="Hammocks" localSheetId="18">ClothingWorn!#REF!</definedName>
    <definedName name="Hammocks" localSheetId="17">Consumables!#REF!</definedName>
    <definedName name="Hammocks" localSheetId="13">FirstAid!#REF!</definedName>
    <definedName name="Hammocks" localSheetId="1">GearListAll!#REF!</definedName>
    <definedName name="Hammocks" localSheetId="11">Hygiene!#REF!</definedName>
    <definedName name="Hammocks" localSheetId="10">Kitchen!#REF!</definedName>
    <definedName name="Hammocks" localSheetId="15">Misc!#REF!</definedName>
    <definedName name="Hammocks" localSheetId="12">Navigation!#REF!</definedName>
    <definedName name="Hammocks" localSheetId="5">Pack!$E$20:$E$20</definedName>
    <definedName name="Hammocks" localSheetId="9">RainGear!#REF!</definedName>
    <definedName name="Hammocks" localSheetId="14">Repair!#REF!</definedName>
    <definedName name="Hammocks" localSheetId="6">Shelter!$E$4:$E$7</definedName>
    <definedName name="Hammocks" localSheetId="8">SleepingClothes!#REF!</definedName>
    <definedName name="Hammocks" localSheetId="7">SleepingGear!#REF!</definedName>
    <definedName name="Hammocks">#REF!</definedName>
    <definedName name="Links">Menu!$C$2:$C$20</definedName>
    <definedName name="PackCover" localSheetId="16">ClothingPacked!#REF!</definedName>
    <definedName name="PackCover" localSheetId="18">ClothingWorn!#REF!</definedName>
    <definedName name="PackCover" localSheetId="17">Consumables!#REF!</definedName>
    <definedName name="PackCover" localSheetId="13">FirstAid!#REF!</definedName>
    <definedName name="PackCover" localSheetId="1">GearListAll!#REF!</definedName>
    <definedName name="PackCover" localSheetId="11">Hygiene!#REF!</definedName>
    <definedName name="PackCover" localSheetId="10">Kitchen!#REF!</definedName>
    <definedName name="PackCover" localSheetId="15">Misc!#REF!</definedName>
    <definedName name="PackCover" localSheetId="12">Navigation!#REF!</definedName>
    <definedName name="PackCover" localSheetId="5">Pack!$E$11:$E$13</definedName>
    <definedName name="PackCover" localSheetId="9">RainGear!#REF!</definedName>
    <definedName name="PackCover" localSheetId="14">Repair!#REF!</definedName>
    <definedName name="PackCover" localSheetId="6">Shelter!#REF!</definedName>
    <definedName name="PackCover" localSheetId="8">SleepingClothes!#REF!</definedName>
    <definedName name="PackCover" localSheetId="7">SleepingGear!#REF!</definedName>
    <definedName name="PackCover">#REF!</definedName>
    <definedName name="_xlnm.Print_Titles" localSheetId="16">ClothingPacked!$2:$2</definedName>
    <definedName name="_xlnm.Print_Titles" localSheetId="18">ClothingWorn!$2:$2</definedName>
    <definedName name="_xlnm.Print_Titles" localSheetId="17">Consumables!$2:$2</definedName>
    <definedName name="_xlnm.Print_Titles" localSheetId="13">FirstAid!$2:$2</definedName>
    <definedName name="_xlnm.Print_Titles" localSheetId="1">GearListAll!$2:$2</definedName>
    <definedName name="_xlnm.Print_Titles" localSheetId="11">Hygiene!$2:$2</definedName>
    <definedName name="_xlnm.Print_Titles" localSheetId="10">Kitchen!$2:$2</definedName>
    <definedName name="_xlnm.Print_Titles" localSheetId="15">Misc!$2:$2</definedName>
    <definedName name="_xlnm.Print_Titles" localSheetId="12">Navigation!$2:$2</definedName>
    <definedName name="_xlnm.Print_Titles" localSheetId="5">Pack!$2:$2</definedName>
    <definedName name="_xlnm.Print_Titles" localSheetId="9">RainGear!$2:$2</definedName>
    <definedName name="_xlnm.Print_Titles" localSheetId="14">Repair!$2:$2</definedName>
    <definedName name="_xlnm.Print_Titles" localSheetId="6">Shelter!$2:$2</definedName>
    <definedName name="_xlnm.Print_Titles" localSheetId="8">SleepingClothes!$2:$2</definedName>
    <definedName name="_xlnm.Print_Titles" localSheetId="7">SleepingGear!$2:$2</definedName>
    <definedName name="Print_Titles_0" localSheetId="16">ClothingPacked!$2:$2</definedName>
    <definedName name="Print_Titles_0" localSheetId="18">ClothingWorn!$2:$2</definedName>
    <definedName name="Print_Titles_0" localSheetId="17">Consumables!$2:$2</definedName>
    <definedName name="Print_Titles_0" localSheetId="13">FirstAid!$2:$2</definedName>
    <definedName name="Print_Titles_0" localSheetId="1">GearListAll!$2:$2</definedName>
    <definedName name="Print_Titles_0" localSheetId="11">Hygiene!$2:$2</definedName>
    <definedName name="Print_Titles_0" localSheetId="10">Kitchen!$2:$2</definedName>
    <definedName name="Print_Titles_0" localSheetId="15">Misc!$2:$2</definedName>
    <definedName name="Print_Titles_0" localSheetId="12">Navigation!$2:$2</definedName>
    <definedName name="Print_Titles_0" localSheetId="5">Pack!$2:$2</definedName>
    <definedName name="Print_Titles_0" localSheetId="9">RainGear!$2:$2</definedName>
    <definedName name="Print_Titles_0" localSheetId="14">Repair!$2:$2</definedName>
    <definedName name="Print_Titles_0" localSheetId="6">Shelter!$2:$2</definedName>
    <definedName name="Print_Titles_0" localSheetId="8">SleepingClothes!$2:$2</definedName>
    <definedName name="Print_Titles_0" localSheetId="7">SleepingGear!$2:$2</definedName>
    <definedName name="sheetnames">GET.WORKBOOK(1)&amp;T(NOW())</definedName>
    <definedName name="SleepingBagLiners" localSheetId="16">ClothingPacked!#REF!</definedName>
    <definedName name="SleepingBagLiners" localSheetId="18">ClothingWorn!#REF!</definedName>
    <definedName name="SleepingBagLiners" localSheetId="17">Consumables!#REF!</definedName>
    <definedName name="SleepingBagLiners" localSheetId="13">FirstAid!#REF!</definedName>
    <definedName name="SleepingBagLiners" localSheetId="1">GearListAll!#REF!</definedName>
    <definedName name="SleepingBagLiners" localSheetId="11">Hygiene!#REF!</definedName>
    <definedName name="SleepingBagLiners" localSheetId="10">Kitchen!#REF!</definedName>
    <definedName name="SleepingBagLiners" localSheetId="15">Misc!#REF!</definedName>
    <definedName name="SleepingBagLiners" localSheetId="12">Navigation!#REF!</definedName>
    <definedName name="SleepingBagLiners" localSheetId="5">Pack!#REF!</definedName>
    <definedName name="SleepingBagLiners" localSheetId="9">RainGear!#REF!</definedName>
    <definedName name="SleepingBagLiners" localSheetId="14">Repair!#REF!</definedName>
    <definedName name="SleepingBagLiners" localSheetId="6">Shelter!#REF!</definedName>
    <definedName name="SleepingBagLiners" localSheetId="8">SleepingClothes!#REF!</definedName>
    <definedName name="SleepingBagLiners" localSheetId="7">SleepingGear!$E$8:$E$9</definedName>
    <definedName name="SleepingBagLiners">#REF!</definedName>
    <definedName name="SleepingBags" localSheetId="16">ClothingPacked!#REF!</definedName>
    <definedName name="SleepingBags" localSheetId="18">ClothingWorn!#REF!</definedName>
    <definedName name="SleepingBags" localSheetId="17">Consumables!#REF!</definedName>
    <definedName name="SleepingBags" localSheetId="13">FirstAid!#REF!</definedName>
    <definedName name="SleepingBags" localSheetId="1">GearListAll!#REF!</definedName>
    <definedName name="SleepingBags" localSheetId="11">Hygiene!#REF!</definedName>
    <definedName name="SleepingBags" localSheetId="10">Kitchen!#REF!</definedName>
    <definedName name="SleepingBags" localSheetId="15">Misc!#REF!</definedName>
    <definedName name="SleepingBags" localSheetId="12">Navigation!#REF!</definedName>
    <definedName name="SleepingBags" localSheetId="5">Pack!#REF!</definedName>
    <definedName name="SleepingBags" localSheetId="9">RainGear!#REF!</definedName>
    <definedName name="SleepingBags" localSheetId="14">Repair!#REF!</definedName>
    <definedName name="SleepingBags" localSheetId="6">Shelter!#REF!</definedName>
    <definedName name="SleepingBags" localSheetId="8">SleepingClothes!#REF!</definedName>
    <definedName name="SleepingBags" localSheetId="7">SleepingGear!$E$4:$E$7</definedName>
    <definedName name="SleepingBags">#REF!</definedName>
    <definedName name="Tarps" localSheetId="16">ClothingPacked!#REF!</definedName>
    <definedName name="Tarps" localSheetId="18">ClothingWorn!#REF!</definedName>
    <definedName name="Tarps" localSheetId="17">Consumables!#REF!</definedName>
    <definedName name="Tarps" localSheetId="13">FirstAid!#REF!</definedName>
    <definedName name="Tarps" localSheetId="1">GearListAll!#REF!</definedName>
    <definedName name="Tarps" localSheetId="11">Hygiene!#REF!</definedName>
    <definedName name="Tarps" localSheetId="10">Kitchen!#REF!</definedName>
    <definedName name="Tarps" localSheetId="15">Misc!#REF!</definedName>
    <definedName name="Tarps" localSheetId="12">Navigation!#REF!</definedName>
    <definedName name="Tarps" localSheetId="5">Pack!#REF!</definedName>
    <definedName name="Tarps" localSheetId="9">RainGear!#REF!</definedName>
    <definedName name="Tarps" localSheetId="14">Repair!#REF!</definedName>
    <definedName name="Tarps" localSheetId="6">Shelter!$E$14:$E$15</definedName>
    <definedName name="Tarps" localSheetId="8">SleepingClothes!#REF!</definedName>
    <definedName name="Tarps" localSheetId="7">SleepingGear!#REF!</definedName>
    <definedName name="Tar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7" l="1" a="1"/>
  <c r="B1" i="7" s="1"/>
  <c r="A1" i="7" s="1"/>
  <c r="F32" i="16"/>
  <c r="G32" i="16"/>
  <c r="H32" i="16"/>
  <c r="I32" i="16"/>
  <c r="F33" i="16"/>
  <c r="G33" i="16"/>
  <c r="H33" i="16"/>
  <c r="I33" i="16"/>
  <c r="F34" i="16"/>
  <c r="G34" i="16"/>
  <c r="H34" i="16"/>
  <c r="I34" i="16"/>
  <c r="F35" i="16"/>
  <c r="G35" i="16"/>
  <c r="H35" i="16"/>
  <c r="I35" i="16"/>
  <c r="D32" i="16"/>
  <c r="D33" i="16"/>
  <c r="D34" i="16"/>
  <c r="D35" i="16"/>
  <c r="F11" i="23"/>
  <c r="G11" i="23"/>
  <c r="H11" i="23"/>
  <c r="I11" i="23"/>
  <c r="F12" i="23"/>
  <c r="G12" i="23"/>
  <c r="H12" i="23"/>
  <c r="I12" i="23"/>
  <c r="F13" i="23"/>
  <c r="G13" i="23"/>
  <c r="H13" i="23"/>
  <c r="I13" i="23"/>
  <c r="F14" i="23"/>
  <c r="G14" i="23"/>
  <c r="H14" i="23"/>
  <c r="I14" i="23"/>
  <c r="F15" i="23"/>
  <c r="G15" i="23"/>
  <c r="H15" i="23"/>
  <c r="I15" i="23"/>
  <c r="F16" i="23"/>
  <c r="G16" i="23"/>
  <c r="H16" i="23"/>
  <c r="I16" i="23"/>
  <c r="F17" i="23"/>
  <c r="G17" i="23"/>
  <c r="H17" i="23"/>
  <c r="I17" i="23"/>
  <c r="F18" i="23"/>
  <c r="G18" i="23"/>
  <c r="H18" i="23"/>
  <c r="I18" i="23"/>
  <c r="F19" i="23"/>
  <c r="G19" i="23"/>
  <c r="H19" i="23"/>
  <c r="I19" i="23"/>
  <c r="F20" i="23"/>
  <c r="G20" i="23"/>
  <c r="H20" i="23"/>
  <c r="I20" i="23"/>
  <c r="D11" i="23"/>
  <c r="D12" i="23"/>
  <c r="D13" i="23"/>
  <c r="D14" i="23"/>
  <c r="D15" i="23"/>
  <c r="D16" i="23"/>
  <c r="D17" i="23"/>
  <c r="D18" i="23"/>
  <c r="D19" i="23"/>
  <c r="D20" i="23"/>
  <c r="F17" i="22"/>
  <c r="G17" i="22"/>
  <c r="H17" i="22"/>
  <c r="I17" i="22"/>
  <c r="F18" i="22"/>
  <c r="G18" i="22"/>
  <c r="H18" i="22"/>
  <c r="I18" i="22"/>
  <c r="F19" i="22"/>
  <c r="G19" i="22"/>
  <c r="H19" i="22"/>
  <c r="I19" i="22"/>
  <c r="F20" i="22"/>
  <c r="G20" i="22"/>
  <c r="H20" i="22"/>
  <c r="I20" i="22"/>
  <c r="D17" i="22"/>
  <c r="D18" i="22"/>
  <c r="D19" i="22"/>
  <c r="D20" i="22"/>
  <c r="F24" i="21"/>
  <c r="G24" i="21"/>
  <c r="H24" i="21"/>
  <c r="I24" i="21"/>
  <c r="F25" i="21"/>
  <c r="G25" i="21"/>
  <c r="H25" i="21"/>
  <c r="I25" i="21"/>
  <c r="F26" i="21"/>
  <c r="G26" i="21"/>
  <c r="H26" i="21"/>
  <c r="I26" i="21"/>
  <c r="F27" i="21"/>
  <c r="G27" i="21"/>
  <c r="H27" i="21"/>
  <c r="I27" i="21"/>
  <c r="F28" i="21"/>
  <c r="G28" i="21"/>
  <c r="H28" i="21"/>
  <c r="I28" i="21"/>
  <c r="F29" i="21"/>
  <c r="G29" i="21"/>
  <c r="H29" i="21"/>
  <c r="I29" i="21"/>
  <c r="F30" i="21"/>
  <c r="G30" i="21"/>
  <c r="H30" i="21"/>
  <c r="I30" i="21"/>
  <c r="F23" i="21"/>
  <c r="D24" i="21"/>
  <c r="D25" i="21"/>
  <c r="D26" i="21"/>
  <c r="D27" i="21"/>
  <c r="D28" i="21"/>
  <c r="D29" i="21"/>
  <c r="D30" i="21"/>
  <c r="F7" i="20"/>
  <c r="G7" i="20"/>
  <c r="H7" i="20"/>
  <c r="I7" i="20"/>
  <c r="F8" i="20"/>
  <c r="G8" i="20"/>
  <c r="H8" i="20"/>
  <c r="I8" i="20"/>
  <c r="F9" i="20"/>
  <c r="G9" i="20"/>
  <c r="H9" i="20"/>
  <c r="I9" i="20"/>
  <c r="F10" i="20"/>
  <c r="G10" i="20"/>
  <c r="H10" i="20"/>
  <c r="I10" i="20"/>
  <c r="F11" i="20"/>
  <c r="G11" i="20"/>
  <c r="H11" i="20"/>
  <c r="I11" i="20"/>
  <c r="F12" i="20"/>
  <c r="G12" i="20"/>
  <c r="H12" i="20"/>
  <c r="I12" i="20"/>
  <c r="F13" i="20"/>
  <c r="G13" i="20"/>
  <c r="H13" i="20"/>
  <c r="I13" i="20"/>
  <c r="F14" i="20"/>
  <c r="G14" i="20"/>
  <c r="H14" i="20"/>
  <c r="I14" i="20"/>
  <c r="F15" i="20"/>
  <c r="G15" i="20"/>
  <c r="H15" i="20"/>
  <c r="I15" i="20"/>
  <c r="F16" i="20"/>
  <c r="G16" i="20"/>
  <c r="H16" i="20"/>
  <c r="I16" i="20"/>
  <c r="F17" i="20"/>
  <c r="G17" i="20"/>
  <c r="H17" i="20"/>
  <c r="I17" i="20"/>
  <c r="F18" i="20"/>
  <c r="G18" i="20"/>
  <c r="H18" i="20"/>
  <c r="I18" i="20"/>
  <c r="F19" i="20"/>
  <c r="G19" i="20"/>
  <c r="H19" i="20"/>
  <c r="I19" i="20"/>
  <c r="F20" i="20"/>
  <c r="G20" i="20"/>
  <c r="H20" i="20"/>
  <c r="I20" i="20"/>
  <c r="D20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F7" i="19"/>
  <c r="G7" i="19"/>
  <c r="H7" i="19"/>
  <c r="I7" i="19"/>
  <c r="F8" i="19"/>
  <c r="G8" i="19"/>
  <c r="H8" i="19"/>
  <c r="I8" i="19"/>
  <c r="F9" i="19"/>
  <c r="G9" i="19"/>
  <c r="H9" i="19"/>
  <c r="I9" i="19"/>
  <c r="F10" i="19"/>
  <c r="G10" i="19"/>
  <c r="H10" i="19"/>
  <c r="I10" i="19"/>
  <c r="F11" i="19"/>
  <c r="G11" i="19"/>
  <c r="H11" i="19"/>
  <c r="I11" i="19"/>
  <c r="F12" i="19"/>
  <c r="G12" i="19"/>
  <c r="H12" i="19"/>
  <c r="I12" i="19"/>
  <c r="F13" i="19"/>
  <c r="G13" i="19"/>
  <c r="H13" i="19"/>
  <c r="I13" i="19"/>
  <c r="F14" i="19"/>
  <c r="G14" i="19"/>
  <c r="H14" i="19"/>
  <c r="I14" i="19"/>
  <c r="F15" i="19"/>
  <c r="G15" i="19"/>
  <c r="H15" i="19"/>
  <c r="I15" i="19"/>
  <c r="F16" i="19"/>
  <c r="G16" i="19"/>
  <c r="H16" i="19"/>
  <c r="I16" i="19"/>
  <c r="F17" i="19"/>
  <c r="G17" i="19"/>
  <c r="H17" i="19"/>
  <c r="I17" i="19"/>
  <c r="F18" i="19"/>
  <c r="G18" i="19"/>
  <c r="H18" i="19"/>
  <c r="I18" i="19"/>
  <c r="F19" i="19"/>
  <c r="G19" i="19"/>
  <c r="H19" i="19"/>
  <c r="I19" i="19"/>
  <c r="F20" i="19"/>
  <c r="G20" i="19"/>
  <c r="H20" i="19"/>
  <c r="I20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F9" i="18"/>
  <c r="G9" i="18"/>
  <c r="H9" i="18"/>
  <c r="I9" i="18"/>
  <c r="F10" i="18"/>
  <c r="G10" i="18"/>
  <c r="H10" i="18"/>
  <c r="I10" i="18"/>
  <c r="F11" i="18"/>
  <c r="G11" i="18"/>
  <c r="H11" i="18"/>
  <c r="I11" i="18"/>
  <c r="F12" i="18"/>
  <c r="G12" i="18"/>
  <c r="H12" i="18"/>
  <c r="I12" i="18"/>
  <c r="F13" i="18"/>
  <c r="G13" i="18"/>
  <c r="H13" i="18"/>
  <c r="I13" i="18"/>
  <c r="F14" i="18"/>
  <c r="G14" i="18"/>
  <c r="H14" i="18"/>
  <c r="I14" i="18"/>
  <c r="F15" i="18"/>
  <c r="G15" i="18"/>
  <c r="H15" i="18"/>
  <c r="I15" i="18"/>
  <c r="F16" i="18"/>
  <c r="G16" i="18"/>
  <c r="H16" i="18"/>
  <c r="I16" i="18"/>
  <c r="F17" i="18"/>
  <c r="G17" i="18"/>
  <c r="H17" i="18"/>
  <c r="I17" i="18"/>
  <c r="F18" i="18"/>
  <c r="G18" i="18"/>
  <c r="H18" i="18"/>
  <c r="I18" i="18"/>
  <c r="F19" i="18"/>
  <c r="G19" i="18"/>
  <c r="H19" i="18"/>
  <c r="I19" i="18"/>
  <c r="F20" i="18"/>
  <c r="G20" i="18"/>
  <c r="H20" i="18"/>
  <c r="I20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F14" i="10"/>
  <c r="G14" i="10"/>
  <c r="H14" i="10"/>
  <c r="I14" i="10"/>
  <c r="F15" i="10"/>
  <c r="G15" i="10"/>
  <c r="H15" i="10"/>
  <c r="I15" i="10"/>
  <c r="F16" i="10"/>
  <c r="G16" i="10"/>
  <c r="H16" i="10"/>
  <c r="I16" i="10"/>
  <c r="F17" i="10"/>
  <c r="G17" i="10"/>
  <c r="H17" i="10"/>
  <c r="I17" i="10"/>
  <c r="F18" i="10"/>
  <c r="G18" i="10"/>
  <c r="H18" i="10"/>
  <c r="I18" i="10"/>
  <c r="F19" i="10"/>
  <c r="G19" i="10"/>
  <c r="H19" i="10"/>
  <c r="I19" i="10"/>
  <c r="F20" i="10"/>
  <c r="G20" i="10"/>
  <c r="H20" i="10"/>
  <c r="I20" i="10"/>
  <c r="D14" i="10"/>
  <c r="D15" i="10"/>
  <c r="D16" i="10"/>
  <c r="D17" i="10"/>
  <c r="D18" i="10"/>
  <c r="D19" i="10"/>
  <c r="D20" i="10"/>
  <c r="F28" i="11"/>
  <c r="G28" i="11"/>
  <c r="H28" i="11"/>
  <c r="I28" i="11"/>
  <c r="F29" i="11"/>
  <c r="G29" i="11"/>
  <c r="H29" i="11"/>
  <c r="I29" i="11"/>
  <c r="F30" i="11"/>
  <c r="G30" i="11"/>
  <c r="H30" i="11"/>
  <c r="I30" i="11"/>
  <c r="D28" i="11"/>
  <c r="D29" i="11"/>
  <c r="D30" i="11"/>
  <c r="F16" i="12"/>
  <c r="G16" i="12"/>
  <c r="H16" i="12"/>
  <c r="I16" i="12"/>
  <c r="F17" i="12"/>
  <c r="G17" i="12"/>
  <c r="H17" i="12"/>
  <c r="I17" i="12"/>
  <c r="F18" i="12"/>
  <c r="G18" i="12"/>
  <c r="H18" i="12"/>
  <c r="I18" i="12"/>
  <c r="F19" i="12"/>
  <c r="G19" i="12"/>
  <c r="H19" i="12"/>
  <c r="I19" i="12"/>
  <c r="F20" i="12"/>
  <c r="G20" i="12"/>
  <c r="H20" i="12"/>
  <c r="I20" i="12"/>
  <c r="D16" i="12"/>
  <c r="D17" i="12"/>
  <c r="D18" i="12"/>
  <c r="D19" i="12"/>
  <c r="D20" i="12"/>
  <c r="D17" i="13"/>
  <c r="D18" i="13"/>
  <c r="D19" i="13"/>
  <c r="D20" i="13"/>
  <c r="F17" i="13"/>
  <c r="G17" i="13"/>
  <c r="H17" i="13"/>
  <c r="I17" i="13"/>
  <c r="F18" i="13"/>
  <c r="G18" i="13"/>
  <c r="H18" i="13"/>
  <c r="I18" i="13"/>
  <c r="F19" i="13"/>
  <c r="G19" i="13"/>
  <c r="H19" i="13"/>
  <c r="I19" i="13"/>
  <c r="F20" i="13"/>
  <c r="G20" i="13"/>
  <c r="H20" i="13"/>
  <c r="I20" i="13"/>
  <c r="F11" i="15"/>
  <c r="G11" i="15"/>
  <c r="H11" i="15"/>
  <c r="I11" i="15"/>
  <c r="F12" i="15"/>
  <c r="G12" i="15"/>
  <c r="H12" i="15"/>
  <c r="I12" i="15"/>
  <c r="F13" i="15"/>
  <c r="G13" i="15"/>
  <c r="H13" i="15"/>
  <c r="I13" i="15"/>
  <c r="F14" i="15"/>
  <c r="G14" i="15"/>
  <c r="H14" i="15"/>
  <c r="I14" i="15"/>
  <c r="F15" i="15"/>
  <c r="G15" i="15"/>
  <c r="H15" i="15"/>
  <c r="I15" i="15"/>
  <c r="F16" i="15"/>
  <c r="G16" i="15"/>
  <c r="H16" i="15"/>
  <c r="I16" i="15"/>
  <c r="F17" i="15"/>
  <c r="G17" i="15"/>
  <c r="H17" i="15"/>
  <c r="I17" i="15"/>
  <c r="F18" i="15"/>
  <c r="G18" i="15"/>
  <c r="H18" i="15"/>
  <c r="I18" i="15"/>
  <c r="F19" i="15"/>
  <c r="G19" i="15"/>
  <c r="H19" i="15"/>
  <c r="I19" i="15"/>
  <c r="F20" i="15"/>
  <c r="G20" i="15"/>
  <c r="H20" i="15"/>
  <c r="I20" i="15"/>
  <c r="D11" i="15"/>
  <c r="D12" i="15"/>
  <c r="D13" i="15"/>
  <c r="D14" i="15"/>
  <c r="D15" i="15"/>
  <c r="D16" i="15"/>
  <c r="D17" i="15"/>
  <c r="D18" i="15"/>
  <c r="D19" i="15"/>
  <c r="D20" i="15"/>
  <c r="F17" i="17"/>
  <c r="G17" i="17"/>
  <c r="H17" i="17"/>
  <c r="I17" i="17"/>
  <c r="F18" i="17"/>
  <c r="G18" i="17"/>
  <c r="H18" i="17"/>
  <c r="I18" i="17"/>
  <c r="F19" i="17"/>
  <c r="G19" i="17"/>
  <c r="H19" i="17"/>
  <c r="I19" i="17"/>
  <c r="F20" i="17"/>
  <c r="G20" i="17"/>
  <c r="H20" i="17"/>
  <c r="I20" i="17"/>
  <c r="D17" i="17"/>
  <c r="D18" i="17"/>
  <c r="D19" i="17"/>
  <c r="D20" i="17"/>
  <c r="H7" i="7" a="1"/>
  <c r="H7" i="7" s="1"/>
  <c r="G7" i="7" s="1"/>
  <c r="H1" i="7" a="1"/>
  <c r="H1" i="7" s="1"/>
  <c r="G1" i="7" s="1"/>
  <c r="G5" i="7"/>
  <c r="G6" i="7"/>
  <c r="G8" i="7"/>
  <c r="G9" i="7"/>
  <c r="G10" i="7"/>
  <c r="G14" i="7"/>
  <c r="G16" i="7"/>
  <c r="G17" i="7"/>
  <c r="G18" i="7"/>
  <c r="G22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F28" i="7" a="1"/>
  <c r="F28" i="7" s="1"/>
  <c r="E28" i="7" s="1"/>
  <c r="F19" i="7" a="1"/>
  <c r="F19" i="7" s="1"/>
  <c r="E19" i="7" s="1"/>
  <c r="F13" i="7" a="1"/>
  <c r="F13" i="7" s="1"/>
  <c r="E13" i="7" s="1"/>
  <c r="F9" i="7" a="1"/>
  <c r="F9" i="7" s="1"/>
  <c r="E9" i="7" s="1"/>
  <c r="F1" i="7" a="1"/>
  <c r="F1" i="7" s="1"/>
  <c r="E1" i="7" s="1"/>
  <c r="E7" i="7"/>
  <c r="E8" i="7"/>
  <c r="E11" i="7"/>
  <c r="E12" i="7"/>
  <c r="E17" i="7"/>
  <c r="E18" i="7"/>
  <c r="E26" i="7"/>
  <c r="E27" i="7"/>
  <c r="E29" i="7"/>
  <c r="E37" i="7"/>
  <c r="E38" i="7"/>
  <c r="D23" i="7" a="1"/>
  <c r="D23" i="7" s="1"/>
  <c r="C23" i="7" s="1"/>
  <c r="C21" i="7"/>
  <c r="C22" i="7"/>
  <c r="C34" i="7"/>
  <c r="C35" i="7"/>
  <c r="C36" i="7"/>
  <c r="C37" i="7"/>
  <c r="C38" i="7"/>
  <c r="D1" i="7" a="1"/>
  <c r="D1" i="7" s="1"/>
  <c r="C1" i="7" s="1"/>
  <c r="B36" i="7" a="1"/>
  <c r="B36" i="7" s="1"/>
  <c r="A36" i="7" s="1"/>
  <c r="B26" i="7" a="1"/>
  <c r="B26" i="7" s="1"/>
  <c r="A26" i="7" s="1"/>
  <c r="B19" i="7" a="1"/>
  <c r="B19" i="7" s="1"/>
  <c r="A19" i="7" s="1"/>
  <c r="A6" i="7"/>
  <c r="A7" i="7"/>
  <c r="A17" i="7"/>
  <c r="A18" i="7"/>
  <c r="A24" i="7"/>
  <c r="A25" i="7"/>
  <c r="A35" i="7"/>
  <c r="B8" i="7" a="1"/>
  <c r="B8" i="7" s="1"/>
  <c r="A8" i="7" s="1"/>
  <c r="A122" i="8"/>
  <c r="A123" i="8" s="1"/>
  <c r="B122" i="8" a="1"/>
  <c r="B122" i="8" s="1"/>
  <c r="A86" i="8"/>
  <c r="A87" i="8" s="1"/>
  <c r="M10" i="9"/>
  <c r="L9" i="9"/>
  <c r="M9" i="9" s="1"/>
  <c r="J35" i="9"/>
  <c r="I35" i="9"/>
  <c r="G35" i="9"/>
  <c r="P33" i="9"/>
  <c r="O33" i="9"/>
  <c r="F33" i="9" s="1"/>
  <c r="G33" i="9" s="1"/>
  <c r="N33" i="9"/>
  <c r="L33" i="9"/>
  <c r="M33" i="9" s="1"/>
  <c r="P32" i="9"/>
  <c r="O32" i="9"/>
  <c r="F32" i="9" s="1"/>
  <c r="M32" i="9"/>
  <c r="L32" i="9"/>
  <c r="N32" i="9" s="1"/>
  <c r="D45" i="9"/>
  <c r="C45" i="9"/>
  <c r="A45" i="9"/>
  <c r="G20" i="24"/>
  <c r="F20" i="24"/>
  <c r="H19" i="24"/>
  <c r="F19" i="24"/>
  <c r="D19" i="24"/>
  <c r="I19" i="24" s="1"/>
  <c r="H18" i="24"/>
  <c r="F18" i="24"/>
  <c r="D18" i="24"/>
  <c r="G18" i="24" s="1"/>
  <c r="H17" i="24"/>
  <c r="F17" i="24"/>
  <c r="D17" i="24"/>
  <c r="I17" i="24" s="1"/>
  <c r="H16" i="24"/>
  <c r="F16" i="24"/>
  <c r="D16" i="24"/>
  <c r="I16" i="24" s="1"/>
  <c r="H15" i="24"/>
  <c r="G15" i="24"/>
  <c r="F15" i="24"/>
  <c r="D15" i="24"/>
  <c r="I15" i="24" s="1"/>
  <c r="H14" i="24"/>
  <c r="F14" i="24"/>
  <c r="D14" i="24"/>
  <c r="I14" i="24" s="1"/>
  <c r="H13" i="24"/>
  <c r="F13" i="24"/>
  <c r="D13" i="24"/>
  <c r="G13" i="24" s="1"/>
  <c r="H12" i="24"/>
  <c r="F12" i="24"/>
  <c r="D12" i="24"/>
  <c r="I12" i="24" s="1"/>
  <c r="H11" i="24"/>
  <c r="F11" i="24"/>
  <c r="D11" i="24"/>
  <c r="I11" i="24" s="1"/>
  <c r="H10" i="24"/>
  <c r="F10" i="24"/>
  <c r="D10" i="24"/>
  <c r="G10" i="24" s="1"/>
  <c r="H9" i="24"/>
  <c r="F9" i="24"/>
  <c r="D9" i="24"/>
  <c r="I9" i="24" s="1"/>
  <c r="H8" i="24"/>
  <c r="F8" i="24"/>
  <c r="D8" i="24"/>
  <c r="I8" i="24" s="1"/>
  <c r="H7" i="24"/>
  <c r="F7" i="24"/>
  <c r="D7" i="24"/>
  <c r="I7" i="24" s="1"/>
  <c r="H6" i="24"/>
  <c r="F6" i="24"/>
  <c r="D6" i="24"/>
  <c r="I6" i="24" s="1"/>
  <c r="H5" i="24"/>
  <c r="F5" i="24"/>
  <c r="D5" i="24"/>
  <c r="G5" i="24" s="1"/>
  <c r="H4" i="24"/>
  <c r="F4" i="24"/>
  <c r="D4" i="24"/>
  <c r="I4" i="24" s="1"/>
  <c r="H3" i="24"/>
  <c r="F3" i="24"/>
  <c r="D3" i="24"/>
  <c r="I3" i="24" s="1"/>
  <c r="C1" i="24"/>
  <c r="B1" i="24"/>
  <c r="H10" i="23"/>
  <c r="G10" i="23"/>
  <c r="F10" i="23"/>
  <c r="D10" i="23"/>
  <c r="I10" i="23" s="1"/>
  <c r="H9" i="23"/>
  <c r="G9" i="23"/>
  <c r="F9" i="23"/>
  <c r="D9" i="23"/>
  <c r="I9" i="23" s="1"/>
  <c r="I8" i="23"/>
  <c r="H8" i="23"/>
  <c r="H7" i="23"/>
  <c r="G7" i="23"/>
  <c r="F7" i="23"/>
  <c r="D7" i="23"/>
  <c r="I7" i="23" s="1"/>
  <c r="F6" i="23"/>
  <c r="D6" i="23"/>
  <c r="I6" i="23" s="1"/>
  <c r="F5" i="23"/>
  <c r="D5" i="23"/>
  <c r="G5" i="23" s="1"/>
  <c r="H4" i="23"/>
  <c r="F4" i="23"/>
  <c r="D4" i="23"/>
  <c r="I4" i="23" s="1"/>
  <c r="C1" i="23"/>
  <c r="G16" i="22"/>
  <c r="F16" i="22"/>
  <c r="D16" i="22"/>
  <c r="I16" i="22" s="1"/>
  <c r="I15" i="22"/>
  <c r="H15" i="22"/>
  <c r="F14" i="22"/>
  <c r="D14" i="22"/>
  <c r="I14" i="22" s="1"/>
  <c r="F13" i="22"/>
  <c r="D13" i="22"/>
  <c r="H13" i="22" s="1"/>
  <c r="F12" i="22"/>
  <c r="D12" i="22"/>
  <c r="I12" i="22" s="1"/>
  <c r="G11" i="22"/>
  <c r="F11" i="22"/>
  <c r="D11" i="22"/>
  <c r="I11" i="22" s="1"/>
  <c r="F10" i="22"/>
  <c r="D10" i="22"/>
  <c r="G10" i="22" s="1"/>
  <c r="G9" i="22"/>
  <c r="F9" i="22"/>
  <c r="D9" i="22"/>
  <c r="I9" i="22" s="1"/>
  <c r="F8" i="22"/>
  <c r="D8" i="22"/>
  <c r="I8" i="22" s="1"/>
  <c r="F7" i="22"/>
  <c r="D7" i="22"/>
  <c r="I7" i="22" s="1"/>
  <c r="G6" i="22"/>
  <c r="F6" i="22"/>
  <c r="D6" i="22"/>
  <c r="I6" i="22" s="1"/>
  <c r="F5" i="22"/>
  <c r="D5" i="22"/>
  <c r="H5" i="22" s="1"/>
  <c r="F4" i="22"/>
  <c r="D4" i="22"/>
  <c r="I4" i="22" s="1"/>
  <c r="G23" i="21"/>
  <c r="D23" i="21"/>
  <c r="I23" i="21" s="1"/>
  <c r="G22" i="21"/>
  <c r="F22" i="21"/>
  <c r="D22" i="21"/>
  <c r="I22" i="21" s="1"/>
  <c r="F21" i="21"/>
  <c r="D21" i="21"/>
  <c r="I21" i="21" s="1"/>
  <c r="G20" i="21"/>
  <c r="F20" i="21"/>
  <c r="D20" i="21"/>
  <c r="I20" i="21" s="1"/>
  <c r="G19" i="21"/>
  <c r="F19" i="21"/>
  <c r="D19" i="21"/>
  <c r="H19" i="21" s="1"/>
  <c r="G18" i="21"/>
  <c r="F18" i="21"/>
  <c r="D18" i="21"/>
  <c r="I18" i="21" s="1"/>
  <c r="G17" i="21"/>
  <c r="F17" i="21"/>
  <c r="D17" i="21"/>
  <c r="I17" i="21" s="1"/>
  <c r="F16" i="21"/>
  <c r="D16" i="21"/>
  <c r="G16" i="21" s="1"/>
  <c r="F15" i="21"/>
  <c r="D15" i="21"/>
  <c r="I15" i="21" s="1"/>
  <c r="G14" i="21"/>
  <c r="F14" i="21"/>
  <c r="D14" i="21"/>
  <c r="I14" i="21" s="1"/>
  <c r="G13" i="21"/>
  <c r="F13" i="21"/>
  <c r="C13" i="21"/>
  <c r="D13" i="21" s="1"/>
  <c r="I13" i="21" s="1"/>
  <c r="F12" i="21"/>
  <c r="D12" i="21"/>
  <c r="I12" i="21" s="1"/>
  <c r="G11" i="21"/>
  <c r="F11" i="21"/>
  <c r="D11" i="21"/>
  <c r="I11" i="21" s="1"/>
  <c r="F10" i="21"/>
  <c r="D10" i="21"/>
  <c r="G10" i="21" s="1"/>
  <c r="F9" i="21"/>
  <c r="D9" i="21"/>
  <c r="I9" i="21" s="1"/>
  <c r="F8" i="21"/>
  <c r="D8" i="21"/>
  <c r="H8" i="21" s="1"/>
  <c r="G7" i="21"/>
  <c r="F7" i="21"/>
  <c r="D7" i="21"/>
  <c r="I7" i="21" s="1"/>
  <c r="G6" i="21"/>
  <c r="F6" i="21"/>
  <c r="D6" i="21"/>
  <c r="I6" i="21" s="1"/>
  <c r="F5" i="21"/>
  <c r="D5" i="21"/>
  <c r="G5" i="21" s="1"/>
  <c r="G4" i="21"/>
  <c r="F4" i="21"/>
  <c r="D4" i="21"/>
  <c r="I4" i="21" s="1"/>
  <c r="B1" i="21"/>
  <c r="F6" i="20"/>
  <c r="D6" i="20"/>
  <c r="H6" i="20" s="1"/>
  <c r="H5" i="20"/>
  <c r="F5" i="20"/>
  <c r="D5" i="20"/>
  <c r="G5" i="20" s="1"/>
  <c r="F4" i="20"/>
  <c r="D4" i="20"/>
  <c r="I4" i="20" s="1"/>
  <c r="H6" i="19"/>
  <c r="G6" i="19"/>
  <c r="F6" i="19"/>
  <c r="D6" i="19"/>
  <c r="I6" i="19" s="1"/>
  <c r="H5" i="19"/>
  <c r="G5" i="19"/>
  <c r="F5" i="19"/>
  <c r="D5" i="19"/>
  <c r="I5" i="19" s="1"/>
  <c r="F4" i="19"/>
  <c r="D4" i="19"/>
  <c r="G4" i="19" s="1"/>
  <c r="B1" i="19"/>
  <c r="F8" i="18"/>
  <c r="D8" i="18"/>
  <c r="H8" i="18" s="1"/>
  <c r="F7" i="18"/>
  <c r="D7" i="18"/>
  <c r="I7" i="18" s="1"/>
  <c r="H6" i="18"/>
  <c r="F6" i="18"/>
  <c r="D6" i="18"/>
  <c r="I6" i="18" s="1"/>
  <c r="F5" i="18"/>
  <c r="D5" i="18"/>
  <c r="G5" i="18" s="1"/>
  <c r="H4" i="18"/>
  <c r="F4" i="18"/>
  <c r="D4" i="18"/>
  <c r="I4" i="18" s="1"/>
  <c r="F16" i="17"/>
  <c r="D16" i="17"/>
  <c r="I16" i="17" s="1"/>
  <c r="G15" i="17"/>
  <c r="F15" i="17"/>
  <c r="D15" i="17"/>
  <c r="I15" i="17" s="1"/>
  <c r="F14" i="17"/>
  <c r="D14" i="17"/>
  <c r="I14" i="17" s="1"/>
  <c r="F13" i="17"/>
  <c r="D13" i="17"/>
  <c r="I13" i="17" s="1"/>
  <c r="F12" i="17"/>
  <c r="D12" i="17"/>
  <c r="H12" i="17" s="1"/>
  <c r="G11" i="17"/>
  <c r="F11" i="17"/>
  <c r="D11" i="17"/>
  <c r="I11" i="17" s="1"/>
  <c r="F10" i="17"/>
  <c r="D10" i="17"/>
  <c r="I10" i="17" s="1"/>
  <c r="F9" i="17"/>
  <c r="D9" i="17"/>
  <c r="I9" i="17" s="1"/>
  <c r="H8" i="17"/>
  <c r="F8" i="17"/>
  <c r="D8" i="17"/>
  <c r="I8" i="17" s="1"/>
  <c r="H7" i="17"/>
  <c r="F7" i="17"/>
  <c r="D7" i="17"/>
  <c r="I7" i="17" s="1"/>
  <c r="H6" i="17"/>
  <c r="F6" i="17"/>
  <c r="D6" i="17"/>
  <c r="I6" i="17" s="1"/>
  <c r="H5" i="17"/>
  <c r="F5" i="17"/>
  <c r="D5" i="17"/>
  <c r="I5" i="17" s="1"/>
  <c r="F4" i="17"/>
  <c r="D4" i="17"/>
  <c r="H4" i="17" s="1"/>
  <c r="F31" i="16"/>
  <c r="D31" i="16"/>
  <c r="I31" i="16" s="1"/>
  <c r="F30" i="16"/>
  <c r="D30" i="16"/>
  <c r="I30" i="16" s="1"/>
  <c r="I29" i="16"/>
  <c r="H29" i="16"/>
  <c r="F29" i="16"/>
  <c r="G28" i="16"/>
  <c r="F28" i="16"/>
  <c r="D28" i="16"/>
  <c r="I28" i="16" s="1"/>
  <c r="F27" i="16"/>
  <c r="D27" i="16"/>
  <c r="G27" i="16" s="1"/>
  <c r="F26" i="16"/>
  <c r="D26" i="16"/>
  <c r="I26" i="16" s="1"/>
  <c r="H25" i="16"/>
  <c r="F25" i="16"/>
  <c r="D25" i="16"/>
  <c r="I25" i="16" s="1"/>
  <c r="F24" i="16"/>
  <c r="D24" i="16"/>
  <c r="I24" i="16" s="1"/>
  <c r="D23" i="16"/>
  <c r="I23" i="16" s="1"/>
  <c r="F22" i="16"/>
  <c r="D22" i="16"/>
  <c r="I22" i="16" s="1"/>
  <c r="F21" i="16"/>
  <c r="D21" i="16"/>
  <c r="I21" i="16" s="1"/>
  <c r="F20" i="16"/>
  <c r="D20" i="16"/>
  <c r="H20" i="16" s="1"/>
  <c r="F19" i="16"/>
  <c r="D19" i="16"/>
  <c r="I19" i="16" s="1"/>
  <c r="F18" i="16"/>
  <c r="D18" i="16"/>
  <c r="I18" i="16" s="1"/>
  <c r="F17" i="16"/>
  <c r="D17" i="16"/>
  <c r="G17" i="16" s="1"/>
  <c r="G16" i="16"/>
  <c r="F16" i="16"/>
  <c r="D16" i="16"/>
  <c r="I16" i="16" s="1"/>
  <c r="G15" i="16"/>
  <c r="F15" i="16"/>
  <c r="D15" i="16"/>
  <c r="I15" i="16" s="1"/>
  <c r="F14" i="16"/>
  <c r="D14" i="16"/>
  <c r="I14" i="16" s="1"/>
  <c r="F13" i="16"/>
  <c r="D13" i="16"/>
  <c r="I13" i="16" s="1"/>
  <c r="F12" i="16"/>
  <c r="D12" i="16"/>
  <c r="H12" i="16" s="1"/>
  <c r="G11" i="16"/>
  <c r="F11" i="16"/>
  <c r="D11" i="16"/>
  <c r="I11" i="16" s="1"/>
  <c r="G10" i="16"/>
  <c r="F10" i="16"/>
  <c r="D10" i="16"/>
  <c r="I10" i="16" s="1"/>
  <c r="F9" i="16"/>
  <c r="D9" i="16"/>
  <c r="G9" i="16" s="1"/>
  <c r="G8" i="16"/>
  <c r="F8" i="16"/>
  <c r="D8" i="16"/>
  <c r="I8" i="16" s="1"/>
  <c r="G7" i="16"/>
  <c r="F7" i="16"/>
  <c r="D7" i="16"/>
  <c r="I7" i="16" s="1"/>
  <c r="F6" i="16"/>
  <c r="D6" i="16"/>
  <c r="I6" i="16" s="1"/>
  <c r="F5" i="16"/>
  <c r="D5" i="16"/>
  <c r="I5" i="16" s="1"/>
  <c r="G4" i="16"/>
  <c r="F4" i="16"/>
  <c r="D4" i="16"/>
  <c r="H4" i="16" s="1"/>
  <c r="E2" i="27" a="1"/>
  <c r="A2" i="27" a="1"/>
  <c r="B2" i="27" a="1"/>
  <c r="B22" i="27" a="1"/>
  <c r="B22" i="27" l="1"/>
  <c r="H27" i="16"/>
  <c r="H26" i="16"/>
  <c r="H24" i="16"/>
  <c r="H23" i="16"/>
  <c r="C21" i="27"/>
  <c r="A116" i="8"/>
  <c r="A117" i="8" s="1"/>
  <c r="A105" i="8"/>
  <c r="A106" i="8" s="1"/>
  <c r="E30" i="7"/>
  <c r="A96" i="8"/>
  <c r="A97" i="8" s="1"/>
  <c r="A90" i="8"/>
  <c r="A91" i="8" s="1"/>
  <c r="E10" i="7"/>
  <c r="E6" i="7"/>
  <c r="A78" i="8"/>
  <c r="A79" i="8" s="1"/>
  <c r="E5" i="7"/>
  <c r="A65" i="8"/>
  <c r="A66" i="8" s="1"/>
  <c r="A43" i="8"/>
  <c r="A44" i="8" s="1"/>
  <c r="H23" i="27"/>
  <c r="P23" i="27"/>
  <c r="I23" i="27"/>
  <c r="Q23" i="27"/>
  <c r="J23" i="27"/>
  <c r="R23" i="27"/>
  <c r="K23" i="27"/>
  <c r="S23" i="27"/>
  <c r="L23" i="27"/>
  <c r="T23" i="27"/>
  <c r="N23" i="27"/>
  <c r="M23" i="27"/>
  <c r="O23" i="27"/>
  <c r="G23" i="27"/>
  <c r="C6" i="27"/>
  <c r="C3" i="27"/>
  <c r="C18" i="27"/>
  <c r="C19" i="27"/>
  <c r="C20" i="27"/>
  <c r="C17" i="27"/>
  <c r="C16" i="27"/>
  <c r="C15" i="27"/>
  <c r="C14" i="27"/>
  <c r="C13" i="27"/>
  <c r="C12" i="27"/>
  <c r="C11" i="27"/>
  <c r="C10" i="27"/>
  <c r="C9" i="27"/>
  <c r="C7" i="27"/>
  <c r="C8" i="27"/>
  <c r="C5" i="27"/>
  <c r="C4" i="27"/>
  <c r="E2" i="27"/>
  <c r="A2" i="27"/>
  <c r="B2" i="27"/>
  <c r="C2" i="27" s="1"/>
  <c r="C33" i="7"/>
  <c r="E16" i="7"/>
  <c r="G23" i="7"/>
  <c r="G15" i="7"/>
  <c r="C26" i="7"/>
  <c r="E34" i="7"/>
  <c r="E24" i="7"/>
  <c r="E14" i="7"/>
  <c r="E4" i="7"/>
  <c r="G21" i="7"/>
  <c r="G13" i="7"/>
  <c r="G4" i="7"/>
  <c r="C25" i="7"/>
  <c r="E33" i="7"/>
  <c r="E23" i="7"/>
  <c r="E2" i="7"/>
  <c r="G20" i="7"/>
  <c r="G12" i="7"/>
  <c r="G3" i="7"/>
  <c r="C32" i="7"/>
  <c r="E25" i="7"/>
  <c r="E15" i="7"/>
  <c r="C24" i="7"/>
  <c r="E32" i="7"/>
  <c r="E21" i="7"/>
  <c r="G19" i="7"/>
  <c r="G11" i="7"/>
  <c r="G2" i="7"/>
  <c r="E20" i="7"/>
  <c r="E31" i="7"/>
  <c r="E22" i="7"/>
  <c r="E3" i="7"/>
  <c r="C31" i="7"/>
  <c r="E36" i="7"/>
  <c r="E35" i="7"/>
  <c r="A37" i="7"/>
  <c r="C16" i="7"/>
  <c r="C15" i="7"/>
  <c r="C6" i="7"/>
  <c r="C30" i="7"/>
  <c r="C13" i="7"/>
  <c r="C5" i="7"/>
  <c r="C14" i="7"/>
  <c r="C29" i="7"/>
  <c r="C20" i="7"/>
  <c r="C12" i="7"/>
  <c r="C4" i="7"/>
  <c r="C8" i="7"/>
  <c r="C28" i="7"/>
  <c r="C19" i="7"/>
  <c r="C11" i="7"/>
  <c r="C3" i="7"/>
  <c r="C7" i="7"/>
  <c r="C27" i="7"/>
  <c r="C18" i="7"/>
  <c r="C10" i="7"/>
  <c r="C2" i="7"/>
  <c r="C17" i="7"/>
  <c r="C9" i="7"/>
  <c r="A29" i="7"/>
  <c r="A11" i="7"/>
  <c r="A28" i="7"/>
  <c r="A10" i="7"/>
  <c r="A27" i="7"/>
  <c r="A9" i="7"/>
  <c r="A2" i="7"/>
  <c r="A20" i="7"/>
  <c r="A3" i="7"/>
  <c r="A33" i="7"/>
  <c r="A15" i="7"/>
  <c r="A34" i="7"/>
  <c r="A16" i="7"/>
  <c r="A32" i="7"/>
  <c r="A23" i="7"/>
  <c r="A14" i="7"/>
  <c r="A31" i="7"/>
  <c r="A22" i="7"/>
  <c r="A13" i="7"/>
  <c r="A5" i="7"/>
  <c r="A30" i="7"/>
  <c r="A21" i="7"/>
  <c r="A12" i="7"/>
  <c r="A4" i="7"/>
  <c r="A38" i="7"/>
  <c r="M11" i="9"/>
  <c r="F34" i="9"/>
  <c r="G34" i="9" s="1"/>
  <c r="G38" i="9" s="1"/>
  <c r="G32" i="9"/>
  <c r="J33" i="9"/>
  <c r="I33" i="9"/>
  <c r="H6" i="16"/>
  <c r="C37" i="16"/>
  <c r="C22" i="17"/>
  <c r="G9" i="17"/>
  <c r="C22" i="18"/>
  <c r="C22" i="24"/>
  <c r="C22" i="22"/>
  <c r="C32" i="21"/>
  <c r="C22" i="19"/>
  <c r="C22" i="20"/>
  <c r="D23" i="24"/>
  <c r="G23" i="24" s="1"/>
  <c r="I18" i="24"/>
  <c r="I13" i="24"/>
  <c r="G4" i="24"/>
  <c r="C22" i="23"/>
  <c r="D23" i="23" s="1"/>
  <c r="F23" i="23" s="1"/>
  <c r="H5" i="23"/>
  <c r="I5" i="23"/>
  <c r="H6" i="23"/>
  <c r="I10" i="22"/>
  <c r="G12" i="22"/>
  <c r="H12" i="22"/>
  <c r="I13" i="22"/>
  <c r="G7" i="22"/>
  <c r="H10" i="22"/>
  <c r="G12" i="24"/>
  <c r="G7" i="24"/>
  <c r="I5" i="24"/>
  <c r="I10" i="24"/>
  <c r="G9" i="24"/>
  <c r="G17" i="24"/>
  <c r="D22" i="24"/>
  <c r="G6" i="24"/>
  <c r="G14" i="24"/>
  <c r="G3" i="24"/>
  <c r="G11" i="24"/>
  <c r="G19" i="24"/>
  <c r="G8" i="24"/>
  <c r="G16" i="24"/>
  <c r="G23" i="23"/>
  <c r="G4" i="23"/>
  <c r="G6" i="23"/>
  <c r="B1" i="23"/>
  <c r="G5" i="22"/>
  <c r="H7" i="22"/>
  <c r="I5" i="22"/>
  <c r="B1" i="22"/>
  <c r="G4" i="22"/>
  <c r="G8" i="22"/>
  <c r="C1" i="22"/>
  <c r="H4" i="22"/>
  <c r="H8" i="22"/>
  <c r="G13" i="22"/>
  <c r="H21" i="21"/>
  <c r="H10" i="21"/>
  <c r="I10" i="21"/>
  <c r="G8" i="21"/>
  <c r="H5" i="21"/>
  <c r="I5" i="21"/>
  <c r="I8" i="21"/>
  <c r="H18" i="21"/>
  <c r="H16" i="21"/>
  <c r="G21" i="21"/>
  <c r="H9" i="22"/>
  <c r="G14" i="22"/>
  <c r="H16" i="22"/>
  <c r="H6" i="22"/>
  <c r="H14" i="22"/>
  <c r="H11" i="22"/>
  <c r="I5" i="20"/>
  <c r="B1" i="20"/>
  <c r="C1" i="20"/>
  <c r="H4" i="20"/>
  <c r="G4" i="20"/>
  <c r="C1" i="21"/>
  <c r="G15" i="21"/>
  <c r="I19" i="21"/>
  <c r="H13" i="21"/>
  <c r="H7" i="21"/>
  <c r="G12" i="21"/>
  <c r="I16" i="21"/>
  <c r="H4" i="21"/>
  <c r="B96" i="8" s="1" a="1"/>
  <c r="B96" i="8" s="1"/>
  <c r="G9" i="21"/>
  <c r="H12" i="21"/>
  <c r="H15" i="21"/>
  <c r="H23" i="21"/>
  <c r="H9" i="21"/>
  <c r="H20" i="21"/>
  <c r="H6" i="21"/>
  <c r="H17" i="21"/>
  <c r="H11" i="21"/>
  <c r="H14" i="21"/>
  <c r="H22" i="21"/>
  <c r="H4" i="19"/>
  <c r="I6" i="20"/>
  <c r="G6" i="20"/>
  <c r="C1" i="19"/>
  <c r="I4" i="19"/>
  <c r="C1" i="18"/>
  <c r="I8" i="18"/>
  <c r="I4" i="17"/>
  <c r="H15" i="17"/>
  <c r="I12" i="17"/>
  <c r="G7" i="17"/>
  <c r="H9" i="17"/>
  <c r="H11" i="17"/>
  <c r="B1" i="17"/>
  <c r="C1" i="17"/>
  <c r="G10" i="17"/>
  <c r="H10" i="17"/>
  <c r="G4" i="17"/>
  <c r="G12" i="17"/>
  <c r="G7" i="18"/>
  <c r="H5" i="18"/>
  <c r="H7" i="18"/>
  <c r="B1" i="18"/>
  <c r="I5" i="18"/>
  <c r="G4" i="18"/>
  <c r="G6" i="18"/>
  <c r="G8" i="18"/>
  <c r="H18" i="16"/>
  <c r="H17" i="16"/>
  <c r="I17" i="16"/>
  <c r="H22" i="16"/>
  <c r="G22" i="16"/>
  <c r="H30" i="16"/>
  <c r="G19" i="16"/>
  <c r="H9" i="16"/>
  <c r="G31" i="16"/>
  <c r="I12" i="16"/>
  <c r="G14" i="16"/>
  <c r="G14" i="17"/>
  <c r="H14" i="17"/>
  <c r="G6" i="17"/>
  <c r="G8" i="17"/>
  <c r="G16" i="17"/>
  <c r="G5" i="17"/>
  <c r="G13" i="17"/>
  <c r="H16" i="17"/>
  <c r="H13" i="17"/>
  <c r="H10" i="16"/>
  <c r="G6" i="16"/>
  <c r="G18" i="16"/>
  <c r="I20" i="16"/>
  <c r="G25" i="16"/>
  <c r="I27" i="16"/>
  <c r="G30" i="16"/>
  <c r="C1" i="16"/>
  <c r="I4" i="16"/>
  <c r="I9" i="16"/>
  <c r="H14" i="16"/>
  <c r="G24" i="16"/>
  <c r="H28" i="16"/>
  <c r="H11" i="16"/>
  <c r="H19" i="16"/>
  <c r="G26" i="16"/>
  <c r="H31" i="16"/>
  <c r="G5" i="16"/>
  <c r="H8" i="16"/>
  <c r="G13" i="16"/>
  <c r="H16" i="16"/>
  <c r="G21" i="16"/>
  <c r="H5" i="16"/>
  <c r="H13" i="16"/>
  <c r="H21" i="16"/>
  <c r="B1" i="16"/>
  <c r="H7" i="16"/>
  <c r="G12" i="16"/>
  <c r="H15" i="16"/>
  <c r="G20" i="16"/>
  <c r="B146" i="8" l="1" a="1"/>
  <c r="B146" i="8" s="1"/>
  <c r="D22" i="23"/>
  <c r="B116" i="8" a="1"/>
  <c r="B116" i="8" s="1"/>
  <c r="B105" i="8" a="1"/>
  <c r="B105" i="8" s="1"/>
  <c r="B90" i="8" a="1"/>
  <c r="B90" i="8" s="1"/>
  <c r="B86" i="8" a="1"/>
  <c r="B86" i="8" s="1"/>
  <c r="B78" i="8" a="1"/>
  <c r="B78" i="8" s="1"/>
  <c r="B65" i="8" a="1"/>
  <c r="B65" i="8" s="1"/>
  <c r="B43" i="8" a="1"/>
  <c r="B43" i="8" s="1"/>
  <c r="I32" i="9"/>
  <c r="I34" i="9" s="1"/>
  <c r="J32" i="9"/>
  <c r="J34" i="9" s="1"/>
  <c r="J38" i="9"/>
  <c r="I38" i="9"/>
  <c r="F23" i="24"/>
  <c r="D23" i="22"/>
  <c r="D22" i="22"/>
  <c r="D33" i="21"/>
  <c r="D32" i="21"/>
  <c r="D22" i="20"/>
  <c r="D23" i="20"/>
  <c r="D23" i="19"/>
  <c r="D22" i="19"/>
  <c r="D22" i="18"/>
  <c r="D23" i="18"/>
  <c r="D23" i="17"/>
  <c r="D22" i="17"/>
  <c r="D38" i="16"/>
  <c r="D37" i="16"/>
  <c r="E152" i="8" l="1"/>
  <c r="E151" i="8"/>
  <c r="D151" i="8"/>
  <c r="D152" i="8"/>
  <c r="G23" i="22"/>
  <c r="F23" i="22"/>
  <c r="G33" i="21"/>
  <c r="F33" i="21"/>
  <c r="G23" i="20"/>
  <c r="F23" i="20"/>
  <c r="G23" i="19"/>
  <c r="F23" i="19"/>
  <c r="G23" i="18"/>
  <c r="F23" i="18"/>
  <c r="G23" i="17"/>
  <c r="F23" i="17"/>
  <c r="G38" i="16"/>
  <c r="F38" i="16"/>
  <c r="G10" i="15" l="1"/>
  <c r="F10" i="15"/>
  <c r="D10" i="15"/>
  <c r="H10" i="15" s="1"/>
  <c r="G9" i="15"/>
  <c r="F9" i="15"/>
  <c r="D9" i="15"/>
  <c r="I9" i="15" s="1"/>
  <c r="F8" i="15"/>
  <c r="D8" i="15"/>
  <c r="I8" i="15" s="1"/>
  <c r="G7" i="15"/>
  <c r="F7" i="15"/>
  <c r="D7" i="15"/>
  <c r="I7" i="15" s="1"/>
  <c r="G6" i="15"/>
  <c r="F6" i="15"/>
  <c r="D6" i="15"/>
  <c r="I6" i="15" s="1"/>
  <c r="G5" i="15"/>
  <c r="F5" i="15"/>
  <c r="D5" i="15"/>
  <c r="H5" i="15" s="1"/>
  <c r="F4" i="15"/>
  <c r="D4" i="15"/>
  <c r="G4" i="15" s="1"/>
  <c r="F16" i="13"/>
  <c r="D16" i="13"/>
  <c r="H16" i="13" s="1"/>
  <c r="G15" i="13"/>
  <c r="F15" i="13"/>
  <c r="D15" i="13"/>
  <c r="I15" i="13" s="1"/>
  <c r="G14" i="13"/>
  <c r="F14" i="13"/>
  <c r="D14" i="13"/>
  <c r="H14" i="13" s="1"/>
  <c r="F13" i="13"/>
  <c r="D13" i="13"/>
  <c r="G13" i="13" s="1"/>
  <c r="F12" i="13"/>
  <c r="D12" i="13"/>
  <c r="I12" i="13" s="1"/>
  <c r="F11" i="13"/>
  <c r="D11" i="13"/>
  <c r="G11" i="13" s="1"/>
  <c r="F10" i="13"/>
  <c r="D10" i="13"/>
  <c r="H10" i="13" s="1"/>
  <c r="G9" i="13"/>
  <c r="F9" i="13"/>
  <c r="D9" i="13"/>
  <c r="I9" i="13" s="1"/>
  <c r="F8" i="13"/>
  <c r="D8" i="13"/>
  <c r="H8" i="13" s="1"/>
  <c r="G7" i="13"/>
  <c r="F7" i="13"/>
  <c r="D7" i="13"/>
  <c r="I7" i="13" s="1"/>
  <c r="G6" i="13"/>
  <c r="F6" i="13"/>
  <c r="D6" i="13"/>
  <c r="H6" i="13" s="1"/>
  <c r="F5" i="13"/>
  <c r="D5" i="13"/>
  <c r="G5" i="13" s="1"/>
  <c r="F4" i="13"/>
  <c r="D4" i="13"/>
  <c r="I4" i="13" s="1"/>
  <c r="F15" i="12"/>
  <c r="D15" i="12"/>
  <c r="I15" i="12" s="1"/>
  <c r="I14" i="12"/>
  <c r="H14" i="12"/>
  <c r="G14" i="12"/>
  <c r="F14" i="12"/>
  <c r="G13" i="12"/>
  <c r="F13" i="12"/>
  <c r="D13" i="12"/>
  <c r="H13" i="12" s="1"/>
  <c r="G12" i="12"/>
  <c r="F12" i="12"/>
  <c r="D12" i="12"/>
  <c r="H12" i="12" s="1"/>
  <c r="F11" i="12"/>
  <c r="D11" i="12"/>
  <c r="G11" i="12" s="1"/>
  <c r="G10" i="12"/>
  <c r="F10" i="12"/>
  <c r="D10" i="12"/>
  <c r="I10" i="12" s="1"/>
  <c r="G9" i="12"/>
  <c r="F9" i="12"/>
  <c r="D9" i="12"/>
  <c r="I9" i="12" s="1"/>
  <c r="F8" i="12"/>
  <c r="D8" i="12"/>
  <c r="G8" i="12" s="1"/>
  <c r="G7" i="12"/>
  <c r="F7" i="12"/>
  <c r="D7" i="12"/>
  <c r="I7" i="12" s="1"/>
  <c r="G6" i="12"/>
  <c r="F6" i="12"/>
  <c r="D6" i="12"/>
  <c r="I6" i="12" s="1"/>
  <c r="F5" i="12"/>
  <c r="D5" i="12"/>
  <c r="I5" i="12" s="1"/>
  <c r="G4" i="12"/>
  <c r="F4" i="12"/>
  <c r="D4" i="12"/>
  <c r="F27" i="11"/>
  <c r="D27" i="11"/>
  <c r="H27" i="11" s="1"/>
  <c r="G26" i="11"/>
  <c r="F26" i="11"/>
  <c r="D26" i="11"/>
  <c r="I26" i="11" s="1"/>
  <c r="G25" i="11"/>
  <c r="F25" i="11"/>
  <c r="D25" i="11"/>
  <c r="H25" i="11" s="1"/>
  <c r="G24" i="11"/>
  <c r="F24" i="11"/>
  <c r="D24" i="11"/>
  <c r="I24" i="11" s="1"/>
  <c r="F23" i="11"/>
  <c r="D23" i="11"/>
  <c r="I23" i="11" s="1"/>
  <c r="G22" i="11"/>
  <c r="F22" i="11"/>
  <c r="D22" i="11"/>
  <c r="I22" i="11" s="1"/>
  <c r="G21" i="11"/>
  <c r="F21" i="11"/>
  <c r="D21" i="11"/>
  <c r="I21" i="11" s="1"/>
  <c r="G20" i="11"/>
  <c r="F20" i="11"/>
  <c r="D20" i="11"/>
  <c r="H20" i="11" s="1"/>
  <c r="G19" i="11"/>
  <c r="F19" i="11"/>
  <c r="D19" i="11"/>
  <c r="H19" i="11" s="1"/>
  <c r="G18" i="11"/>
  <c r="F18" i="11"/>
  <c r="D18" i="11"/>
  <c r="I18" i="11" s="1"/>
  <c r="G17" i="11"/>
  <c r="F17" i="11"/>
  <c r="D17" i="11"/>
  <c r="H17" i="11" s="1"/>
  <c r="F16" i="11"/>
  <c r="D16" i="11"/>
  <c r="G16" i="11" s="1"/>
  <c r="D15" i="11"/>
  <c r="H15" i="11" s="1"/>
  <c r="G14" i="11"/>
  <c r="F14" i="11"/>
  <c r="D14" i="11"/>
  <c r="H14" i="11" s="1"/>
  <c r="F13" i="11"/>
  <c r="D13" i="11"/>
  <c r="I13" i="11" s="1"/>
  <c r="G12" i="11"/>
  <c r="F12" i="11"/>
  <c r="D12" i="11"/>
  <c r="H12" i="11" s="1"/>
  <c r="F11" i="11"/>
  <c r="D11" i="11"/>
  <c r="G11" i="11" s="1"/>
  <c r="G10" i="11"/>
  <c r="F10" i="11"/>
  <c r="D10" i="11"/>
  <c r="I10" i="11" s="1"/>
  <c r="G9" i="11"/>
  <c r="F9" i="11"/>
  <c r="D9" i="11"/>
  <c r="I9" i="11" s="1"/>
  <c r="F8" i="11"/>
  <c r="D8" i="11"/>
  <c r="I8" i="11" s="1"/>
  <c r="H7" i="11"/>
  <c r="G7" i="11"/>
  <c r="F7" i="11"/>
  <c r="D7" i="11"/>
  <c r="I7" i="11" s="1"/>
  <c r="H6" i="11"/>
  <c r="G6" i="11"/>
  <c r="F6" i="11"/>
  <c r="D6" i="11"/>
  <c r="I6" i="11" s="1"/>
  <c r="F5" i="11"/>
  <c r="D5" i="11"/>
  <c r="G4" i="11"/>
  <c r="F4" i="11"/>
  <c r="D4" i="11"/>
  <c r="B1" i="10"/>
  <c r="H13" i="10"/>
  <c r="G13" i="10"/>
  <c r="F13" i="10"/>
  <c r="D13" i="10"/>
  <c r="F12" i="10"/>
  <c r="D12" i="10"/>
  <c r="I12" i="10" s="1"/>
  <c r="G11" i="10"/>
  <c r="F11" i="10"/>
  <c r="D11" i="10"/>
  <c r="I11" i="10" s="1"/>
  <c r="F10" i="10"/>
  <c r="D10" i="10"/>
  <c r="H10" i="10" s="1"/>
  <c r="F9" i="10"/>
  <c r="D9" i="10"/>
  <c r="I9" i="10" s="1"/>
  <c r="G8" i="10"/>
  <c r="F8" i="10"/>
  <c r="D8" i="10"/>
  <c r="I8" i="10" s="1"/>
  <c r="G7" i="10"/>
  <c r="F7" i="10"/>
  <c r="D7" i="10"/>
  <c r="I7" i="10" s="1"/>
  <c r="G6" i="10"/>
  <c r="F6" i="10"/>
  <c r="D6" i="10"/>
  <c r="H6" i="10" s="1"/>
  <c r="G5" i="10"/>
  <c r="F5" i="10"/>
  <c r="D5" i="10"/>
  <c r="H5" i="10" s="1"/>
  <c r="F4" i="10"/>
  <c r="D4" i="10"/>
  <c r="G21" i="9"/>
  <c r="J21" i="9" s="1"/>
  <c r="J18" i="9"/>
  <c r="I18" i="9"/>
  <c r="G12" i="9"/>
  <c r="I12" i="9" s="1"/>
  <c r="J12" i="9"/>
  <c r="G13" i="9"/>
  <c r="I13" i="9" s="1"/>
  <c r="G11" i="9"/>
  <c r="I11" i="9" s="1"/>
  <c r="F21" i="9"/>
  <c r="G3" i="9"/>
  <c r="J9" i="9"/>
  <c r="G10" i="9"/>
  <c r="I10" i="9" s="1"/>
  <c r="I9" i="9"/>
  <c r="G18" i="9"/>
  <c r="G9" i="9"/>
  <c r="I13" i="10" l="1"/>
  <c r="A3" i="28" a="1"/>
  <c r="C212" i="28" s="1"/>
  <c r="D212" i="28" s="1"/>
  <c r="A38" i="8"/>
  <c r="A39" i="8" s="1"/>
  <c r="A27" i="8"/>
  <c r="A28" i="8" s="1"/>
  <c r="H4" i="12"/>
  <c r="A20" i="8"/>
  <c r="A21" i="8" s="1"/>
  <c r="I5" i="11"/>
  <c r="A9" i="8"/>
  <c r="A10" i="8" s="1"/>
  <c r="I4" i="11"/>
  <c r="G4" i="10"/>
  <c r="A2" i="8"/>
  <c r="A3" i="8" s="1"/>
  <c r="C32" i="11"/>
  <c r="C22" i="12"/>
  <c r="D22" i="12" s="1"/>
  <c r="C22" i="13"/>
  <c r="D23" i="13" s="1"/>
  <c r="C22" i="15"/>
  <c r="B1" i="15"/>
  <c r="C1" i="15"/>
  <c r="I4" i="15"/>
  <c r="H4" i="15"/>
  <c r="G8" i="15"/>
  <c r="I10" i="15"/>
  <c r="H7" i="15"/>
  <c r="I5" i="15"/>
  <c r="I6" i="13"/>
  <c r="H13" i="13"/>
  <c r="I13" i="13"/>
  <c r="I8" i="13"/>
  <c r="H11" i="13"/>
  <c r="I11" i="13"/>
  <c r="I13" i="12"/>
  <c r="H6" i="12"/>
  <c r="A31" i="9" s="1" a="1"/>
  <c r="H8" i="12"/>
  <c r="H9" i="15"/>
  <c r="H6" i="15"/>
  <c r="H8" i="15"/>
  <c r="H5" i="13"/>
  <c r="G16" i="13"/>
  <c r="I14" i="13"/>
  <c r="I16" i="13"/>
  <c r="I5" i="13"/>
  <c r="G8" i="13"/>
  <c r="G10" i="13"/>
  <c r="B1" i="13"/>
  <c r="C1" i="13"/>
  <c r="G4" i="13"/>
  <c r="H7" i="13"/>
  <c r="I10" i="13"/>
  <c r="G12" i="13"/>
  <c r="H15" i="13"/>
  <c r="H4" i="13"/>
  <c r="H12" i="13"/>
  <c r="H9" i="13"/>
  <c r="I8" i="12"/>
  <c r="G5" i="12"/>
  <c r="H11" i="12"/>
  <c r="H5" i="12"/>
  <c r="I11" i="12"/>
  <c r="B1" i="12"/>
  <c r="C1" i="12"/>
  <c r="I5" i="10"/>
  <c r="H9" i="11"/>
  <c r="H11" i="11"/>
  <c r="I15" i="11"/>
  <c r="I17" i="11"/>
  <c r="H22" i="11"/>
  <c r="I12" i="11"/>
  <c r="G8" i="11"/>
  <c r="I25" i="11"/>
  <c r="H4" i="11"/>
  <c r="H16" i="11"/>
  <c r="H21" i="11"/>
  <c r="C1" i="11"/>
  <c r="I20" i="11"/>
  <c r="H24" i="11"/>
  <c r="I14" i="11"/>
  <c r="I27" i="11"/>
  <c r="I19" i="11"/>
  <c r="G9" i="10"/>
  <c r="H9" i="10"/>
  <c r="H12" i="10"/>
  <c r="I4" i="10"/>
  <c r="H4" i="10"/>
  <c r="G12" i="10"/>
  <c r="H8" i="10"/>
  <c r="C22" i="10"/>
  <c r="I4" i="12"/>
  <c r="H9" i="12"/>
  <c r="I12" i="12"/>
  <c r="G15" i="12"/>
  <c r="H10" i="12"/>
  <c r="H15" i="12"/>
  <c r="H7" i="12"/>
  <c r="G5" i="11"/>
  <c r="H8" i="11"/>
  <c r="I11" i="11"/>
  <c r="G13" i="11"/>
  <c r="I16" i="11"/>
  <c r="H5" i="11"/>
  <c r="H13" i="11"/>
  <c r="G15" i="11"/>
  <c r="H18" i="11"/>
  <c r="G23" i="11"/>
  <c r="H26" i="11"/>
  <c r="H10" i="11"/>
  <c r="H23" i="11"/>
  <c r="B1" i="11"/>
  <c r="G27" i="11"/>
  <c r="I6" i="10"/>
  <c r="I10" i="10"/>
  <c r="H11" i="10"/>
  <c r="C1" i="10"/>
  <c r="H7" i="10"/>
  <c r="G10" i="10"/>
  <c r="I21" i="9"/>
  <c r="J13" i="9"/>
  <c r="J11" i="9"/>
  <c r="J10" i="9"/>
  <c r="A3" i="28" l="1"/>
  <c r="M4" i="28" a="1"/>
  <c r="M4" i="28" s="1"/>
  <c r="B1" i="28"/>
  <c r="C1" i="28"/>
  <c r="D22" i="13"/>
  <c r="B27" i="8" a="1"/>
  <c r="B27" i="8" s="1"/>
  <c r="B20" i="8" a="1"/>
  <c r="B20" i="8" s="1"/>
  <c r="H1" i="28"/>
  <c r="B38" i="8" a="1"/>
  <c r="B38" i="8" s="1"/>
  <c r="A31" i="9"/>
  <c r="G36" i="9"/>
  <c r="A9" i="9" a="1"/>
  <c r="A9" i="9" s="1"/>
  <c r="A18" i="9" a="1"/>
  <c r="A18" i="9" s="1"/>
  <c r="A23" i="9" a="1"/>
  <c r="A23" i="9" s="1"/>
  <c r="B1" i="8" a="1"/>
  <c r="B1" i="8" s="1"/>
  <c r="A2" i="9" a="1"/>
  <c r="A2" i="9" s="1"/>
  <c r="D23" i="15"/>
  <c r="D22" i="15"/>
  <c r="G23" i="13"/>
  <c r="F23" i="13"/>
  <c r="D23" i="12"/>
  <c r="G23" i="12" s="1"/>
  <c r="D22" i="10"/>
  <c r="D23" i="10"/>
  <c r="D33" i="11"/>
  <c r="D32" i="11"/>
  <c r="B9" i="8" s="1" a="1"/>
  <c r="D213" i="28" l="1"/>
  <c r="J36" i="9"/>
  <c r="I36" i="9"/>
  <c r="B9" i="8"/>
  <c r="B142" i="8" s="1"/>
  <c r="F23" i="12"/>
  <c r="G23" i="15"/>
  <c r="F23" i="15"/>
  <c r="F23" i="10"/>
  <c r="G23" i="10"/>
  <c r="G33" i="11"/>
  <c r="F33" i="11"/>
  <c r="G213" i="28" l="1"/>
  <c r="G216" i="28" s="1"/>
  <c r="F213" i="28"/>
  <c r="F216" i="28" s="1"/>
  <c r="B144" i="8"/>
  <c r="E150" i="8" s="1"/>
  <c r="E153" i="8" s="1"/>
  <c r="B143" i="8"/>
  <c r="D150" i="8" s="1"/>
  <c r="D153" i="8" s="1"/>
  <c r="A6" i="9" l="1"/>
  <c r="C6" i="9" s="1"/>
  <c r="D6" i="9" s="1"/>
  <c r="A15" i="9"/>
  <c r="C15" i="9" s="1"/>
  <c r="D15" i="9" s="1"/>
  <c r="A28" i="9" l="1"/>
  <c r="C28" i="9" s="1"/>
  <c r="D28" i="9" s="1"/>
  <c r="A20" i="9"/>
  <c r="C20" i="9" s="1"/>
  <c r="D20" i="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<sst xmlns="http://schemas.openxmlformats.org/spreadsheetml/2006/main" count="886" uniqueCount="289">
  <si>
    <t>gm</t>
  </si>
  <si>
    <t>oz</t>
  </si>
  <si>
    <t>runners cap</t>
  </si>
  <si>
    <t>Bathroom kit</t>
  </si>
  <si>
    <t>liner socks</t>
  </si>
  <si>
    <t>wool socks</t>
  </si>
  <si>
    <t>underwear</t>
  </si>
  <si>
    <t>head lamp</t>
  </si>
  <si>
    <t>tooth brush</t>
  </si>
  <si>
    <t>lip balm</t>
  </si>
  <si>
    <t>red bandana</t>
  </si>
  <si>
    <t>bandana</t>
  </si>
  <si>
    <t>Water Filter Kit</t>
  </si>
  <si>
    <t>rain kilt</t>
  </si>
  <si>
    <t>Maps</t>
  </si>
  <si>
    <t>bear bag and rope</t>
  </si>
  <si>
    <t>Trail details</t>
  </si>
  <si>
    <t>rope pieces</t>
  </si>
  <si>
    <t>shorts</t>
  </si>
  <si>
    <t>notepad / journal</t>
  </si>
  <si>
    <t>pen / pencil</t>
  </si>
  <si>
    <t>running tights *</t>
  </si>
  <si>
    <t>Philmont Seat</t>
  </si>
  <si>
    <t>thermal shirt *</t>
  </si>
  <si>
    <t>Ultralight chair</t>
  </si>
  <si>
    <t>balaclava *</t>
  </si>
  <si>
    <t>puffy</t>
  </si>
  <si>
    <t>Total grams</t>
  </si>
  <si>
    <t>Total base lb &amp; oz</t>
  </si>
  <si>
    <t>23oz=</t>
  </si>
  <si>
    <t>1 lb 7 oz X 7 days = 10 lbs</t>
  </si>
  <si>
    <t>gram per oz</t>
  </si>
  <si>
    <t>Food</t>
  </si>
  <si>
    <t>* heavy clothing</t>
  </si>
  <si>
    <t>Water</t>
  </si>
  <si>
    <t>oz per gram</t>
  </si>
  <si>
    <t>**Fuel 2oz/day</t>
  </si>
  <si>
    <t>Total lb &amp; oz</t>
  </si>
  <si>
    <t>Blue Pack</t>
  </si>
  <si>
    <t>Red Pack</t>
  </si>
  <si>
    <t>Yellow Pack</t>
  </si>
  <si>
    <t xml:space="preserve"> </t>
  </si>
  <si>
    <t>x</t>
  </si>
  <si>
    <t>Items</t>
  </si>
  <si>
    <t>pocket knife</t>
  </si>
  <si>
    <t>sewing kit</t>
  </si>
  <si>
    <t>gators</t>
  </si>
  <si>
    <t>2 ounce fuel per day</t>
  </si>
  <si>
    <t>24-32 ounces food per day</t>
  </si>
  <si>
    <t>Zip lock bags (1 gallon) food</t>
  </si>
  <si>
    <t>Zip lock bags (2 gallon) food</t>
  </si>
  <si>
    <t>sunscreen</t>
  </si>
  <si>
    <t>grams</t>
  </si>
  <si>
    <t>ounces</t>
  </si>
  <si>
    <t>Pack Group</t>
  </si>
  <si>
    <t>Orange Pack #1</t>
  </si>
  <si>
    <t>New Pack</t>
  </si>
  <si>
    <t>Green/Tan Pack Cover</t>
  </si>
  <si>
    <t>Orange Pack Cover</t>
  </si>
  <si>
    <t>Pack hip pockets</t>
  </si>
  <si>
    <t>Pack Liner/Garbage bag</t>
  </si>
  <si>
    <t>Shelter Group</t>
  </si>
  <si>
    <t>Tree straps black</t>
  </si>
  <si>
    <t>Whoopie slings #1</t>
  </si>
  <si>
    <t>Tarp grey &amp; lines</t>
  </si>
  <si>
    <t>bug net original</t>
  </si>
  <si>
    <t>bug net new</t>
  </si>
  <si>
    <t>stakes AL red</t>
  </si>
  <si>
    <t>stakes AL orange</t>
  </si>
  <si>
    <t>stakes Ti</t>
  </si>
  <si>
    <t>tent outside</t>
  </si>
  <si>
    <t>tent inside</t>
  </si>
  <si>
    <t>Air matress Big Birtha</t>
  </si>
  <si>
    <t>Air matress blue</t>
  </si>
  <si>
    <t>Tyvek 4x3</t>
  </si>
  <si>
    <t>plastic footprint</t>
  </si>
  <si>
    <t>Sleeping Group</t>
  </si>
  <si>
    <r>
      <t>30</t>
    </r>
    <r>
      <rPr>
        <sz val="11"/>
        <rFont val="Times New Roman"/>
        <family val="1"/>
      </rPr>
      <t>°</t>
    </r>
    <r>
      <rPr>
        <sz val="11"/>
        <rFont val="Calibri"/>
        <family val="2"/>
        <scheme val="minor"/>
      </rPr>
      <t xml:space="preserve"> sleeping bag</t>
    </r>
  </si>
  <si>
    <t>Pack Weight</t>
  </si>
  <si>
    <t>Selected Items Weight for bas pack weight</t>
  </si>
  <si>
    <t>Mylar blanket</t>
  </si>
  <si>
    <t>Fleece hat</t>
  </si>
  <si>
    <t>Under Quilt</t>
  </si>
  <si>
    <t>Hygiene Group</t>
  </si>
  <si>
    <t>Navigation Group</t>
  </si>
  <si>
    <t>Repair Group</t>
  </si>
  <si>
    <t>First Aid Group</t>
  </si>
  <si>
    <t>Misc Group</t>
  </si>
  <si>
    <t>Rain Gear Group</t>
  </si>
  <si>
    <t>Clothing in Pack Group</t>
  </si>
  <si>
    <t>Clothing Worn Group</t>
  </si>
  <si>
    <t>Consumables Group</t>
  </si>
  <si>
    <t>belt</t>
  </si>
  <si>
    <t>suspenders</t>
  </si>
  <si>
    <t>eye glass case - soft</t>
  </si>
  <si>
    <t>Headband</t>
  </si>
  <si>
    <t>short sleeve shirt</t>
  </si>
  <si>
    <t>long sleeve shirt</t>
  </si>
  <si>
    <t>Down booties</t>
  </si>
  <si>
    <t>Wool socks</t>
  </si>
  <si>
    <t>camp shoes</t>
  </si>
  <si>
    <t>Fleece sleeping bag</t>
  </si>
  <si>
    <t>sleeping bag liner blue</t>
  </si>
  <si>
    <t>pillow orange/gray</t>
  </si>
  <si>
    <t>Rain pants black *</t>
  </si>
  <si>
    <t>Rain jacket Green *</t>
  </si>
  <si>
    <t>IsoPro Stove w/ ignitor</t>
  </si>
  <si>
    <t>New Rain Pants Xeon</t>
  </si>
  <si>
    <t>DutchGear $55</t>
  </si>
  <si>
    <t>pot .7 gt cup &amp; windscreen</t>
  </si>
  <si>
    <t>New</t>
  </si>
  <si>
    <t>New Items</t>
  </si>
  <si>
    <t>lighter</t>
  </si>
  <si>
    <t>maches</t>
  </si>
  <si>
    <t>dryer lint</t>
  </si>
  <si>
    <t>spork short</t>
  </si>
  <si>
    <t>Fuel botle **</t>
  </si>
  <si>
    <t>Alcohol Stove **</t>
  </si>
  <si>
    <t>cozy for freezer bag meals</t>
  </si>
  <si>
    <t>IsoPro canister stand</t>
  </si>
  <si>
    <t>IsoPro canister 8oz</t>
  </si>
  <si>
    <t>IsoPro canister 4oz</t>
  </si>
  <si>
    <t>Refer to Recipies.txt</t>
  </si>
  <si>
    <t>water jug botom</t>
  </si>
  <si>
    <t>food bag yellow</t>
  </si>
  <si>
    <t>3 liter bladder</t>
  </si>
  <si>
    <t>smart water bottles</t>
  </si>
  <si>
    <t>water bottles collapsable</t>
  </si>
  <si>
    <t xml:space="preserve">  --tubing</t>
  </si>
  <si>
    <t xml:space="preserve">   --CNOC 3 liter</t>
  </si>
  <si>
    <t xml:space="preserve">  --sawyer squeze</t>
  </si>
  <si>
    <t>pack towel</t>
  </si>
  <si>
    <t>Shovel Titanium</t>
  </si>
  <si>
    <t>Bandana blue</t>
  </si>
  <si>
    <t>hand sanitizer on pack</t>
  </si>
  <si>
    <t>Compass</t>
  </si>
  <si>
    <t>First aid kit</t>
  </si>
  <si>
    <t>Tenacious tape</t>
  </si>
  <si>
    <t>extra buckle</t>
  </si>
  <si>
    <t>mosquito head net</t>
  </si>
  <si>
    <t>license / money / credit card</t>
  </si>
  <si>
    <t>flashlight</t>
  </si>
  <si>
    <t>Nylon water bag</t>
  </si>
  <si>
    <t>Medication</t>
  </si>
  <si>
    <t>64 ounces water</t>
  </si>
  <si>
    <t>hiking boots</t>
  </si>
  <si>
    <t>tech shirt</t>
  </si>
  <si>
    <t>Kilt / Zip-offs</t>
  </si>
  <si>
    <t>Shovel plastic</t>
  </si>
  <si>
    <t>hand sanitizer (extra)</t>
  </si>
  <si>
    <t>phone (in zip-loc)</t>
  </si>
  <si>
    <t>trekking poles</t>
  </si>
  <si>
    <t>foam pad 12 x 18</t>
  </si>
  <si>
    <t>foam pad 17 x 24</t>
  </si>
  <si>
    <t>Liner socks</t>
  </si>
  <si>
    <t>Sleeping Clothes Group</t>
  </si>
  <si>
    <t>zip-offs</t>
  </si>
  <si>
    <t>gloves/mittens</t>
  </si>
  <si>
    <t xml:space="preserve">long sleeve shirt </t>
  </si>
  <si>
    <t>long sleeve shirt heavy</t>
  </si>
  <si>
    <t>thermal underwear</t>
  </si>
  <si>
    <t>neck gaiter</t>
  </si>
  <si>
    <t>bug spray</t>
  </si>
  <si>
    <t>Pounds</t>
  </si>
  <si>
    <t>Ounces</t>
  </si>
  <si>
    <t>lbs</t>
  </si>
  <si>
    <t xml:space="preserve">  grams | ounces</t>
  </si>
  <si>
    <t>phone battery 10,000mAh</t>
  </si>
  <si>
    <t>phone battery 4,000mAh</t>
  </si>
  <si>
    <t>pillow black (Outdoor Vitals)</t>
  </si>
  <si>
    <t>Duct tape on trekking poles</t>
  </si>
  <si>
    <t>spare batteries 3 AAA</t>
  </si>
  <si>
    <t>tooth  dots / paste</t>
  </si>
  <si>
    <t>spare batteries 3 AA</t>
  </si>
  <si>
    <t>BRS 3000T Backpacking Stove</t>
  </si>
  <si>
    <t>Cocoon Silk MummyLiner 4oz</t>
  </si>
  <si>
    <t>Total Ounces</t>
  </si>
  <si>
    <t>.67oz noseeum RBT; 4oz</t>
  </si>
  <si>
    <t>HydroBlu Versa Filter 40g</t>
  </si>
  <si>
    <t>Notes</t>
  </si>
  <si>
    <t xml:space="preserve">  --Filter  (New: Versa Filter)</t>
  </si>
  <si>
    <t>1.1oz polysil 8yds RBTR;  12.9 sq yds;1.1=14.2; 1.6=20.6</t>
  </si>
  <si>
    <t>Kilt</t>
  </si>
  <si>
    <t>Rain jacket white/green</t>
  </si>
  <si>
    <t>Need Weight</t>
  </si>
  <si>
    <t>Zip lock bags (1 quart) food</t>
  </si>
  <si>
    <t>hammock chair (green)</t>
  </si>
  <si>
    <r>
      <t>0</t>
    </r>
    <r>
      <rPr>
        <sz val="11"/>
        <rFont val="Times New Roman"/>
        <family val="1"/>
      </rPr>
      <t>°</t>
    </r>
    <r>
      <rPr>
        <sz val="11"/>
        <rFont val="Calibri"/>
        <family val="2"/>
      </rPr>
      <t xml:space="preserve"> sleeping bag</t>
    </r>
    <r>
      <rPr>
        <sz val="11"/>
        <rFont val="Calibri"/>
        <family val="2"/>
        <scheme val="minor"/>
      </rPr>
      <t xml:space="preserve"> - Antero</t>
    </r>
  </si>
  <si>
    <r>
      <t>15</t>
    </r>
    <r>
      <rPr>
        <sz val="11"/>
        <rFont val="Times New Roman"/>
        <family val="1"/>
      </rPr>
      <t>°</t>
    </r>
    <r>
      <rPr>
        <sz val="11"/>
        <rFont val="Calibri"/>
        <family val="2"/>
      </rPr>
      <t xml:space="preserve"> sleeping bag</t>
    </r>
    <r>
      <rPr>
        <sz val="11"/>
        <rFont val="Calibri"/>
        <family val="2"/>
        <scheme val="minor"/>
      </rPr>
      <t xml:space="preserve"> - Katahdin</t>
    </r>
  </si>
  <si>
    <t>Hammock Olive</t>
  </si>
  <si>
    <t>Camp chair - heavy</t>
  </si>
  <si>
    <t>Tarp Forest green &amp; lines</t>
  </si>
  <si>
    <t>spoon long</t>
  </si>
  <si>
    <t>Helinox Chair Zero Ultralight 1.2lbs $129.99</t>
  </si>
  <si>
    <t>Bridge Hammock; 1.2 Hexon Olive</t>
  </si>
  <si>
    <t>Tree straps spider poly</t>
  </si>
  <si>
    <t>UCR</t>
  </si>
  <si>
    <t>Rain jacket blue FroggTog</t>
  </si>
  <si>
    <t>Rain pants blue FroggTog</t>
  </si>
  <si>
    <t>food bag Blue</t>
  </si>
  <si>
    <t>BRS 3000T Stove</t>
  </si>
  <si>
    <t>older; Do NOT Use</t>
  </si>
  <si>
    <t>Top Quilt</t>
  </si>
  <si>
    <t>Tyvek 7.5' x 5' footprint</t>
  </si>
  <si>
    <t>Tyvek 8x3 footprint</t>
  </si>
  <si>
    <t>New Hammock; 1.6oz Hexon</t>
  </si>
  <si>
    <t>Spreader Bars 28"</t>
  </si>
  <si>
    <t>Spreader Bars 32"</t>
  </si>
  <si>
    <t>1.25 Qt. Pot &amp; windscreen Large</t>
  </si>
  <si>
    <t xml:space="preserve">  --bleach/polar pure/ tablets</t>
  </si>
  <si>
    <t xml:space="preserve">  --6 large safety pins</t>
  </si>
  <si>
    <t xml:space="preserve">  --nail clippers</t>
  </si>
  <si>
    <t>lb</t>
  </si>
  <si>
    <t>P</t>
  </si>
  <si>
    <t>C</t>
  </si>
  <si>
    <t>H</t>
  </si>
  <si>
    <t>T</t>
  </si>
  <si>
    <t>New Under Quilt</t>
  </si>
  <si>
    <t>Bridge Hammock</t>
  </si>
  <si>
    <t>Tent</t>
  </si>
  <si>
    <t>Tarp</t>
  </si>
  <si>
    <t>Backpack</t>
  </si>
  <si>
    <t>Lighten bug net</t>
  </si>
  <si>
    <t>Convert to treking poles</t>
  </si>
  <si>
    <t>Tent Hammock</t>
  </si>
  <si>
    <t>sq. inches per yard</t>
  </si>
  <si>
    <t>Poles</t>
  </si>
  <si>
    <t>bag</t>
  </si>
  <si>
    <t>pole bag</t>
  </si>
  <si>
    <t>Hammock w/ bugnet</t>
  </si>
  <si>
    <t>straps, stakes, shock cord, bag</t>
  </si>
  <si>
    <t>Griz Arieal Hammock; 1.6ox Hexon</t>
  </si>
  <si>
    <t xml:space="preserve">Kitchen Group  </t>
  </si>
  <si>
    <t>Consider droping</t>
  </si>
  <si>
    <t>Lighter journal</t>
  </si>
  <si>
    <t>sq yards</t>
  </si>
  <si>
    <t>New Top Quilt</t>
  </si>
  <si>
    <t>New liner</t>
  </si>
  <si>
    <t>naturehike 4.5oz 29.99</t>
  </si>
  <si>
    <t>Sleeping Bags</t>
  </si>
  <si>
    <t>Combined (hammock)</t>
  </si>
  <si>
    <t>Copmbined</t>
  </si>
  <si>
    <t>Weight Saved</t>
  </si>
  <si>
    <t>Material Weight gm</t>
  </si>
  <si>
    <t>Argon 90</t>
  </si>
  <si>
    <t>Climashield</t>
  </si>
  <si>
    <t>Climashied</t>
  </si>
  <si>
    <t>40 F</t>
  </si>
  <si>
    <t>30 F</t>
  </si>
  <si>
    <t>20 F</t>
  </si>
  <si>
    <t>10 F</t>
  </si>
  <si>
    <t>Hammock weight</t>
  </si>
  <si>
    <t>1.6 OZ Xeon</t>
  </si>
  <si>
    <t>.67 oz bugnet</t>
  </si>
  <si>
    <t>Base Weight</t>
  </si>
  <si>
    <t>Food Weight</t>
  </si>
  <si>
    <t>Water Weight</t>
  </si>
  <si>
    <t>Full Sheet Name</t>
  </si>
  <si>
    <t>Sheet Name</t>
  </si>
  <si>
    <t>Sheet Link</t>
  </si>
  <si>
    <t>Fiter sheet names '_'</t>
  </si>
  <si>
    <t>Selected Items Weight for base pack weight</t>
  </si>
  <si>
    <t>50 F</t>
  </si>
  <si>
    <t>New Pack Cover</t>
  </si>
  <si>
    <t xml:space="preserve">  </t>
  </si>
  <si>
    <t>Menu!A1</t>
  </si>
  <si>
    <t xml:space="preserve">  ---TP</t>
  </si>
  <si>
    <t xml:space="preserve">  ---wet wipes</t>
  </si>
  <si>
    <t xml:space="preserve">  --- hand sanitizer</t>
  </si>
  <si>
    <t xml:space="preserve">  ---Gold Bond</t>
  </si>
  <si>
    <t>Menu</t>
  </si>
  <si>
    <t>sleeping bag liner NatureHike 4.5oz</t>
  </si>
  <si>
    <t>H=Hammock</t>
  </si>
  <si>
    <t>C=Tarp</t>
  </si>
  <si>
    <t>T=Tent</t>
  </si>
  <si>
    <t>Go</t>
  </si>
  <si>
    <t>Shelter</t>
  </si>
  <si>
    <t>SleepingGear</t>
  </si>
  <si>
    <t>SleepingClothes</t>
  </si>
  <si>
    <t>RainGear</t>
  </si>
  <si>
    <t>Kitchen</t>
  </si>
  <si>
    <t>Hygiene</t>
  </si>
  <si>
    <t>Navigation</t>
  </si>
  <si>
    <t>FirstAid</t>
  </si>
  <si>
    <t>Repair</t>
  </si>
  <si>
    <t>Misc</t>
  </si>
  <si>
    <t>ClothingPacked</t>
  </si>
  <si>
    <t>Consumables</t>
  </si>
  <si>
    <t>ClothingWorn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</si>
</sst>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 0;\-0;;@"/>
    <numFmt numFmtId="165" formatCode="0;\-0;;\ @"/>
  </numFmts>
  <fonts count="2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</font>
    <font>
      <sz val="11"/>
      <name val="Arial"/>
      <family val="2"/>
    </font>
    <font>
      <b/>
      <u/>
      <sz val="12"/>
      <name val="Calibri"/>
      <family val="2"/>
      <scheme val="minor"/>
    </font>
    <font>
      <b/>
      <i/>
      <u/>
      <sz val="12"/>
      <name val="Calibri"/>
      <family val="2"/>
      <scheme val="minor"/>
    </font>
    <font>
      <sz val="11"/>
      <color theme="1"/>
      <name val="Wingdings"/>
      <charset val="2"/>
    </font>
    <font>
      <b/>
      <u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Roboto Mono"/>
      <family val="3"/>
    </font>
    <font>
      <u/>
      <sz val="11"/>
      <color theme="10"/>
      <name val="Calibri"/>
      <family val="2"/>
      <scheme val="minor"/>
    </font>
    <font>
      <b/>
      <u/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EB8B8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4" fillId="0" borderId="0"/>
    <xf numFmtId="0" fontId="21" fillId="0" borderId="0" applyNumberFormat="0" applyFill="0" applyBorder="0" applyAlignment="0" applyProtection="0"/>
  </cellStyleXfs>
  <cellXfs count="175">
    <xf numFmtId="0" fontId="0" fillId="0" borderId="0" xfId="0"/>
    <xf numFmtId="0" fontId="1" fillId="0" borderId="0" xfId="0" quotePrefix="1" applyFont="1"/>
    <xf numFmtId="0" fontId="2" fillId="0" borderId="0" xfId="0" applyFont="1"/>
    <xf numFmtId="0" fontId="1" fillId="2" borderId="0" xfId="0" applyFont="1" applyFill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8" xfId="0" applyFont="1" applyBorder="1"/>
    <xf numFmtId="2" fontId="0" fillId="0" borderId="0" xfId="0" applyNumberFormat="1"/>
    <xf numFmtId="0" fontId="2" fillId="0" borderId="2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/>
    <xf numFmtId="0" fontId="0" fillId="0" borderId="0" xfId="0" applyFont="1"/>
    <xf numFmtId="0" fontId="4" fillId="0" borderId="0" xfId="1"/>
    <xf numFmtId="0" fontId="6" fillId="0" borderId="0" xfId="1" applyFont="1"/>
    <xf numFmtId="0" fontId="6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5" fillId="0" borderId="0" xfId="0" applyFont="1"/>
    <xf numFmtId="2" fontId="5" fillId="0" borderId="0" xfId="0" applyNumberFormat="1" applyFont="1"/>
    <xf numFmtId="0" fontId="5" fillId="0" borderId="5" xfId="0" applyFont="1" applyBorder="1"/>
    <xf numFmtId="0" fontId="3" fillId="0" borderId="0" xfId="1" applyFont="1"/>
    <xf numFmtId="0" fontId="9" fillId="0" borderId="0" xfId="1" applyFont="1" applyAlignment="1">
      <alignment horizontal="center"/>
    </xf>
    <xf numFmtId="0" fontId="9" fillId="0" borderId="0" xfId="1" applyFont="1"/>
    <xf numFmtId="2" fontId="2" fillId="0" borderId="3" xfId="0" applyNumberFormat="1" applyFont="1" applyBorder="1"/>
    <xf numFmtId="0" fontId="5" fillId="3" borderId="0" xfId="0" applyFont="1" applyFill="1"/>
    <xf numFmtId="0" fontId="3" fillId="3" borderId="0" xfId="1" applyFont="1" applyFill="1"/>
    <xf numFmtId="0" fontId="10" fillId="3" borderId="0" xfId="1" applyFont="1" applyFill="1"/>
    <xf numFmtId="2" fontId="5" fillId="0" borderId="0" xfId="0" applyNumberFormat="1" applyFont="1" applyBorder="1"/>
    <xf numFmtId="0" fontId="5" fillId="0" borderId="0" xfId="0" applyFont="1" applyBorder="1"/>
    <xf numFmtId="0" fontId="2" fillId="0" borderId="11" xfId="0" applyFont="1" applyBorder="1"/>
    <xf numFmtId="2" fontId="9" fillId="0" borderId="0" xfId="1" applyNumberFormat="1" applyFont="1" applyAlignment="1">
      <alignment horizontal="center"/>
    </xf>
    <xf numFmtId="2" fontId="8" fillId="0" borderId="0" xfId="1" applyNumberFormat="1" applyFont="1"/>
    <xf numFmtId="2" fontId="5" fillId="0" borderId="13" xfId="0" applyNumberFormat="1" applyFont="1" applyBorder="1"/>
    <xf numFmtId="0" fontId="9" fillId="0" borderId="0" xfId="1" applyFont="1" applyAlignment="1">
      <alignment horizontal="left"/>
    </xf>
    <xf numFmtId="0" fontId="10" fillId="0" borderId="0" xfId="1" applyFont="1" applyFill="1"/>
    <xf numFmtId="0" fontId="3" fillId="0" borderId="0" xfId="1" applyFont="1" applyProtection="1">
      <protection locked="0"/>
    </xf>
    <xf numFmtId="0" fontId="13" fillId="0" borderId="0" xfId="1" applyFont="1"/>
    <xf numFmtId="0" fontId="14" fillId="0" borderId="0" xfId="1" applyFont="1"/>
    <xf numFmtId="0" fontId="3" fillId="5" borderId="0" xfId="1" applyFont="1" applyFill="1"/>
    <xf numFmtId="0" fontId="10" fillId="5" borderId="0" xfId="1" applyFont="1" applyFill="1"/>
    <xf numFmtId="0" fontId="8" fillId="3" borderId="0" xfId="1" applyFont="1" applyFill="1"/>
    <xf numFmtId="0" fontId="0" fillId="2" borderId="0" xfId="0" quotePrefix="1" applyFill="1"/>
    <xf numFmtId="0" fontId="0" fillId="0" borderId="0" xfId="0" applyFont="1" applyAlignment="1">
      <alignment vertical="center"/>
    </xf>
    <xf numFmtId="0" fontId="0" fillId="5" borderId="0" xfId="0" applyFont="1" applyFill="1"/>
    <xf numFmtId="2" fontId="3" fillId="0" borderId="0" xfId="1" applyNumberFormat="1" applyFont="1"/>
    <xf numFmtId="0" fontId="10" fillId="4" borderId="0" xfId="1" applyFont="1" applyFill="1"/>
    <xf numFmtId="0" fontId="3" fillId="4" borderId="0" xfId="1" quotePrefix="1" applyFont="1" applyFill="1"/>
    <xf numFmtId="0" fontId="7" fillId="0" borderId="0" xfId="1" applyFont="1" applyFill="1"/>
    <xf numFmtId="0" fontId="3" fillId="0" borderId="0" xfId="1" applyFont="1" applyFill="1"/>
    <xf numFmtId="2" fontId="5" fillId="0" borderId="0" xfId="0" applyNumberFormat="1" applyFont="1" applyFill="1"/>
    <xf numFmtId="0" fontId="0" fillId="0" borderId="0" xfId="0" applyFont="1" applyFill="1"/>
    <xf numFmtId="0" fontId="8" fillId="0" borderId="0" xfId="1" applyFont="1" applyFill="1"/>
    <xf numFmtId="2" fontId="8" fillId="0" borderId="0" xfId="1" applyNumberFormat="1" applyFont="1" applyFill="1"/>
    <xf numFmtId="0" fontId="1" fillId="5" borderId="0" xfId="0" applyFont="1" applyFill="1"/>
    <xf numFmtId="0" fontId="0" fillId="0" borderId="9" xfId="0" applyFont="1" applyBorder="1"/>
    <xf numFmtId="0" fontId="2" fillId="0" borderId="12" xfId="0" applyFont="1" applyBorder="1" applyAlignment="1">
      <alignment horizontal="right"/>
    </xf>
    <xf numFmtId="2" fontId="2" fillId="0" borderId="0" xfId="0" applyNumberFormat="1" applyFont="1" applyBorder="1" applyAlignment="1">
      <alignment horizontal="right"/>
    </xf>
    <xf numFmtId="0" fontId="2" fillId="0" borderId="1" xfId="0" quotePrefix="1" applyFont="1" applyBorder="1"/>
    <xf numFmtId="0" fontId="3" fillId="6" borderId="0" xfId="1" applyFont="1" applyFill="1"/>
    <xf numFmtId="0" fontId="3" fillId="0" borderId="0" xfId="1" applyFont="1" applyAlignment="1">
      <alignment wrapText="1"/>
    </xf>
    <xf numFmtId="0" fontId="2" fillId="0" borderId="15" xfId="0" applyFont="1" applyBorder="1"/>
    <xf numFmtId="0" fontId="2" fillId="0" borderId="17" xfId="0" applyFont="1" applyBorder="1"/>
    <xf numFmtId="0" fontId="2" fillId="0" borderId="19" xfId="0" applyFont="1" applyBorder="1"/>
    <xf numFmtId="0" fontId="9" fillId="0" borderId="0" xfId="1" applyFont="1" applyFill="1" applyAlignment="1">
      <alignment horizontal="center"/>
    </xf>
    <xf numFmtId="0" fontId="5" fillId="0" borderId="0" xfId="0" applyFont="1" applyFill="1"/>
    <xf numFmtId="0" fontId="5" fillId="0" borderId="7" xfId="0" applyFont="1" applyFill="1" applyBorder="1"/>
    <xf numFmtId="0" fontId="3" fillId="7" borderId="0" xfId="1" applyFont="1" applyFill="1"/>
    <xf numFmtId="0" fontId="3" fillId="3" borderId="0" xfId="1" applyFont="1" applyFill="1" applyAlignment="1">
      <alignment wrapText="1"/>
    </xf>
    <xf numFmtId="2" fontId="0" fillId="0" borderId="0" xfId="0" applyNumberFormat="1" applyFont="1"/>
    <xf numFmtId="2" fontId="0" fillId="0" borderId="0" xfId="0" applyNumberFormat="1" applyFont="1" applyFill="1"/>
    <xf numFmtId="0" fontId="10" fillId="3" borderId="0" xfId="1" applyFont="1" applyFill="1" applyAlignment="1">
      <alignment wrapText="1"/>
    </xf>
    <xf numFmtId="0" fontId="17" fillId="0" borderId="0" xfId="0" applyFont="1"/>
    <xf numFmtId="164" fontId="0" fillId="0" borderId="0" xfId="0" applyNumberFormat="1"/>
    <xf numFmtId="164" fontId="8" fillId="0" borderId="0" xfId="1" applyNumberFormat="1" applyFont="1"/>
    <xf numFmtId="164" fontId="9" fillId="0" borderId="0" xfId="1" applyNumberFormat="1" applyFont="1" applyAlignment="1">
      <alignment horizontal="center"/>
    </xf>
    <xf numFmtId="164" fontId="5" fillId="0" borderId="0" xfId="0" applyNumberFormat="1" applyFont="1"/>
    <xf numFmtId="164" fontId="0" fillId="0" borderId="0" xfId="0" applyNumberFormat="1" applyFont="1"/>
    <xf numFmtId="164" fontId="3" fillId="0" borderId="0" xfId="1" applyNumberFormat="1" applyFont="1"/>
    <xf numFmtId="164" fontId="2" fillId="0" borderId="0" xfId="0" applyNumberFormat="1" applyFont="1" applyBorder="1" applyAlignment="1">
      <alignment horizontal="right"/>
    </xf>
    <xf numFmtId="2" fontId="2" fillId="0" borderId="0" xfId="0" applyNumberFormat="1" applyFont="1" applyBorder="1"/>
    <xf numFmtId="0" fontId="18" fillId="0" borderId="0" xfId="1" applyFont="1" applyFill="1"/>
    <xf numFmtId="2" fontId="17" fillId="0" borderId="0" xfId="0" applyNumberFormat="1" applyFont="1" applyAlignment="1">
      <alignment horizontal="center"/>
    </xf>
    <xf numFmtId="2" fontId="2" fillId="0" borderId="14" xfId="0" applyNumberFormat="1" applyFont="1" applyBorder="1" applyAlignment="1">
      <alignment horizontal="center"/>
    </xf>
    <xf numFmtId="2" fontId="2" fillId="0" borderId="16" xfId="0" applyNumberFormat="1" applyFont="1" applyBorder="1" applyAlignment="1">
      <alignment horizontal="center"/>
    </xf>
    <xf numFmtId="2" fontId="2" fillId="0" borderId="18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19" fillId="3" borderId="0" xfId="1" applyFont="1" applyFill="1" applyAlignment="1">
      <alignment wrapText="1"/>
    </xf>
    <xf numFmtId="0" fontId="3" fillId="0" borderId="0" xfId="1" applyFont="1" applyFill="1" applyBorder="1"/>
    <xf numFmtId="0" fontId="3" fillId="0" borderId="0" xfId="1" applyFont="1" applyBorder="1" applyAlignment="1">
      <alignment wrapText="1"/>
    </xf>
    <xf numFmtId="0" fontId="0" fillId="0" borderId="0" xfId="0" applyFont="1" applyAlignment="1"/>
    <xf numFmtId="0" fontId="10" fillId="0" borderId="0" xfId="1" applyFont="1"/>
    <xf numFmtId="0" fontId="4" fillId="0" borderId="0" xfId="1" applyFill="1"/>
    <xf numFmtId="2" fontId="2" fillId="0" borderId="0" xfId="0" applyNumberFormat="1" applyFont="1" applyAlignment="1">
      <alignment horizontal="center"/>
    </xf>
    <xf numFmtId="2" fontId="0" fillId="8" borderId="0" xfId="0" applyNumberFormat="1" applyFill="1"/>
    <xf numFmtId="0" fontId="0" fillId="8" borderId="0" xfId="0" applyFill="1"/>
    <xf numFmtId="0" fontId="0" fillId="9" borderId="0" xfId="0" applyFill="1"/>
    <xf numFmtId="2" fontId="0" fillId="9" borderId="0" xfId="0" applyNumberFormat="1" applyFill="1"/>
    <xf numFmtId="2" fontId="0" fillId="4" borderId="0" xfId="0" applyNumberFormat="1" applyFill="1"/>
    <xf numFmtId="0" fontId="0" fillId="4" borderId="0" xfId="0" applyFill="1"/>
    <xf numFmtId="2" fontId="0" fillId="10" borderId="0" xfId="0" applyNumberFormat="1" applyFill="1"/>
    <xf numFmtId="0" fontId="0" fillId="10" borderId="0" xfId="0" applyFill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0" xfId="1" applyFont="1" applyFill="1" applyAlignment="1">
      <alignment horizontal="center"/>
    </xf>
    <xf numFmtId="0" fontId="3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164" fontId="3" fillId="0" borderId="0" xfId="1" applyNumberFormat="1" applyFont="1" applyAlignment="1">
      <alignment horizontal="center"/>
    </xf>
    <xf numFmtId="2" fontId="17" fillId="0" borderId="0" xfId="0" applyNumberFormat="1" applyFont="1"/>
    <xf numFmtId="0" fontId="17" fillId="0" borderId="0" xfId="0" applyFont="1" applyAlignment="1">
      <alignment horizontal="center"/>
    </xf>
    <xf numFmtId="2" fontId="2" fillId="0" borderId="0" xfId="0" applyNumberFormat="1" applyFont="1"/>
    <xf numFmtId="0" fontId="2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Border="1" applyAlignment="1">
      <alignment horizontal="right"/>
    </xf>
    <xf numFmtId="164" fontId="2" fillId="0" borderId="0" xfId="0" applyNumberFormat="1" applyFont="1"/>
    <xf numFmtId="0" fontId="2" fillId="0" borderId="0" xfId="0" applyFont="1" applyAlignment="1">
      <alignment horizontal="center"/>
    </xf>
    <xf numFmtId="0" fontId="0" fillId="0" borderId="9" xfId="0" applyBorder="1"/>
    <xf numFmtId="2" fontId="0" fillId="0" borderId="10" xfId="0" applyNumberFormat="1" applyBorder="1"/>
    <xf numFmtId="0" fontId="0" fillId="0" borderId="5" xfId="0" applyBorder="1"/>
    <xf numFmtId="2" fontId="0" fillId="0" borderId="6" xfId="0" applyNumberFormat="1" applyBorder="1"/>
    <xf numFmtId="2" fontId="2" fillId="0" borderId="2" xfId="0" applyNumberFormat="1" applyFont="1" applyBorder="1"/>
    <xf numFmtId="2" fontId="2" fillId="0" borderId="4" xfId="0" applyNumberFormat="1" applyFont="1" applyBorder="1"/>
    <xf numFmtId="0" fontId="2" fillId="0" borderId="11" xfId="0" applyFont="1" applyBorder="1" applyAlignment="1">
      <alignment horizontal="right"/>
    </xf>
    <xf numFmtId="0" fontId="2" fillId="0" borderId="20" xfId="0" applyFont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16" fillId="0" borderId="0" xfId="0" applyFont="1"/>
    <xf numFmtId="0" fontId="20" fillId="0" borderId="0" xfId="0" applyFont="1"/>
    <xf numFmtId="0" fontId="21" fillId="0" borderId="0" xfId="2"/>
    <xf numFmtId="0" fontId="0" fillId="0" borderId="0" xfId="0" applyAlignment="1">
      <alignment textRotation="46"/>
    </xf>
    <xf numFmtId="0" fontId="0" fillId="0" borderId="0" xfId="0" applyAlignment="1">
      <alignment textRotation="50"/>
    </xf>
    <xf numFmtId="0" fontId="15" fillId="0" borderId="0" xfId="1" applyFont="1" applyFill="1"/>
    <xf numFmtId="49" fontId="8" fillId="0" borderId="0" xfId="1" applyNumberFormat="1" applyFont="1"/>
    <xf numFmtId="49" fontId="9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/>
    </xf>
    <xf numFmtId="49" fontId="5" fillId="0" borderId="0" xfId="0" applyNumberFormat="1" applyFont="1"/>
    <xf numFmtId="49" fontId="21" fillId="0" borderId="0" xfId="2" applyNumberFormat="1"/>
    <xf numFmtId="49" fontId="4" fillId="0" borderId="0" xfId="1" applyNumberFormat="1"/>
    <xf numFmtId="49" fontId="0" fillId="0" borderId="0" xfId="0" applyNumberFormat="1" applyFont="1"/>
    <xf numFmtId="49" fontId="4" fillId="0" borderId="0" xfId="1" applyNumberFormat="1" applyFont="1"/>
    <xf numFmtId="165" fontId="5" fillId="0" borderId="0" xfId="0" applyNumberFormat="1" applyFont="1"/>
    <xf numFmtId="165" fontId="8" fillId="0" borderId="0" xfId="1" applyNumberFormat="1" applyFont="1"/>
    <xf numFmtId="165" fontId="3" fillId="0" borderId="0" xfId="1" applyNumberFormat="1" applyFont="1"/>
    <xf numFmtId="165" fontId="4" fillId="0" borderId="0" xfId="1" applyNumberFormat="1"/>
    <xf numFmtId="165" fontId="7" fillId="0" borderId="0" xfId="1" applyNumberFormat="1" applyFont="1"/>
    <xf numFmtId="0" fontId="4" fillId="0" borderId="0" xfId="1" applyFont="1"/>
    <xf numFmtId="0" fontId="19" fillId="0" borderId="0" xfId="1" applyFont="1"/>
    <xf numFmtId="2" fontId="3" fillId="0" borderId="0" xfId="1" applyNumberFormat="1" applyFont="1" applyAlignment="1">
      <alignment horizontal="center"/>
    </xf>
    <xf numFmtId="2" fontId="4" fillId="0" borderId="0" xfId="1" applyNumberFormat="1"/>
    <xf numFmtId="165" fontId="9" fillId="0" borderId="0" xfId="1" applyNumberFormat="1" applyFont="1"/>
    <xf numFmtId="165" fontId="9" fillId="0" borderId="0" xfId="1" applyNumberFormat="1" applyFont="1" applyAlignment="1">
      <alignment horizontal="center"/>
    </xf>
    <xf numFmtId="165" fontId="3" fillId="7" borderId="0" xfId="1" applyNumberFormat="1" applyFont="1" applyFill="1"/>
    <xf numFmtId="165" fontId="3" fillId="0" borderId="0" xfId="1" applyNumberFormat="1" applyFont="1" applyAlignment="1">
      <alignment horizontal="center"/>
    </xf>
    <xf numFmtId="165" fontId="5" fillId="0" borderId="0" xfId="0" applyNumberFormat="1" applyFont="1" applyBorder="1"/>
    <xf numFmtId="0" fontId="15" fillId="0" borderId="0" xfId="1" applyFont="1" applyFill="1" applyBorder="1"/>
    <xf numFmtId="0" fontId="0" fillId="0" borderId="0" xfId="0" applyAlignment="1">
      <alignment textRotation="90"/>
    </xf>
    <xf numFmtId="0" fontId="21" fillId="0" borderId="0" xfId="2" applyAlignment="1">
      <alignment textRotation="90"/>
    </xf>
    <xf numFmtId="0" fontId="22" fillId="0" borderId="0" xfId="1" applyFont="1"/>
    <xf numFmtId="165" fontId="4" fillId="0" borderId="0" xfId="1" applyNumberFormat="1" applyFont="1"/>
    <xf numFmtId="165" fontId="3" fillId="0" borderId="0" xfId="1" applyNumberFormat="1" applyFont="1" applyAlignment="1">
      <alignment horizontal="left"/>
    </xf>
    <xf numFmtId="0" fontId="3" fillId="0" borderId="0" xfId="1" quotePrefix="1" applyFont="1" applyFill="1"/>
    <xf numFmtId="0" fontId="4" fillId="4" borderId="0" xfId="1" quotePrefix="1" applyFont="1" applyFill="1"/>
    <xf numFmtId="0" fontId="6" fillId="5" borderId="0" xfId="1" applyFont="1" applyFill="1"/>
    <xf numFmtId="0" fontId="4" fillId="5" borderId="0" xfId="1" applyFill="1"/>
    <xf numFmtId="0" fontId="3" fillId="0" borderId="0" xfId="1" applyFont="1" applyAlignment="1">
      <alignment horizontal="left"/>
    </xf>
    <xf numFmtId="0" fontId="2" fillId="0" borderId="9" xfId="0" applyFont="1" applyBorder="1" applyAlignment="1">
      <alignment horizontal="right"/>
    </xf>
    <xf numFmtId="2" fontId="2" fillId="0" borderId="10" xfId="0" applyNumberFormat="1" applyFont="1" applyBorder="1" applyAlignment="1">
      <alignment horizontal="right"/>
    </xf>
    <xf numFmtId="0" fontId="5" fillId="0" borderId="10" xfId="0" applyFont="1" applyBorder="1"/>
    <xf numFmtId="0" fontId="5" fillId="0" borderId="6" xfId="0" applyFont="1" applyBorder="1"/>
    <xf numFmtId="0" fontId="2" fillId="0" borderId="5" xfId="0" applyFont="1" applyBorder="1"/>
    <xf numFmtId="0" fontId="5" fillId="0" borderId="2" xfId="0" applyFont="1" applyFill="1" applyBorder="1"/>
    <xf numFmtId="2" fontId="5" fillId="0" borderId="3" xfId="0" applyNumberFormat="1" applyFont="1" applyBorder="1"/>
    <xf numFmtId="0" fontId="2" fillId="0" borderId="4" xfId="0" quotePrefix="1" applyFont="1" applyBorder="1"/>
    <xf numFmtId="0" fontId="21" fillId="0" borderId="0" xfId="2" applyFill="1"/>
    <xf numFmtId="0" fontId="4" fillId="0" borderId="0" xfId="1" applyNumberFormat="1"/>
  </cellXfs>
  <cellStyles count="3">
    <cellStyle name="Hyperlink" xfId="2" builtinId="8"/>
    <cellStyle name="Normal" xfId="0" builtinId="0"/>
    <cellStyle name="Normal 2" xfId="1" xr:uid="{11F929FC-84B5-425F-A422-9C245DCEA07D}"/>
  </cellStyles>
  <dxfs count="50"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ill>
        <patternFill>
          <bgColor rgb="FF92D050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b/>
        <i val="0"/>
        <u/>
      </font>
    </dxf>
    <dxf>
      <fill>
        <patternFill>
          <bgColor rgb="FF99FF99"/>
        </patternFill>
      </fill>
    </dxf>
    <dxf>
      <fill>
        <patternFill>
          <bgColor rgb="FF99FF99"/>
        </patternFill>
      </fill>
    </dxf>
  </dxfs>
  <tableStyles count="0" defaultTableStyle="TableStyleMedium2" defaultPivotStyle="PivotStyleLight16"/>
  <colors>
    <mruColors>
      <color rgb="FF99FF99"/>
      <color rgb="FFFEB8B8"/>
      <color rgb="FFFD9D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95AC3-E328-4499-91EA-0BF79B2DB6D6}">
  <sheetPr codeName="Sheet1"/>
  <dimension ref="A1:U25"/>
  <sheetViews>
    <sheetView workbookViewId="0"/>
  </sheetViews>
  <sheetFormatPr defaultRowHeight="15" x14ac:dyDescent="0.25"/>
  <cols>
    <col min="1" max="1" width="38.5703125" bestFit="1" customWidth="1"/>
    <col min="2" max="2" width="18.42578125" bestFit="1" customWidth="1"/>
    <col min="3" max="3" width="15.5703125" bestFit="1" customWidth="1"/>
    <col min="4" max="4" width="5.7109375" customWidth="1"/>
    <col min="5" max="5" width="12.5703125" customWidth="1"/>
    <col min="6" max="20" width="5.7109375" customWidth="1"/>
  </cols>
  <sheetData>
    <row r="1" spans="1:5" x14ac:dyDescent="0.25">
      <c r="A1" s="2" t="s">
        <v>257</v>
      </c>
      <c r="B1" s="2" t="s">
        <v>258</v>
      </c>
      <c r="C1" s="2" t="s">
        <v>259</v>
      </c>
      <c r="D1" s="2"/>
      <c r="E1" s="2" t="s">
        <v>260</v>
      </c>
    </row>
    <row r="2" spans="1:5" ht="17.25" x14ac:dyDescent="0.3">
      <c r="A2" t="str" cm="1">
        <f t="array" aca="1" ref="A2:A20" ca="1">TRANSPOSE(sheetnames)</f>
        <v>[GearListDBTest.xlsm]Menu</v>
      </c>
      <c r="B2" s="127" t="str" cm="1">
        <f t="array" aca="1" ref="B2:B20" ca="1" xml:space="preserve"> TRANSPOSE(_xlfn.TEXTAFTER(sheetnames,"]"))</f>
        <v>Menu</v>
      </c>
      <c r="C2" s="128" t="str">
        <f ca="1">HYPERLINK("#"&amp;B2&amp;"!B2",B2)</f>
        <v>Menu</v>
      </c>
      <c r="E2" t="str" cm="1">
        <f t="array" aca="1" ref="E2" ca="1">_xlfn._xlws.FILTER( TRANSPOSE(_xlfn.TEXTAFTER(sheetnames,"]")),ISNUMBER(SEARCH("_", TRANSPOSE(_xlfn.TEXTAFTER(sheetnames,"]")) )),"No Results")</f>
        <v>No Results</v>
      </c>
    </row>
    <row r="3" spans="1:5" x14ac:dyDescent="0.25">
      <c r="A3" t="str">
        <f ca="1"/>
        <v>[GearListDBTest.xlsm]GearListAll</v>
      </c>
      <c r="B3" t="str">
        <f ca="1"/>
        <v>GearListAll</v>
      </c>
      <c r="C3" s="128" t="str">
        <f ca="1">HYPERLINK("#"&amp;B3&amp;"!A1",B3)</f>
        <v>GearListAll</v>
      </c>
    </row>
    <row r="4" spans="1:5" x14ac:dyDescent="0.25">
      <c r="A4" t="str">
        <f ca="1"/>
        <v>[GearListDBTest.xlsm]SingleSheet</v>
      </c>
      <c r="B4" t="str">
        <f ca="1"/>
        <v>SingleSheet</v>
      </c>
      <c r="C4" s="128" t="str">
        <f ca="1">HYPERLINK("#"&amp;B4&amp;"!B4",B4)</f>
        <v>SingleSheet</v>
      </c>
    </row>
    <row r="5" spans="1:5" x14ac:dyDescent="0.25">
      <c r="A5" t="str">
        <f ca="1"/>
        <v>[GearListDBTest.xlsm]SingleColumn</v>
      </c>
      <c r="B5" t="str">
        <f ca="1"/>
        <v>SingleColumn</v>
      </c>
      <c r="C5" s="128" t="str">
        <f ca="1">HYPERLINK("#"&amp;B5&amp;"!B5",B5)</f>
        <v>SingleColumn</v>
      </c>
    </row>
    <row r="6" spans="1:5" x14ac:dyDescent="0.25">
      <c r="A6" t="str">
        <f ca="1"/>
        <v>[GearListDBTest.xlsm]GearCombos</v>
      </c>
      <c r="B6" t="str">
        <f ca="1"/>
        <v>GearCombos</v>
      </c>
      <c r="C6" s="128" t="str">
        <f ca="1">HYPERLINK("#"&amp;B6&amp;"!A1",B6)</f>
        <v>GearCombos</v>
      </c>
    </row>
    <row r="7" spans="1:5" x14ac:dyDescent="0.25">
      <c r="A7" t="str">
        <f ca="1"/>
        <v>[GearListDBTest.xlsm]Pack</v>
      </c>
      <c r="B7" t="str">
        <f ca="1"/>
        <v>Pack</v>
      </c>
      <c r="C7" s="128" t="str">
        <f ca="1">HYPERLINK("#"&amp;B7&amp;"!B7",B7)</f>
        <v>Pack</v>
      </c>
    </row>
    <row r="8" spans="1:5" x14ac:dyDescent="0.25">
      <c r="A8" t="str">
        <f ca="1"/>
        <v>[GearListDBTest.xlsm]Shelter</v>
      </c>
      <c r="B8" t="str">
        <f ca="1"/>
        <v>Shelter</v>
      </c>
      <c r="C8" s="128" t="str">
        <f ca="1">HYPERLINK("#"&amp;B8&amp;"!B8",B8)</f>
        <v>Shelter</v>
      </c>
    </row>
    <row r="9" spans="1:5" x14ac:dyDescent="0.25">
      <c r="A9" t="str">
        <f ca="1"/>
        <v>[GearListDBTest.xlsm]SleepingGear</v>
      </c>
      <c r="B9" t="str">
        <f ca="1"/>
        <v>SleepingGear</v>
      </c>
      <c r="C9" s="128" t="str">
        <f ca="1">HYPERLINK("#"&amp;B9&amp;"!B9",B9)</f>
        <v>SleepingGear</v>
      </c>
    </row>
    <row r="10" spans="1:5" x14ac:dyDescent="0.25">
      <c r="A10" t="str">
        <f ca="1"/>
        <v>[GearListDBTest.xlsm]SleepingClothes</v>
      </c>
      <c r="B10" t="str">
        <f ca="1"/>
        <v>SleepingClothes</v>
      </c>
      <c r="C10" s="128" t="str">
        <f ca="1">HYPERLINK("#"&amp;B10&amp;"!B10",B10)</f>
        <v>SleepingClothes</v>
      </c>
    </row>
    <row r="11" spans="1:5" x14ac:dyDescent="0.25">
      <c r="A11" t="str">
        <f ca="1"/>
        <v>[GearListDBTest.xlsm]RainGear</v>
      </c>
      <c r="B11" t="str">
        <f ca="1"/>
        <v>RainGear</v>
      </c>
      <c r="C11" s="128" t="str">
        <f ca="1">HYPERLINK("#"&amp;B11&amp;"!B11",B11)</f>
        <v>RainGear</v>
      </c>
    </row>
    <row r="12" spans="1:5" x14ac:dyDescent="0.25">
      <c r="A12" t="str">
        <f ca="1"/>
        <v>[GearListDBTest.xlsm]Kitchen</v>
      </c>
      <c r="B12" t="str">
        <f ca="1"/>
        <v>Kitchen</v>
      </c>
      <c r="C12" s="128" t="str">
        <f ca="1">HYPERLINK("#"&amp;B12&amp;"!B12",B12)</f>
        <v>Kitchen</v>
      </c>
    </row>
    <row r="13" spans="1:5" x14ac:dyDescent="0.25">
      <c r="A13" t="str">
        <f ca="1"/>
        <v>[GearListDBTest.xlsm]Hygiene</v>
      </c>
      <c r="B13" t="str">
        <f ca="1"/>
        <v>Hygiene</v>
      </c>
      <c r="C13" s="128" t="str">
        <f ca="1">HYPERLINK("#"&amp;B13&amp;"!B13",B13)</f>
        <v>Hygiene</v>
      </c>
    </row>
    <row r="14" spans="1:5" x14ac:dyDescent="0.25">
      <c r="A14" t="str">
        <f ca="1"/>
        <v>[GearListDBTest.xlsm]Navigation</v>
      </c>
      <c r="B14" t="str">
        <f ca="1"/>
        <v>Navigation</v>
      </c>
      <c r="C14" s="128" t="str">
        <f ca="1">HYPERLINK("#"&amp;B14&amp;"!B14",B14)</f>
        <v>Navigation</v>
      </c>
    </row>
    <row r="15" spans="1:5" x14ac:dyDescent="0.25">
      <c r="A15" t="str">
        <f ca="1"/>
        <v>[GearListDBTest.xlsm]FirstAid</v>
      </c>
      <c r="B15" t="str">
        <f ca="1"/>
        <v>FirstAid</v>
      </c>
      <c r="C15" s="128" t="str">
        <f ca="1">HYPERLINK("#"&amp;B15&amp;"!B15",B15)</f>
        <v>FirstAid</v>
      </c>
    </row>
    <row r="16" spans="1:5" x14ac:dyDescent="0.25">
      <c r="A16" t="str">
        <f ca="1"/>
        <v>[GearListDBTest.xlsm]Repair</v>
      </c>
      <c r="B16" t="str">
        <f ca="1"/>
        <v>Repair</v>
      </c>
      <c r="C16" s="128" t="str">
        <f ca="1">HYPERLINK("#"&amp;B16&amp;"!B16",B16)</f>
        <v>Repair</v>
      </c>
    </row>
    <row r="17" spans="1:21" x14ac:dyDescent="0.25">
      <c r="A17" t="str">
        <f ca="1"/>
        <v>[GearListDBTest.xlsm]Misc</v>
      </c>
      <c r="B17" t="str">
        <f ca="1"/>
        <v>Misc</v>
      </c>
      <c r="C17" s="128" t="str">
        <f ca="1">HYPERLINK("#"&amp;B17&amp;"!B17",B17)</f>
        <v>Misc</v>
      </c>
    </row>
    <row r="18" spans="1:21" x14ac:dyDescent="0.25">
      <c r="A18" t="str">
        <f ca="1"/>
        <v>[GearListDBTest.xlsm]ClothingPacked</v>
      </c>
      <c r="B18" t="str">
        <f ca="1"/>
        <v>ClothingPacked</v>
      </c>
      <c r="C18" s="128" t="str">
        <f ca="1">HYPERLINK("#"&amp;B18&amp;"!A1",B18)</f>
        <v>ClothingPacked</v>
      </c>
    </row>
    <row r="19" spans="1:21" x14ac:dyDescent="0.25">
      <c r="A19" t="str">
        <f ca="1"/>
        <v>[GearListDBTest.xlsm]Consumables</v>
      </c>
      <c r="B19" t="str">
        <f ca="1"/>
        <v>Consumables</v>
      </c>
      <c r="C19" s="128" t="str">
        <f ca="1">HYPERLINK("#"&amp;B19&amp;"!A1",B19)</f>
        <v>Consumables</v>
      </c>
    </row>
    <row r="20" spans="1:21" x14ac:dyDescent="0.25">
      <c r="A20" t="str">
        <f ca="1"/>
        <v>[GearListDBTest.xlsm]ClothingWorn</v>
      </c>
      <c r="B20" t="str">
        <f ca="1"/>
        <v>ClothingWorn</v>
      </c>
      <c r="C20" s="128" t="str">
        <f ca="1">HYPERLINK("#"&amp;B20&amp;"!A1",B20)</f>
        <v>ClothingWorn</v>
      </c>
    </row>
    <row r="21" spans="1:21" x14ac:dyDescent="0.25">
      <c r="C21" s="128">
        <f>HYPERLINK("#"&amp;B21&amp;"!A1",B21)</f>
        <v>0</v>
      </c>
    </row>
    <row r="22" spans="1:21" s="129" customFormat="1" ht="70.5" customHeight="1" x14ac:dyDescent="0.25">
      <c r="B22" s="155" t="str" cm="1">
        <f t="array" aca="1" ref="B22:T22" ca="1">_xlfn.TEXTAFTER(sheetnames,"]")</f>
        <v>Menu</v>
      </c>
      <c r="C22" s="155" t="str">
        <f ca="1"/>
        <v>GearListAll</v>
      </c>
      <c r="D22" s="155" t="str">
        <f ca="1"/>
        <v>SingleSheet</v>
      </c>
      <c r="E22" s="155" t="str">
        <f ca="1"/>
        <v>SingleColumn</v>
      </c>
      <c r="F22" s="155" t="str">
        <f ca="1"/>
        <v>GearCombos</v>
      </c>
      <c r="G22" s="155" t="str">
        <f ca="1"/>
        <v>Pack</v>
      </c>
      <c r="H22" s="155" t="str">
        <f ca="1"/>
        <v>Shelter</v>
      </c>
      <c r="I22" s="155" t="str">
        <f ca="1"/>
        <v>SleepingGear</v>
      </c>
      <c r="J22" s="155" t="str">
        <f ca="1"/>
        <v>SleepingClothes</v>
      </c>
      <c r="K22" s="155" t="str">
        <f ca="1"/>
        <v>RainGear</v>
      </c>
      <c r="L22" s="155" t="str">
        <f ca="1"/>
        <v>Kitchen</v>
      </c>
      <c r="M22" s="155" t="str">
        <f ca="1"/>
        <v>Hygiene</v>
      </c>
      <c r="N22" s="155" t="str">
        <f ca="1"/>
        <v>Navigation</v>
      </c>
      <c r="O22" s="155" t="str">
        <f ca="1"/>
        <v>FirstAid</v>
      </c>
      <c r="P22" s="155" t="str">
        <f ca="1"/>
        <v>Repair</v>
      </c>
      <c r="Q22" s="155" t="str">
        <f ca="1"/>
        <v>Misc</v>
      </c>
      <c r="R22" s="155" t="str">
        <f ca="1"/>
        <v>ClothingPacked</v>
      </c>
      <c r="S22" s="155" t="str">
        <f ca="1"/>
        <v>Consumables</v>
      </c>
      <c r="T22" s="155" t="str">
        <f ca="1"/>
        <v>ClothingWorn</v>
      </c>
      <c r="U22" s="155"/>
    </row>
    <row r="23" spans="1:21" s="130" customFormat="1" ht="88.5" customHeight="1" x14ac:dyDescent="0.25">
      <c r="B23" s="155"/>
      <c r="C23" s="155"/>
      <c r="D23" s="155"/>
      <c r="E23" s="155"/>
      <c r="F23" s="155"/>
      <c r="G23" s="156" t="str">
        <f ca="1">HYPERLINK("#"&amp;G22&amp;"!A1",G22)</f>
        <v>Pack</v>
      </c>
      <c r="H23" s="156" t="str">
        <f t="shared" ref="H23:T23" ca="1" si="0">HYPERLINK("#"&amp;H22&amp;"!A1",H22)</f>
        <v>Shelter</v>
      </c>
      <c r="I23" s="156" t="str">
        <f t="shared" ca="1" si="0"/>
        <v>SleepingGear</v>
      </c>
      <c r="J23" s="156" t="str">
        <f t="shared" ca="1" si="0"/>
        <v>SleepingClothes</v>
      </c>
      <c r="K23" s="156" t="str">
        <f t="shared" ca="1" si="0"/>
        <v>RainGear</v>
      </c>
      <c r="L23" s="156" t="str">
        <f t="shared" ca="1" si="0"/>
        <v>Kitchen</v>
      </c>
      <c r="M23" s="156" t="str">
        <f t="shared" ca="1" si="0"/>
        <v>Hygiene</v>
      </c>
      <c r="N23" s="156" t="str">
        <f t="shared" ca="1" si="0"/>
        <v>Navigation</v>
      </c>
      <c r="O23" s="156" t="str">
        <f t="shared" ca="1" si="0"/>
        <v>FirstAid</v>
      </c>
      <c r="P23" s="156" t="str">
        <f t="shared" ca="1" si="0"/>
        <v>Repair</v>
      </c>
      <c r="Q23" s="156" t="str">
        <f t="shared" ca="1" si="0"/>
        <v>Misc</v>
      </c>
      <c r="R23" s="156" t="str">
        <f t="shared" ca="1" si="0"/>
        <v>ClothingPacked</v>
      </c>
      <c r="S23" s="156" t="str">
        <f t="shared" ca="1" si="0"/>
        <v>Consumables</v>
      </c>
      <c r="T23" s="156" t="str">
        <f t="shared" ca="1" si="0"/>
        <v>ClothingWorn</v>
      </c>
      <c r="U23" s="155"/>
    </row>
    <row r="25" spans="1:21" x14ac:dyDescent="0.25">
      <c r="B25" s="128"/>
    </row>
  </sheetData>
  <pageMargins left="0.7" right="0.7" top="0.75" bottom="0.75" header="0.3" footer="0.3"/>
  <ignoredErrors>
    <ignoredError sqref="B22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8D4A9-BD75-4AC0-B959-3BB14ACE0881}">
  <sheetPr codeName="Sheet2"/>
  <dimension ref="A1:M217"/>
  <sheetViews>
    <sheetView tabSelected="1" zoomScaleNormal="100" workbookViewId="0">
      <pane ySplit="2" topLeftCell="A3" activePane="bottomLeft" state="frozen"/>
      <selection activeCell="E1" sqref="E1"/>
      <selection pane="bottomLeft" activeCell="L142" sqref="L142"/>
    </sheetView>
  </sheetViews>
  <sheetFormatPr defaultRowHeight="15" x14ac:dyDescent="0.25"/>
  <cols>
    <col min="1" max="1" width="3.5703125" style="141" customWidth="1"/>
    <col min="2" max="2" width="3.140625" style="141" customWidth="1"/>
    <col min="3" max="3" width="7.7109375" style="17" customWidth="1"/>
    <col min="4" max="4" width="8.7109375" style="32" customWidth="1"/>
    <col min="5" max="5" width="31.85546875" style="21" bestFit="1" customWidth="1"/>
    <col min="6" max="6" width="6" style="17" customWidth="1"/>
    <col min="7" max="7" width="6.5703125" style="148" bestFit="1" customWidth="1"/>
    <col min="8" max="8" width="5.7109375" style="143" customWidth="1"/>
    <col min="9" max="9" width="5.5703125" style="148" bestFit="1" customWidth="1"/>
    <col min="10" max="10" width="51.140625" style="143" bestFit="1" customWidth="1"/>
    <col min="11" max="11" width="5.5703125" style="143" bestFit="1" customWidth="1"/>
    <col min="12" max="12" width="3.28515625" style="13" customWidth="1"/>
    <col min="13" max="13" width="31" style="13" bestFit="1" customWidth="1"/>
    <col min="14" max="1010" width="8.7109375" style="13" customWidth="1"/>
    <col min="1011" max="16384" width="9.140625" style="13"/>
  </cols>
  <sheetData>
    <row r="1" spans="1:13" x14ac:dyDescent="0.25">
      <c r="A1" s="143"/>
      <c r="B1" s="151">
        <f>COUNTIFS(B3:B206,"=x",C3:C206,"=0")</f>
        <v>31</v>
      </c>
      <c r="C1" s="67">
        <f>COUNTIF(C3:C210,"=0")</f>
        <v>58</v>
      </c>
      <c r="D1" s="45" t="s">
        <v>184</v>
      </c>
      <c r="F1" s="34" t="s">
        <v>78</v>
      </c>
      <c r="G1" s="32"/>
      <c r="H1" s="141" t="b">
        <f>ISBLANK(D3)</f>
        <v>0</v>
      </c>
      <c r="I1" s="32"/>
      <c r="J1" s="141"/>
      <c r="K1" s="141"/>
      <c r="L1" s="17"/>
    </row>
    <row r="2" spans="1:13" x14ac:dyDescent="0.25">
      <c r="A2" s="143"/>
      <c r="B2" s="144" t="s">
        <v>41</v>
      </c>
      <c r="C2" s="64" t="s">
        <v>52</v>
      </c>
      <c r="D2" s="31" t="s">
        <v>53</v>
      </c>
      <c r="E2" s="157" t="s">
        <v>43</v>
      </c>
      <c r="F2" s="15" t="s">
        <v>0</v>
      </c>
      <c r="G2" s="31" t="s">
        <v>1</v>
      </c>
      <c r="H2" s="150" t="s">
        <v>212</v>
      </c>
      <c r="I2" s="31" t="s">
        <v>1</v>
      </c>
      <c r="J2" s="149" t="s">
        <v>179</v>
      </c>
      <c r="K2" s="150" t="s">
        <v>110</v>
      </c>
      <c r="L2" s="22"/>
    </row>
    <row r="3" spans="1:13" x14ac:dyDescent="0.25">
      <c r="A3" s="152" t="str" cm="1">
        <f t="array" ref="A3:K205">_xlfn.LET(
  _xlpm.Pack0, _xlfn.EXPAND( _xlfn._xlws.FILTER(Pack!$A$3:$K$20,""&lt;&gt;Pack!$E$3:$E20), COUNTIF(Pack!E3:E20,"&lt;&gt;")+1,, "" ),
  _xlpm.Shelter0, _xlfn.EXPAND(_xlfn._xlws.FILTER(Shelter!$A$3:$K$30,""&lt;&gt;Shelter!$E$3:$E30), COUNTIF(Shelter!E3:E30, "&lt;&gt;")+1,, ""),
  _xlpm.SleepingGear0, _xlfn.EXPAND(_xlfn._xlws.FILTER(SleepingGear!$A$3:$K$20,""&lt;&gt;SleepingGear!$E$3:$E20), COUNTIF(SleepingGear!E3:E20, "&lt;&gt;")+1,, ""),
  _xlpm.SleepingClothes0, _xlfn.EXPAND(_xlfn._xlws.FILTER(SleepingClothes!$A$3:$K$20,""&lt;&gt;SleepingClothes!$E$3:$E20), COUNTIF(SleepingClothes!E3:E20, "&lt;&gt;")+1,, ""),
  _xlpm.RainGear0, _xlfn.EXPAND(_xlfn._xlws.FILTER(RainGear!$A$3:$K$20,""&lt;&gt;RainGear!$E$3:$E20), COUNTIF(RainGear!E3:E20, "&lt;&gt;")+1,, ""),
  _xlpm.Kitchen0, _xlfn.EXPAND(_xlfn._xlws.FILTER(Kitchen!$A$3:$K$35,""&lt;&gt;Kitchen!$E$3:$E35), COUNTIF(Kitchen!E3:E35, "&lt;&gt;")+1,, ""),
  _xlpm.Hygiene0, _xlfn.EXPAND(_xlfn._xlws.FILTER(Hygiene!$A$3:$K$20,""&lt;&gt;Hygiene!$E$3:$E20), COUNTIF(Hygiene!E3:E20, "&lt;&gt;")+1,, ""),
  _xlpm.Navigation0, _xlfn.EXPAND(_xlfn._xlws.FILTER(Navigation!$A$3:$K$20,""&lt;&gt;Navigation!$E$3:$E20), COUNTIF(Navigation!E3:E20, "&lt;&gt;")+1,, ""),
  _xlpm.FirstAid0, _xlfn.EXPAND(_xlfn._xlws.FILTER(FirstAid!$A$3:$K$20,""&lt;&gt;FirstAid!$E$3:$E20), COUNTIF(FirstAid!E3:E20, "&lt;&gt;")+1,, ""),
  _xlpm.Repair0, _xlfn.EXPAND(_xlfn._xlws.FILTER(Repair!$A$3:$K$20,""&lt;&gt;Repair!$E$3:$E20), COUNTIF(Repair!E3:E20, "&lt;&gt;")+1,, ""),
  _xlpm.Misc0, _xlfn.EXPAND(_xlfn._xlws.FILTER(Misc!$A$3:$K$30,""&lt;&gt;Misc!$E$3:$E30), COUNTIF(Misc!E3:E30, "&lt;&gt;")+1,, ""),
  _xlpm.ClothingPacked0, _xlfn.EXPAND(_xlfn._xlws.FILTER(ClothingPacked!$A$3:$K$20,""&lt;&gt;ClothingPacked!$E$3:$E20), COUNTIF(ClothingPacked!E3:E20, "&lt;&gt;")+1,, ""),
  _xlpm.Consumables0, _xlfn.EXPAND(_xlfn._xlws.FILTER(Consumables!$A$3:$K$20,""&lt;&gt;Consumables!$E$3:$E20), COUNTIF(Consumables!E3:E20, "&lt;&gt;")+1,, ""),
  _xlpm.ClothingWorn0, _xlfn.EXPAND(_xlfn._xlws.FILTER(ClothingWorn!$A$3:$K$20,""&lt;&gt;ClothingWorn!$E$3:$E20), COUNTIF(ClothingWorn!E3:E20, "&lt;&gt;")+1,, ""),
  _xlfn.VSTACK(_xlpm.Pack0, _xlpm.Shelter0, _xlpm.SleepingGear0, _xlpm.SleepingClothes0, _xlpm.RainGear0, _xlpm.Kitchen0, _xlpm.Hygiene0, _xlpm.Navigation0, _xlpm.FirstAid0, _xlpm.Repair0, _xlpm.Misc0, _xlpm.ClothingPacked0, _xlpm.Consumables0, _xlpm.ClothingWorn0 )
)</f>
        <v xml:space="preserve"> </v>
      </c>
      <c r="B3" s="159" t="str">
        <v>x</v>
      </c>
      <c r="C3" s="21" t="str">
        <v xml:space="preserve"> </v>
      </c>
      <c r="D3" s="147" t="str">
        <v xml:space="preserve"> </v>
      </c>
      <c r="E3" s="164" t="str">
        <v>Pack Group</v>
      </c>
      <c r="F3" s="146" t="str">
        <v xml:space="preserve"> </v>
      </c>
      <c r="G3" s="148" t="str">
        <v xml:space="preserve"> </v>
      </c>
      <c r="H3" s="143" t="str">
        <v xml:space="preserve"> </v>
      </c>
      <c r="I3" s="148" t="str">
        <v xml:space="preserve"> </v>
      </c>
      <c r="J3" s="174">
        <v>0</v>
      </c>
      <c r="K3" s="143" t="str">
        <v xml:space="preserve"> </v>
      </c>
      <c r="L3" s="128" t="s">
        <v>275</v>
      </c>
      <c r="M3" s="162" t="s">
        <v>111</v>
      </c>
    </row>
    <row r="4" spans="1:13" x14ac:dyDescent="0.25">
      <c r="A4" s="140" t="str">
        <v>P</v>
      </c>
      <c r="B4" s="140" t="str">
        <v>x</v>
      </c>
      <c r="C4" s="21">
        <v>1290</v>
      </c>
      <c r="D4" s="19">
        <v>45.50344803259317</v>
      </c>
      <c r="E4" s="19" t="str">
        <v>Blue Pack</v>
      </c>
      <c r="F4" s="21">
        <v>1290</v>
      </c>
      <c r="G4" s="148">
        <v>45.50344803259317</v>
      </c>
      <c r="H4" s="143">
        <v>2</v>
      </c>
      <c r="I4" s="148">
        <v>13.50344803259317</v>
      </c>
      <c r="J4" s="143">
        <v>0</v>
      </c>
      <c r="K4" s="143" t="str">
        <v xml:space="preserve"> </v>
      </c>
      <c r="M4" s="163" t="str" cm="1">
        <f t="array" ref="M4:M14">_xlfn._xlws.FILTER(E3:E210,"x"=K3:K210)</f>
        <v>New Pack</v>
      </c>
    </row>
    <row r="5" spans="1:13" x14ac:dyDescent="0.25">
      <c r="A5" s="142" t="str">
        <v xml:space="preserve"> </v>
      </c>
      <c r="B5" s="142">
        <v>0</v>
      </c>
      <c r="C5" s="21">
        <v>1175</v>
      </c>
      <c r="D5" s="45">
        <v>41.446939099455015</v>
      </c>
      <c r="E5" s="21" t="str">
        <v>Orange Pack #1</v>
      </c>
      <c r="F5" s="21" t="str">
        <v/>
      </c>
      <c r="G5" s="148" t="str">
        <v/>
      </c>
      <c r="H5" s="143">
        <v>2</v>
      </c>
      <c r="I5" s="148">
        <v>9.4469390994550153</v>
      </c>
      <c r="J5" s="143">
        <v>0</v>
      </c>
      <c r="K5" s="143" t="str">
        <v xml:space="preserve"> </v>
      </c>
      <c r="M5" s="163" t="str">
        <v>New Pack Cover</v>
      </c>
    </row>
    <row r="6" spans="1:13" x14ac:dyDescent="0.25">
      <c r="A6" s="142" t="str">
        <v xml:space="preserve"> </v>
      </c>
      <c r="B6" s="142">
        <v>0</v>
      </c>
      <c r="C6" s="21">
        <v>0</v>
      </c>
      <c r="D6" s="45">
        <v>0</v>
      </c>
      <c r="E6" s="21" t="str">
        <v>New Pack</v>
      </c>
      <c r="F6" s="21" t="str">
        <v/>
      </c>
      <c r="G6" s="148" t="str">
        <v/>
      </c>
      <c r="H6" s="143">
        <v>0</v>
      </c>
      <c r="I6" s="148">
        <v>0</v>
      </c>
      <c r="J6" s="143">
        <v>0</v>
      </c>
      <c r="K6" s="143" t="str">
        <v>x</v>
      </c>
      <c r="M6" s="163" t="str">
        <v>Griz Arieal Hammock; 1.6ox Hexon</v>
      </c>
    </row>
    <row r="7" spans="1:13" x14ac:dyDescent="0.25">
      <c r="A7" s="142" t="str">
        <v xml:space="preserve"> </v>
      </c>
      <c r="B7" s="142">
        <v>0</v>
      </c>
      <c r="C7" s="21">
        <v>0</v>
      </c>
      <c r="D7" s="45">
        <v>0</v>
      </c>
      <c r="E7" s="21" t="str">
        <v>Red Pack</v>
      </c>
      <c r="F7" s="21" t="str">
        <v/>
      </c>
      <c r="G7" s="148" t="str">
        <v/>
      </c>
      <c r="H7" s="143">
        <v>0</v>
      </c>
      <c r="I7" s="148">
        <v>0</v>
      </c>
      <c r="J7" s="143">
        <v>0</v>
      </c>
      <c r="K7" s="143" t="str">
        <v xml:space="preserve"> </v>
      </c>
      <c r="M7" s="163" t="str">
        <v>New Hammock; 1.6oz Hexon</v>
      </c>
    </row>
    <row r="8" spans="1:13" x14ac:dyDescent="0.25">
      <c r="A8" s="142" t="str">
        <v xml:space="preserve"> </v>
      </c>
      <c r="B8" s="142">
        <v>0</v>
      </c>
      <c r="C8" s="21">
        <v>0</v>
      </c>
      <c r="D8" s="45">
        <v>0</v>
      </c>
      <c r="E8" s="21" t="str">
        <v>Yellow Pack</v>
      </c>
      <c r="F8" s="21" t="str">
        <v/>
      </c>
      <c r="G8" s="148" t="str">
        <v/>
      </c>
      <c r="H8" s="143">
        <v>0</v>
      </c>
      <c r="I8" s="148">
        <v>0</v>
      </c>
      <c r="J8" s="143">
        <v>0</v>
      </c>
      <c r="K8" s="143" t="str">
        <v xml:space="preserve"> </v>
      </c>
      <c r="M8" s="163" t="str">
        <v>bug net new</v>
      </c>
    </row>
    <row r="9" spans="1:13" x14ac:dyDescent="0.25">
      <c r="A9" s="142" t="str">
        <v>P</v>
      </c>
      <c r="B9" s="142" t="str">
        <v>x</v>
      </c>
      <c r="C9" s="21">
        <v>27</v>
      </c>
      <c r="D9" s="45">
        <v>0.95239774951939193</v>
      </c>
      <c r="E9" s="21" t="str">
        <v>Pack hip pockets</v>
      </c>
      <c r="F9" s="21">
        <v>27</v>
      </c>
      <c r="G9" s="148">
        <v>0.95239774951939193</v>
      </c>
      <c r="H9" s="143">
        <v>0</v>
      </c>
      <c r="I9" s="148">
        <v>0.95239774951939193</v>
      </c>
      <c r="J9" s="143">
        <v>0</v>
      </c>
      <c r="K9" s="143" t="str">
        <v xml:space="preserve"> </v>
      </c>
      <c r="M9" s="163" t="str">
        <v>sleeping bag liner NatureHike 4.5oz</v>
      </c>
    </row>
    <row r="10" spans="1:13" x14ac:dyDescent="0.25">
      <c r="A10" s="142" t="str">
        <v>P</v>
      </c>
      <c r="B10" s="142" t="str">
        <v>x</v>
      </c>
      <c r="C10" s="21">
        <v>143</v>
      </c>
      <c r="D10" s="45">
        <v>5.0441806733804828</v>
      </c>
      <c r="E10" s="21" t="str">
        <v>Pack Liner/Garbage bag</v>
      </c>
      <c r="F10" s="21">
        <v>143</v>
      </c>
      <c r="G10" s="148">
        <v>5.0441806733804828</v>
      </c>
      <c r="H10" s="143">
        <v>0</v>
      </c>
      <c r="I10" s="148">
        <v>5.0441806733804828</v>
      </c>
      <c r="J10" s="143">
        <v>0</v>
      </c>
      <c r="K10" s="143" t="str">
        <v xml:space="preserve"> </v>
      </c>
      <c r="M10" s="163" t="str">
        <v>Top Quilt</v>
      </c>
    </row>
    <row r="11" spans="1:13" x14ac:dyDescent="0.25">
      <c r="A11" s="142" t="str">
        <v xml:space="preserve"> </v>
      </c>
      <c r="B11" s="142">
        <v>0</v>
      </c>
      <c r="C11" s="21">
        <v>200</v>
      </c>
      <c r="D11" s="45">
        <v>7.0547981445880881</v>
      </c>
      <c r="E11" s="21" t="str">
        <v>Green/Tan Pack Cover</v>
      </c>
      <c r="F11" s="21" t="str">
        <v/>
      </c>
      <c r="G11" s="148" t="str">
        <v/>
      </c>
      <c r="H11" s="143">
        <v>0</v>
      </c>
      <c r="I11" s="148">
        <v>7.0547981445880881</v>
      </c>
      <c r="J11" s="143">
        <v>0</v>
      </c>
      <c r="K11" s="143" t="str">
        <v xml:space="preserve"> </v>
      </c>
      <c r="M11" s="163" t="str">
        <v>New Under Quilt</v>
      </c>
    </row>
    <row r="12" spans="1:13" x14ac:dyDescent="0.25">
      <c r="A12" s="142" t="str">
        <v>P</v>
      </c>
      <c r="B12" s="142" t="str">
        <v>x</v>
      </c>
      <c r="C12" s="21">
        <v>146</v>
      </c>
      <c r="D12" s="45">
        <v>5.1500026455493044</v>
      </c>
      <c r="E12" s="21" t="str">
        <v>Orange Pack Cover</v>
      </c>
      <c r="F12" s="21">
        <v>146</v>
      </c>
      <c r="G12" s="148">
        <v>5.1500026455493044</v>
      </c>
      <c r="H12" s="143">
        <v>0</v>
      </c>
      <c r="I12" s="148">
        <v>5.1500026455493044</v>
      </c>
      <c r="J12" s="143">
        <v>0</v>
      </c>
      <c r="K12" s="143" t="str">
        <v xml:space="preserve"> </v>
      </c>
      <c r="M12" s="163" t="str">
        <v>New Rain Pants Xeon</v>
      </c>
    </row>
    <row r="13" spans="1:13" x14ac:dyDescent="0.25">
      <c r="A13" s="142" t="str">
        <v xml:space="preserve"> </v>
      </c>
      <c r="B13" s="142">
        <v>0</v>
      </c>
      <c r="C13" s="21">
        <v>0</v>
      </c>
      <c r="D13" s="45" t="str">
        <v/>
      </c>
      <c r="E13" s="21" t="str">
        <v>New Pack Cover</v>
      </c>
      <c r="F13" s="21" t="str">
        <v/>
      </c>
      <c r="G13" s="148" t="str">
        <v/>
      </c>
      <c r="H13" s="143" t="str">
        <v/>
      </c>
      <c r="I13" s="148" t="str">
        <v/>
      </c>
      <c r="J13" s="143">
        <v>0</v>
      </c>
      <c r="K13" s="143" t="str">
        <v>x</v>
      </c>
      <c r="M13" s="163" t="str">
        <v>BRS 3000T Stove</v>
      </c>
    </row>
    <row r="14" spans="1:13" x14ac:dyDescent="0.25">
      <c r="A14" s="142" t="str">
        <v/>
      </c>
      <c r="B14" s="142" t="str">
        <v/>
      </c>
      <c r="C14" s="21" t="str">
        <v/>
      </c>
      <c r="D14" s="45" t="str">
        <v/>
      </c>
      <c r="E14" s="146" t="str">
        <v/>
      </c>
      <c r="F14" s="21" t="str">
        <v/>
      </c>
      <c r="G14" s="148" t="str">
        <v/>
      </c>
      <c r="H14" s="143" t="str">
        <v/>
      </c>
      <c r="I14" s="148" t="str">
        <v/>
      </c>
      <c r="J14" s="143" t="str">
        <v/>
      </c>
      <c r="K14" s="143" t="str">
        <v/>
      </c>
      <c r="M14" s="163" t="str">
        <v>Ultralight chair</v>
      </c>
    </row>
    <row r="15" spans="1:13" x14ac:dyDescent="0.25">
      <c r="A15" s="142">
        <v>0</v>
      </c>
      <c r="B15" s="142" t="str">
        <v>x</v>
      </c>
      <c r="C15" s="21" t="str">
        <v xml:space="preserve"> </v>
      </c>
      <c r="D15" s="45" t="str">
        <v xml:space="preserve"> </v>
      </c>
      <c r="E15" s="21" t="str">
        <v>Shelter Group</v>
      </c>
      <c r="F15" s="21" t="str">
        <v xml:space="preserve"> </v>
      </c>
      <c r="G15" s="148" t="str">
        <v xml:space="preserve"> </v>
      </c>
      <c r="H15" s="143" t="str">
        <v xml:space="preserve"> </v>
      </c>
      <c r="I15" s="148" t="str">
        <v xml:space="preserve"> </v>
      </c>
      <c r="J15" s="143">
        <v>0</v>
      </c>
      <c r="K15" s="143">
        <v>0</v>
      </c>
      <c r="L15" s="128" t="s">
        <v>276</v>
      </c>
    </row>
    <row r="16" spans="1:13" x14ac:dyDescent="0.25">
      <c r="A16" s="142">
        <v>0</v>
      </c>
      <c r="B16" s="142">
        <v>0</v>
      </c>
      <c r="C16" s="21">
        <v>384</v>
      </c>
      <c r="D16" s="45">
        <v>13.545212437609129</v>
      </c>
      <c r="E16" s="21" t="str">
        <v>Hammock Olive</v>
      </c>
      <c r="F16" s="21" t="str">
        <v/>
      </c>
      <c r="G16" s="148" t="str">
        <v/>
      </c>
      <c r="H16" s="143">
        <v>0</v>
      </c>
      <c r="I16" s="148">
        <v>13.545212437609129</v>
      </c>
      <c r="J16" s="143">
        <v>0</v>
      </c>
      <c r="K16" s="143">
        <v>0</v>
      </c>
    </row>
    <row r="17" spans="1:11" x14ac:dyDescent="0.25">
      <c r="A17" s="142" t="str">
        <v>H</v>
      </c>
      <c r="B17" s="142" t="str">
        <v>x</v>
      </c>
      <c r="C17" s="21">
        <v>233</v>
      </c>
      <c r="D17" s="45">
        <v>8.2188398384451222</v>
      </c>
      <c r="E17" s="21" t="str">
        <v>Bridge Hammock; 1.2 Hexon Olive</v>
      </c>
      <c r="F17" s="21">
        <v>233</v>
      </c>
      <c r="G17" s="148">
        <v>8.2188398384451222</v>
      </c>
      <c r="H17" s="143">
        <v>0</v>
      </c>
      <c r="I17" s="148">
        <v>8.2188398384451222</v>
      </c>
      <c r="J17" s="143">
        <v>0</v>
      </c>
      <c r="K17" s="143">
        <v>0</v>
      </c>
    </row>
    <row r="18" spans="1:11" ht="15" customHeight="1" x14ac:dyDescent="0.25">
      <c r="A18" s="142">
        <v>0</v>
      </c>
      <c r="B18" s="142">
        <v>0</v>
      </c>
      <c r="C18" s="21">
        <v>0</v>
      </c>
      <c r="D18" s="45" t="str">
        <v/>
      </c>
      <c r="E18" s="21" t="str">
        <v>Griz Arieal Hammock; 1.6ox Hexon</v>
      </c>
      <c r="F18" s="21" t="str">
        <v/>
      </c>
      <c r="G18" s="148" t="str">
        <v/>
      </c>
      <c r="H18" s="143" t="str">
        <v/>
      </c>
      <c r="I18" s="148" t="str">
        <v/>
      </c>
      <c r="J18" s="143">
        <v>0</v>
      </c>
      <c r="K18" s="143" t="str">
        <v>x</v>
      </c>
    </row>
    <row r="19" spans="1:11" x14ac:dyDescent="0.25">
      <c r="A19" s="142">
        <v>0</v>
      </c>
      <c r="B19" s="142">
        <v>0</v>
      </c>
      <c r="C19" s="21">
        <v>0</v>
      </c>
      <c r="D19" s="45" t="str">
        <v/>
      </c>
      <c r="E19" s="21" t="str">
        <v>New Hammock; 1.6oz Hexon</v>
      </c>
      <c r="F19" s="21" t="str">
        <v/>
      </c>
      <c r="G19" s="148" t="str">
        <v/>
      </c>
      <c r="H19" s="143" t="str">
        <v/>
      </c>
      <c r="I19" s="148" t="str">
        <v/>
      </c>
      <c r="J19" s="143">
        <v>0</v>
      </c>
      <c r="K19" s="143" t="str">
        <v>x</v>
      </c>
    </row>
    <row r="20" spans="1:11" x14ac:dyDescent="0.25">
      <c r="A20" s="142" t="str">
        <v>H</v>
      </c>
      <c r="B20" s="142" t="str">
        <v>x</v>
      </c>
      <c r="C20" s="21">
        <v>207</v>
      </c>
      <c r="D20" s="45">
        <v>7.3017160796486715</v>
      </c>
      <c r="E20" s="21" t="str">
        <v>Spreader Bars 28"</v>
      </c>
      <c r="F20" s="21">
        <v>207</v>
      </c>
      <c r="G20" s="148">
        <v>7.3017160796486715</v>
      </c>
      <c r="H20" s="143">
        <v>0</v>
      </c>
      <c r="I20" s="148">
        <v>7.3017160796486715</v>
      </c>
      <c r="J20" s="143">
        <v>0</v>
      </c>
      <c r="K20" s="143">
        <v>0</v>
      </c>
    </row>
    <row r="21" spans="1:11" x14ac:dyDescent="0.25">
      <c r="A21" s="142">
        <v>0</v>
      </c>
      <c r="B21" s="142">
        <v>0</v>
      </c>
      <c r="C21" s="21">
        <v>226</v>
      </c>
      <c r="D21" s="45">
        <v>7.9719219033845397</v>
      </c>
      <c r="E21" s="21" t="str">
        <v>Spreader Bars 32"</v>
      </c>
      <c r="F21" s="21" t="str">
        <v/>
      </c>
      <c r="G21" s="148" t="str">
        <v/>
      </c>
      <c r="H21" s="143">
        <v>0</v>
      </c>
      <c r="I21" s="148">
        <v>7.9719219033845397</v>
      </c>
      <c r="J21" s="143">
        <v>0</v>
      </c>
      <c r="K21" s="143">
        <v>0</v>
      </c>
    </row>
    <row r="22" spans="1:11" x14ac:dyDescent="0.25">
      <c r="A22" s="142">
        <v>0</v>
      </c>
      <c r="B22" s="142">
        <v>0</v>
      </c>
      <c r="C22" s="21">
        <v>97</v>
      </c>
      <c r="D22" s="45">
        <v>3.4215771001252229</v>
      </c>
      <c r="E22" s="21" t="str">
        <v>Tree straps black</v>
      </c>
      <c r="F22" s="21" t="str">
        <v/>
      </c>
      <c r="G22" s="148" t="str">
        <v/>
      </c>
      <c r="H22" s="143">
        <v>0</v>
      </c>
      <c r="I22" s="148">
        <v>3.4215771001252229</v>
      </c>
      <c r="J22" s="143">
        <v>0</v>
      </c>
      <c r="K22" s="143">
        <v>0</v>
      </c>
    </row>
    <row r="23" spans="1:11" x14ac:dyDescent="0.25">
      <c r="A23" s="142" t="str">
        <v>H</v>
      </c>
      <c r="B23" s="142" t="str">
        <v>x</v>
      </c>
      <c r="C23" s="21">
        <v>82</v>
      </c>
      <c r="D23" s="45">
        <v>2.8924672392811162</v>
      </c>
      <c r="E23" s="21" t="str">
        <v>Tree straps spider poly</v>
      </c>
      <c r="F23" s="21">
        <v>82</v>
      </c>
      <c r="G23" s="148">
        <v>2.8924672392811162</v>
      </c>
      <c r="H23" s="143">
        <v>0</v>
      </c>
      <c r="I23" s="148">
        <v>2.8924672392811162</v>
      </c>
      <c r="J23" s="143">
        <v>0</v>
      </c>
      <c r="K23" s="143">
        <v>0</v>
      </c>
    </row>
    <row r="24" spans="1:11" x14ac:dyDescent="0.25">
      <c r="A24" s="142">
        <v>0</v>
      </c>
      <c r="B24" s="142">
        <v>0</v>
      </c>
      <c r="C24" s="21">
        <v>40</v>
      </c>
      <c r="D24" s="45">
        <v>1.4109596289176176</v>
      </c>
      <c r="E24" s="21" t="str">
        <v>Whoopie slings #1</v>
      </c>
      <c r="F24" s="21" t="str">
        <v/>
      </c>
      <c r="G24" s="148" t="str">
        <v/>
      </c>
      <c r="H24" s="143">
        <v>0</v>
      </c>
      <c r="I24" s="148">
        <v>1.4109596289176176</v>
      </c>
      <c r="J24" s="143">
        <v>0</v>
      </c>
      <c r="K24" s="143">
        <v>0</v>
      </c>
    </row>
    <row r="25" spans="1:11" x14ac:dyDescent="0.25">
      <c r="A25" s="142" t="str">
        <v>H</v>
      </c>
      <c r="B25" s="142" t="str">
        <v>x</v>
      </c>
      <c r="C25" s="21">
        <v>40</v>
      </c>
      <c r="D25" s="45">
        <v>1.4109596289176176</v>
      </c>
      <c r="E25" s="21" t="str">
        <v>UCR</v>
      </c>
      <c r="F25" s="21">
        <v>40</v>
      </c>
      <c r="G25" s="148">
        <v>1.4109596289176176</v>
      </c>
      <c r="H25" s="143">
        <v>0</v>
      </c>
      <c r="I25" s="148">
        <v>1.4109596289176176</v>
      </c>
      <c r="J25" s="143">
        <v>0</v>
      </c>
      <c r="K25" s="143">
        <v>0</v>
      </c>
    </row>
    <row r="26" spans="1:11" x14ac:dyDescent="0.25">
      <c r="A26" s="142">
        <v>0</v>
      </c>
      <c r="B26" s="142">
        <v>0</v>
      </c>
      <c r="C26" s="21">
        <v>750</v>
      </c>
      <c r="D26" s="45">
        <v>26.45549304220533</v>
      </c>
      <c r="E26" s="21" t="str">
        <v>Tarp grey &amp; lines</v>
      </c>
      <c r="F26" s="21" t="str">
        <v/>
      </c>
      <c r="G26" s="148" t="str">
        <v/>
      </c>
      <c r="H26" s="143">
        <v>1</v>
      </c>
      <c r="I26" s="148">
        <v>10.45549304220533</v>
      </c>
      <c r="J26" s="143">
        <v>0</v>
      </c>
      <c r="K26" s="143">
        <v>0</v>
      </c>
    </row>
    <row r="27" spans="1:11" x14ac:dyDescent="0.25">
      <c r="A27" s="142" t="str">
        <v>C</v>
      </c>
      <c r="B27" s="142" t="str">
        <v>x</v>
      </c>
      <c r="C27" s="21">
        <v>474</v>
      </c>
      <c r="D27" s="45">
        <v>16.71987160267377</v>
      </c>
      <c r="E27" s="21" t="str">
        <v>Tarp Forest green &amp; lines</v>
      </c>
      <c r="F27" s="21">
        <v>300</v>
      </c>
      <c r="G27" s="148">
        <v>16.71987160267377</v>
      </c>
      <c r="H27" s="143">
        <v>1</v>
      </c>
      <c r="I27" s="148">
        <v>0.71987160267376993</v>
      </c>
      <c r="J27" s="143" t="str">
        <v>1.1oz polysil 8yds RBTR;  12.9 sq yds;1.1=14.2; 1.6=20.6</v>
      </c>
      <c r="K27" s="143">
        <v>0</v>
      </c>
    </row>
    <row r="28" spans="1:11" x14ac:dyDescent="0.25">
      <c r="A28" s="142" t="str">
        <v>C</v>
      </c>
      <c r="B28" s="142" t="str">
        <v>x</v>
      </c>
      <c r="C28" s="21">
        <v>80</v>
      </c>
      <c r="D28" s="45">
        <v>2.8219192578352352</v>
      </c>
      <c r="E28" s="21" t="str">
        <v>stakes AL red</v>
      </c>
      <c r="F28" s="21">
        <v>80</v>
      </c>
      <c r="G28" s="148">
        <v>2.8219192578352352</v>
      </c>
      <c r="H28" s="143">
        <v>0</v>
      </c>
      <c r="I28" s="148">
        <v>2.8219192578352352</v>
      </c>
      <c r="J28" s="143">
        <v>0</v>
      </c>
      <c r="K28" s="143">
        <v>0</v>
      </c>
    </row>
    <row r="29" spans="1:11" x14ac:dyDescent="0.25">
      <c r="A29" s="142">
        <v>0</v>
      </c>
      <c r="B29" s="142">
        <v>0</v>
      </c>
      <c r="C29" s="21">
        <v>115</v>
      </c>
      <c r="D29" s="45">
        <v>4.0565089331381508</v>
      </c>
      <c r="E29" s="21" t="str">
        <v>stakes AL orange</v>
      </c>
      <c r="F29" s="21" t="str">
        <v/>
      </c>
      <c r="G29" s="148" t="str">
        <v/>
      </c>
      <c r="H29" s="143">
        <v>0</v>
      </c>
      <c r="I29" s="148">
        <v>4.0565089331381508</v>
      </c>
      <c r="J29" s="143">
        <v>0</v>
      </c>
      <c r="K29" s="143">
        <v>0</v>
      </c>
    </row>
    <row r="30" spans="1:11" x14ac:dyDescent="0.25">
      <c r="A30" s="142" t="str">
        <v>T</v>
      </c>
      <c r="B30" s="142">
        <v>0</v>
      </c>
      <c r="C30" s="21">
        <v>126</v>
      </c>
      <c r="D30" s="45">
        <v>4.4445228310904952</v>
      </c>
      <c r="E30" s="21" t="str">
        <v>stakes Ti</v>
      </c>
      <c r="F30" s="21" t="str">
        <v/>
      </c>
      <c r="G30" s="148" t="str">
        <v/>
      </c>
      <c r="H30" s="143">
        <v>0</v>
      </c>
      <c r="I30" s="148">
        <v>4.4445228310904952</v>
      </c>
      <c r="J30" s="143">
        <v>0</v>
      </c>
      <c r="K30" s="143">
        <v>0</v>
      </c>
    </row>
    <row r="31" spans="1:11" x14ac:dyDescent="0.25">
      <c r="A31" s="142" t="str">
        <v>H</v>
      </c>
      <c r="B31" s="142">
        <v>0</v>
      </c>
      <c r="C31" s="21">
        <v>311</v>
      </c>
      <c r="D31" s="45">
        <v>10.970211114834477</v>
      </c>
      <c r="E31" s="21" t="str">
        <v>bug net original</v>
      </c>
      <c r="F31" s="21" t="str">
        <v/>
      </c>
      <c r="G31" s="148" t="str">
        <v/>
      </c>
      <c r="H31" s="143">
        <v>0</v>
      </c>
      <c r="I31" s="148">
        <v>10.970211114834477</v>
      </c>
      <c r="J31" s="143">
        <v>0</v>
      </c>
      <c r="K31" s="143">
        <v>0</v>
      </c>
    </row>
    <row r="32" spans="1:11" x14ac:dyDescent="0.25">
      <c r="A32" s="142" t="str">
        <v>H</v>
      </c>
      <c r="B32" s="142">
        <v>0</v>
      </c>
      <c r="C32" s="21">
        <v>0</v>
      </c>
      <c r="D32" s="45">
        <v>0</v>
      </c>
      <c r="E32" s="21" t="str">
        <v>bug net new</v>
      </c>
      <c r="F32" s="21" t="str">
        <v/>
      </c>
      <c r="G32" s="148" t="str">
        <v/>
      </c>
      <c r="H32" s="143">
        <v>0</v>
      </c>
      <c r="I32" s="148">
        <v>0</v>
      </c>
      <c r="J32" s="143" t="str">
        <v>.67oz noseeum RBT; 4oz</v>
      </c>
      <c r="K32" s="143" t="str">
        <v>x</v>
      </c>
    </row>
    <row r="33" spans="1:12" x14ac:dyDescent="0.25">
      <c r="A33" s="142" t="str">
        <v>T</v>
      </c>
      <c r="B33" s="142">
        <v>0</v>
      </c>
      <c r="C33" s="21">
        <v>545</v>
      </c>
      <c r="D33" s="45">
        <v>19.224324944002539</v>
      </c>
      <c r="E33" s="21" t="str">
        <v>tent outside</v>
      </c>
      <c r="F33" s="21" t="str">
        <v/>
      </c>
      <c r="G33" s="148" t="str">
        <v/>
      </c>
      <c r="H33" s="143">
        <v>1</v>
      </c>
      <c r="I33" s="148">
        <v>3.2243249440025394</v>
      </c>
      <c r="J33" s="143">
        <v>0</v>
      </c>
      <c r="K33" s="143">
        <v>0</v>
      </c>
    </row>
    <row r="34" spans="1:12" x14ac:dyDescent="0.25">
      <c r="A34" s="142" t="str">
        <v>T</v>
      </c>
      <c r="B34" s="142">
        <v>0</v>
      </c>
      <c r="C34" s="21">
        <v>305</v>
      </c>
      <c r="D34" s="45">
        <v>10.758567170496834</v>
      </c>
      <c r="E34" s="21" t="str">
        <v>tent inside</v>
      </c>
      <c r="F34" s="21" t="str">
        <v/>
      </c>
      <c r="G34" s="148" t="str">
        <v/>
      </c>
      <c r="H34" s="143">
        <v>0</v>
      </c>
      <c r="I34" s="148">
        <v>10.758567170496834</v>
      </c>
      <c r="J34" s="143">
        <v>0</v>
      </c>
      <c r="K34" s="143">
        <v>0</v>
      </c>
    </row>
    <row r="35" spans="1:12" x14ac:dyDescent="0.25">
      <c r="A35" s="142">
        <v>0</v>
      </c>
      <c r="B35" s="142" t="str">
        <v>x</v>
      </c>
      <c r="C35" s="21">
        <v>71</v>
      </c>
      <c r="D35" s="45">
        <v>2.5044533413287713</v>
      </c>
      <c r="E35" s="21" t="str">
        <v>Tyvek 4x3</v>
      </c>
      <c r="F35" s="21">
        <v>71</v>
      </c>
      <c r="G35" s="148">
        <v>2.5044533413287713</v>
      </c>
      <c r="H35" s="143">
        <v>0</v>
      </c>
      <c r="I35" s="148">
        <v>2.5044533413287713</v>
      </c>
      <c r="J35" s="143">
        <v>0</v>
      </c>
      <c r="K35" s="143">
        <v>0</v>
      </c>
    </row>
    <row r="36" spans="1:12" x14ac:dyDescent="0.25">
      <c r="A36" s="142" t="str">
        <v>T</v>
      </c>
      <c r="B36" s="142">
        <v>0</v>
      </c>
      <c r="C36" s="21">
        <v>119</v>
      </c>
      <c r="D36" s="45">
        <v>4.1976048960299126</v>
      </c>
      <c r="E36" s="21" t="str">
        <v>Tyvek 8x3 footprint</v>
      </c>
      <c r="F36" s="21" t="str">
        <v/>
      </c>
      <c r="G36" s="148" t="str">
        <v/>
      </c>
      <c r="H36" s="143">
        <v>0</v>
      </c>
      <c r="I36" s="148">
        <v>4.1976048960299126</v>
      </c>
      <c r="J36" s="143">
        <v>0</v>
      </c>
      <c r="K36" s="143">
        <v>0</v>
      </c>
    </row>
    <row r="37" spans="1:12" x14ac:dyDescent="0.25">
      <c r="A37" s="142">
        <v>0</v>
      </c>
      <c r="B37" s="142">
        <v>0</v>
      </c>
      <c r="C37" s="21">
        <v>195</v>
      </c>
      <c r="D37" s="45">
        <v>6.878428190973386</v>
      </c>
      <c r="E37" s="21" t="str">
        <v>Tyvek 7.5' x 5' footprint</v>
      </c>
      <c r="F37" s="21" t="str">
        <v/>
      </c>
      <c r="G37" s="148" t="str">
        <v/>
      </c>
      <c r="H37" s="143">
        <v>0</v>
      </c>
      <c r="I37" s="148">
        <v>6.878428190973386</v>
      </c>
      <c r="J37" s="143">
        <v>0</v>
      </c>
      <c r="K37" s="143">
        <v>0</v>
      </c>
    </row>
    <row r="38" spans="1:12" x14ac:dyDescent="0.25">
      <c r="A38" s="142">
        <v>0</v>
      </c>
      <c r="B38" s="142">
        <v>0</v>
      </c>
      <c r="C38" s="21">
        <v>0</v>
      </c>
      <c r="D38" s="45">
        <v>0</v>
      </c>
      <c r="E38" s="21" t="str">
        <v>plastic footprint</v>
      </c>
      <c r="F38" s="21" t="str">
        <v/>
      </c>
      <c r="G38" s="148" t="str">
        <v/>
      </c>
      <c r="H38" s="143">
        <v>0</v>
      </c>
      <c r="I38" s="148">
        <v>0</v>
      </c>
      <c r="J38" s="143">
        <v>0</v>
      </c>
      <c r="K38" s="143">
        <v>0</v>
      </c>
    </row>
    <row r="39" spans="1:12" x14ac:dyDescent="0.25">
      <c r="A39" s="142">
        <v>0</v>
      </c>
      <c r="B39" s="142" t="str">
        <v>x</v>
      </c>
      <c r="C39" s="21">
        <v>39</v>
      </c>
      <c r="D39" s="45">
        <v>1.3756856381946772</v>
      </c>
      <c r="E39" s="21" t="str">
        <v>Mylar blanket</v>
      </c>
      <c r="F39" s="21">
        <v>39</v>
      </c>
      <c r="G39" s="148">
        <v>1.3756856381946772</v>
      </c>
      <c r="H39" s="143">
        <v>0</v>
      </c>
      <c r="I39" s="148">
        <v>1.3756856381946772</v>
      </c>
      <c r="J39" s="143">
        <v>0</v>
      </c>
      <c r="K39" s="143">
        <v>0</v>
      </c>
    </row>
    <row r="40" spans="1:12" x14ac:dyDescent="0.25">
      <c r="A40" s="142" t="str">
        <v/>
      </c>
      <c r="B40" s="142" t="str">
        <v/>
      </c>
      <c r="C40" s="21" t="str">
        <v/>
      </c>
      <c r="D40" s="45" t="str">
        <v/>
      </c>
      <c r="E40" s="21" t="str">
        <v/>
      </c>
      <c r="F40" s="21" t="str">
        <v/>
      </c>
      <c r="G40" s="148" t="str">
        <v/>
      </c>
      <c r="H40" s="143" t="str">
        <v/>
      </c>
      <c r="I40" s="148" t="str">
        <v/>
      </c>
      <c r="J40" s="143" t="str">
        <v/>
      </c>
      <c r="K40" s="143" t="str">
        <v/>
      </c>
    </row>
    <row r="41" spans="1:12" x14ac:dyDescent="0.25">
      <c r="A41" s="142">
        <v>0</v>
      </c>
      <c r="B41" s="142" t="str">
        <v>x</v>
      </c>
      <c r="C41" s="21" t="str">
        <v xml:space="preserve"> </v>
      </c>
      <c r="D41" s="45" t="str">
        <v xml:space="preserve"> </v>
      </c>
      <c r="E41" s="21" t="str">
        <v>Sleeping Group</v>
      </c>
      <c r="F41" s="21" t="str">
        <v xml:space="preserve">  </v>
      </c>
      <c r="G41" s="148" t="str">
        <v xml:space="preserve"> </v>
      </c>
      <c r="H41" s="143" t="str">
        <v xml:space="preserve"> </v>
      </c>
      <c r="I41" s="148" t="str">
        <v xml:space="preserve"> </v>
      </c>
      <c r="J41" s="143">
        <v>0</v>
      </c>
      <c r="K41" s="143">
        <v>0</v>
      </c>
      <c r="L41" s="128" t="s">
        <v>277</v>
      </c>
    </row>
    <row r="42" spans="1:12" x14ac:dyDescent="0.25">
      <c r="A42" s="142">
        <v>0</v>
      </c>
      <c r="B42" s="142" t="str">
        <v xml:space="preserve"> </v>
      </c>
      <c r="C42" s="21">
        <v>1088</v>
      </c>
      <c r="D42" s="45">
        <v>38.378101906559202</v>
      </c>
      <c r="E42" s="21" t="str">
        <v>30° sleeping bag</v>
      </c>
      <c r="F42" s="21" t="str">
        <v/>
      </c>
      <c r="G42" s="148" t="str">
        <v/>
      </c>
      <c r="H42" s="143">
        <v>2</v>
      </c>
      <c r="I42" s="148">
        <v>6.378101906559202</v>
      </c>
      <c r="J42" s="143">
        <v>0</v>
      </c>
      <c r="K42" s="143">
        <v>0</v>
      </c>
    </row>
    <row r="43" spans="1:12" x14ac:dyDescent="0.25">
      <c r="A43" s="142">
        <v>0</v>
      </c>
      <c r="B43" s="142" t="str">
        <v>x</v>
      </c>
      <c r="C43" s="21">
        <v>1270</v>
      </c>
      <c r="D43" s="45">
        <v>44.797968218134358</v>
      </c>
      <c r="E43" s="21" t="str">
        <v>15° sleeping bag - Katahdin</v>
      </c>
      <c r="F43" s="21">
        <v>1270</v>
      </c>
      <c r="G43" s="148">
        <v>44.797968218134358</v>
      </c>
      <c r="H43" s="143">
        <v>2</v>
      </c>
      <c r="I43" s="148">
        <v>12.797968218134358</v>
      </c>
      <c r="J43" s="143">
        <v>0</v>
      </c>
      <c r="K43" s="143">
        <v>0</v>
      </c>
    </row>
    <row r="44" spans="1:12" x14ac:dyDescent="0.25">
      <c r="A44" s="142">
        <v>0</v>
      </c>
      <c r="B44" s="142">
        <v>0</v>
      </c>
      <c r="C44" s="21">
        <v>1565</v>
      </c>
      <c r="D44" s="45">
        <v>55.203795481401791</v>
      </c>
      <c r="E44" s="21" t="str">
        <v>0° sleeping bag - Antero</v>
      </c>
      <c r="F44" s="21" t="str">
        <v/>
      </c>
      <c r="G44" s="148" t="str">
        <v/>
      </c>
      <c r="H44" s="143">
        <v>3</v>
      </c>
      <c r="I44" s="148">
        <v>7.2037954814017908</v>
      </c>
      <c r="J44" s="143">
        <v>0</v>
      </c>
      <c r="K44" s="143">
        <v>0</v>
      </c>
    </row>
    <row r="45" spans="1:12" x14ac:dyDescent="0.25">
      <c r="A45" s="142">
        <v>0</v>
      </c>
      <c r="B45" s="142">
        <v>0</v>
      </c>
      <c r="C45" s="21">
        <v>1089</v>
      </c>
      <c r="D45" s="45">
        <v>38.413375897282137</v>
      </c>
      <c r="E45" s="21" t="str">
        <v>Fleece sleeping bag</v>
      </c>
      <c r="F45" s="21" t="str">
        <v/>
      </c>
      <c r="G45" s="148" t="str">
        <v/>
      </c>
      <c r="H45" s="143">
        <v>2</v>
      </c>
      <c r="I45" s="148">
        <v>6.4133758972821369</v>
      </c>
      <c r="J45" s="143">
        <v>0</v>
      </c>
      <c r="K45" s="143">
        <v>0</v>
      </c>
    </row>
    <row r="46" spans="1:12" x14ac:dyDescent="0.25">
      <c r="A46" s="142">
        <v>0</v>
      </c>
      <c r="B46" s="142" t="str">
        <v>x</v>
      </c>
      <c r="C46" s="21">
        <v>176</v>
      </c>
      <c r="D46" s="45">
        <v>6.2082223672375179</v>
      </c>
      <c r="E46" s="21" t="str">
        <v>sleeping bag liner blue</v>
      </c>
      <c r="F46" s="21">
        <v>176</v>
      </c>
      <c r="G46" s="148">
        <v>6.2082223672375179</v>
      </c>
      <c r="H46" s="143">
        <v>0</v>
      </c>
      <c r="I46" s="148">
        <v>6.2082223672375179</v>
      </c>
      <c r="J46" s="143">
        <v>0</v>
      </c>
      <c r="K46" s="143">
        <v>0</v>
      </c>
    </row>
    <row r="47" spans="1:12" x14ac:dyDescent="0.25">
      <c r="A47" s="142">
        <v>0</v>
      </c>
      <c r="B47" s="142">
        <v>0</v>
      </c>
      <c r="C47" s="21">
        <v>0</v>
      </c>
      <c r="D47" s="45">
        <v>0</v>
      </c>
      <c r="E47" s="21" t="str">
        <v>sleeping bag liner NatureHike 4.5oz</v>
      </c>
      <c r="F47" s="21" t="str">
        <v/>
      </c>
      <c r="G47" s="148" t="str">
        <v/>
      </c>
      <c r="H47" s="143">
        <v>0</v>
      </c>
      <c r="I47" s="148">
        <v>0</v>
      </c>
      <c r="J47" s="143" t="str">
        <v>Cocoon Silk MummyLiner 4oz</v>
      </c>
      <c r="K47" s="143" t="str">
        <v>x</v>
      </c>
    </row>
    <row r="48" spans="1:12" x14ac:dyDescent="0.25">
      <c r="A48" s="142">
        <v>0</v>
      </c>
      <c r="B48" s="142">
        <v>0</v>
      </c>
      <c r="C48" s="21">
        <v>86</v>
      </c>
      <c r="D48" s="45">
        <v>3.033563202172878</v>
      </c>
      <c r="E48" s="21" t="str">
        <v>pillow orange/gray</v>
      </c>
      <c r="F48" s="21" t="str">
        <v/>
      </c>
      <c r="G48" s="148" t="str">
        <v/>
      </c>
      <c r="H48" s="143">
        <v>0</v>
      </c>
      <c r="I48" s="148">
        <v>3.033563202172878</v>
      </c>
      <c r="J48" s="143">
        <v>0</v>
      </c>
      <c r="K48" s="143">
        <v>0</v>
      </c>
    </row>
    <row r="49" spans="1:12" x14ac:dyDescent="0.25">
      <c r="A49" s="142">
        <v>0</v>
      </c>
      <c r="B49" s="142" t="str">
        <v>x</v>
      </c>
      <c r="C49" s="21">
        <v>90</v>
      </c>
      <c r="D49" s="45">
        <v>3.1746591650646399</v>
      </c>
      <c r="E49" s="21" t="str">
        <v>pillow black (Outdoor Vitals)</v>
      </c>
      <c r="F49" s="21">
        <v>90</v>
      </c>
      <c r="G49" s="148">
        <v>3.1746591650646399</v>
      </c>
      <c r="H49" s="143">
        <v>0</v>
      </c>
      <c r="I49" s="148">
        <v>3.1746591650646399</v>
      </c>
      <c r="J49" s="143">
        <v>0</v>
      </c>
      <c r="K49" s="143">
        <v>0</v>
      </c>
    </row>
    <row r="50" spans="1:12" x14ac:dyDescent="0.25">
      <c r="A50" s="142">
        <v>0</v>
      </c>
      <c r="B50" s="142">
        <v>0</v>
      </c>
      <c r="C50" s="21">
        <v>711</v>
      </c>
      <c r="D50" s="45">
        <v>25.079807404010655</v>
      </c>
      <c r="E50" s="21" t="str">
        <v>Air matress Big Birtha</v>
      </c>
      <c r="F50" s="21" t="str">
        <v/>
      </c>
      <c r="G50" s="148" t="str">
        <v/>
      </c>
      <c r="H50" s="143">
        <v>1</v>
      </c>
      <c r="I50" s="148">
        <v>9.0798074040106549</v>
      </c>
      <c r="J50" s="143">
        <v>0</v>
      </c>
      <c r="K50" s="143">
        <v>0</v>
      </c>
    </row>
    <row r="51" spans="1:12" x14ac:dyDescent="0.25">
      <c r="A51" s="142" t="str">
        <v>T</v>
      </c>
      <c r="B51" s="142">
        <v>0</v>
      </c>
      <c r="C51" s="21">
        <v>488</v>
      </c>
      <c r="D51" s="45">
        <v>17.213707472794937</v>
      </c>
      <c r="E51" s="21" t="str">
        <v>Air matress blue</v>
      </c>
      <c r="F51" s="21" t="str">
        <v/>
      </c>
      <c r="G51" s="148" t="str">
        <v/>
      </c>
      <c r="H51" s="143">
        <v>1</v>
      </c>
      <c r="I51" s="148">
        <v>1.2137074727949368</v>
      </c>
      <c r="J51" s="143">
        <v>0</v>
      </c>
      <c r="K51" s="143">
        <v>0</v>
      </c>
    </row>
    <row r="52" spans="1:12" x14ac:dyDescent="0.25">
      <c r="A52" s="142">
        <v>0</v>
      </c>
      <c r="B52" s="142">
        <v>0</v>
      </c>
      <c r="C52" s="21">
        <v>0</v>
      </c>
      <c r="D52" s="45">
        <v>0</v>
      </c>
      <c r="E52" s="21" t="str">
        <v>Top Quilt</v>
      </c>
      <c r="F52" s="21" t="str">
        <v/>
      </c>
      <c r="G52" s="148" t="str">
        <v/>
      </c>
      <c r="H52" s="143" t="str">
        <v/>
      </c>
      <c r="I52" s="148">
        <v>0</v>
      </c>
      <c r="J52" s="143">
        <v>0</v>
      </c>
      <c r="K52" s="143" t="str">
        <v>x</v>
      </c>
    </row>
    <row r="53" spans="1:12" x14ac:dyDescent="0.25">
      <c r="A53" s="142">
        <v>0</v>
      </c>
      <c r="B53" s="142" t="str">
        <v>x</v>
      </c>
      <c r="C53" s="21">
        <v>898</v>
      </c>
      <c r="D53" s="45">
        <v>31.676043669200517</v>
      </c>
      <c r="E53" s="21" t="str">
        <v>Under Quilt</v>
      </c>
      <c r="F53" s="21">
        <v>898</v>
      </c>
      <c r="G53" s="148">
        <v>31.676043669200517</v>
      </c>
      <c r="H53" s="143">
        <v>1</v>
      </c>
      <c r="I53" s="148">
        <v>15.676043669200517</v>
      </c>
      <c r="J53" s="143">
        <v>0</v>
      </c>
      <c r="K53" s="143">
        <v>0</v>
      </c>
    </row>
    <row r="54" spans="1:12" x14ac:dyDescent="0.25">
      <c r="A54" s="142">
        <v>0</v>
      </c>
      <c r="B54" s="142">
        <v>0</v>
      </c>
      <c r="C54" s="21">
        <v>0</v>
      </c>
      <c r="D54" s="45" t="str">
        <v/>
      </c>
      <c r="E54" s="21" t="str">
        <v>New Under Quilt</v>
      </c>
      <c r="F54" s="21" t="str">
        <v/>
      </c>
      <c r="G54" s="148" t="str">
        <v/>
      </c>
      <c r="H54" s="143" t="str">
        <v/>
      </c>
      <c r="I54" s="148" t="str">
        <v/>
      </c>
      <c r="J54" s="143">
        <v>0</v>
      </c>
      <c r="K54" s="143" t="str">
        <v>x</v>
      </c>
    </row>
    <row r="55" spans="1:12" x14ac:dyDescent="0.25">
      <c r="A55" s="142" t="str">
        <v/>
      </c>
      <c r="B55" s="142" t="str">
        <v/>
      </c>
      <c r="C55" s="21" t="str">
        <v/>
      </c>
      <c r="D55" s="45" t="str">
        <v/>
      </c>
      <c r="E55" s="21" t="str">
        <v/>
      </c>
      <c r="F55" s="21" t="str">
        <v/>
      </c>
      <c r="G55" s="148" t="str">
        <v/>
      </c>
      <c r="H55" s="143" t="str">
        <v/>
      </c>
      <c r="I55" s="148" t="str">
        <v/>
      </c>
      <c r="J55" s="143" t="str">
        <v/>
      </c>
      <c r="K55" s="143" t="str">
        <v/>
      </c>
    </row>
    <row r="56" spans="1:12" x14ac:dyDescent="0.25">
      <c r="A56" s="142">
        <v>0</v>
      </c>
      <c r="B56" s="142" t="str">
        <v>x</v>
      </c>
      <c r="C56" s="21" t="str">
        <v xml:space="preserve"> </v>
      </c>
      <c r="D56" s="45" t="str">
        <v xml:space="preserve"> </v>
      </c>
      <c r="E56" s="21" t="str">
        <v>Sleeping Clothes Group</v>
      </c>
      <c r="F56" s="21" t="str">
        <v xml:space="preserve"> </v>
      </c>
      <c r="G56" s="148" t="str">
        <v xml:space="preserve"> </v>
      </c>
      <c r="H56" s="143" t="str">
        <v xml:space="preserve"> </v>
      </c>
      <c r="I56" s="148" t="str">
        <v xml:space="preserve"> </v>
      </c>
      <c r="J56" s="143">
        <v>0</v>
      </c>
      <c r="K56" s="143">
        <v>0</v>
      </c>
      <c r="L56" s="128" t="s">
        <v>278</v>
      </c>
    </row>
    <row r="57" spans="1:12" x14ac:dyDescent="0.25">
      <c r="A57" s="142">
        <v>0</v>
      </c>
      <c r="B57" s="142" t="str">
        <v>x</v>
      </c>
      <c r="C57" s="21">
        <v>84</v>
      </c>
      <c r="D57" s="45">
        <v>2.9630152207269971</v>
      </c>
      <c r="E57" s="21" t="str">
        <v>Down booties</v>
      </c>
      <c r="F57" s="21">
        <v>84</v>
      </c>
      <c r="G57" s="148">
        <v>2.9630152207269971</v>
      </c>
      <c r="H57" s="143">
        <v>0</v>
      </c>
      <c r="I57" s="148">
        <v>2.9630152207269971</v>
      </c>
      <c r="J57" s="143">
        <v>0</v>
      </c>
      <c r="K57" s="143">
        <v>0</v>
      </c>
    </row>
    <row r="58" spans="1:12" x14ac:dyDescent="0.25">
      <c r="A58" s="142">
        <v>0</v>
      </c>
      <c r="B58" s="142" t="str">
        <v>x</v>
      </c>
      <c r="C58" s="21">
        <v>93</v>
      </c>
      <c r="D58" s="45">
        <v>3.280481137233461</v>
      </c>
      <c r="E58" s="21" t="str">
        <v>Fleece hat</v>
      </c>
      <c r="F58" s="21">
        <v>93</v>
      </c>
      <c r="G58" s="148">
        <v>3.280481137233461</v>
      </c>
      <c r="H58" s="143">
        <v>0</v>
      </c>
      <c r="I58" s="148">
        <v>3.280481137233461</v>
      </c>
      <c r="J58" s="143">
        <v>0</v>
      </c>
      <c r="K58" s="143">
        <v>0</v>
      </c>
    </row>
    <row r="59" spans="1:12" x14ac:dyDescent="0.25">
      <c r="A59" s="142">
        <v>0</v>
      </c>
      <c r="B59" s="142">
        <v>0</v>
      </c>
      <c r="C59" s="21">
        <v>31</v>
      </c>
      <c r="D59" s="45">
        <v>1.0934937124111537</v>
      </c>
      <c r="E59" s="21" t="str">
        <v>Headband</v>
      </c>
      <c r="F59" s="21" t="str">
        <v/>
      </c>
      <c r="G59" s="148" t="str">
        <v/>
      </c>
      <c r="H59" s="143">
        <v>0</v>
      </c>
      <c r="I59" s="148">
        <v>1.0934937124111537</v>
      </c>
      <c r="J59" s="143">
        <v>0</v>
      </c>
      <c r="K59" s="143">
        <v>0</v>
      </c>
    </row>
    <row r="60" spans="1:12" x14ac:dyDescent="0.25">
      <c r="A60" s="142">
        <v>0</v>
      </c>
      <c r="B60" s="142">
        <v>0</v>
      </c>
      <c r="C60" s="21">
        <v>122</v>
      </c>
      <c r="D60" s="45">
        <v>4.3034268681987342</v>
      </c>
      <c r="E60" s="21" t="str">
        <v>short sleeve shirt</v>
      </c>
      <c r="F60" s="21" t="str">
        <v/>
      </c>
      <c r="G60" s="148" t="str">
        <v/>
      </c>
      <c r="H60" s="143">
        <v>0</v>
      </c>
      <c r="I60" s="148">
        <v>4.3034268681987342</v>
      </c>
      <c r="J60" s="143">
        <v>0</v>
      </c>
      <c r="K60" s="143">
        <v>0</v>
      </c>
    </row>
    <row r="61" spans="1:12" x14ac:dyDescent="0.25">
      <c r="A61" s="142">
        <v>0</v>
      </c>
      <c r="B61" s="142" t="str">
        <v>x</v>
      </c>
      <c r="C61" s="21">
        <v>148</v>
      </c>
      <c r="D61" s="45">
        <v>5.2205506269951849</v>
      </c>
      <c r="E61" s="21" t="str">
        <v>long sleeve shirt</v>
      </c>
      <c r="F61" s="21">
        <v>148</v>
      </c>
      <c r="G61" s="148">
        <v>5.2205506269951849</v>
      </c>
      <c r="H61" s="143">
        <v>0</v>
      </c>
      <c r="I61" s="148">
        <v>5.2205506269951849</v>
      </c>
      <c r="J61" s="143">
        <v>0</v>
      </c>
      <c r="K61" s="143">
        <v>0</v>
      </c>
    </row>
    <row r="62" spans="1:12" x14ac:dyDescent="0.25">
      <c r="A62" s="142">
        <v>0</v>
      </c>
      <c r="B62" s="142">
        <v>0</v>
      </c>
      <c r="C62" s="21">
        <v>132</v>
      </c>
      <c r="D62" s="45">
        <v>4.6561667754281384</v>
      </c>
      <c r="E62" s="21" t="str">
        <v>shorts</v>
      </c>
      <c r="F62" s="21" t="str">
        <v/>
      </c>
      <c r="G62" s="148" t="str">
        <v/>
      </c>
      <c r="H62" s="143">
        <v>0</v>
      </c>
      <c r="I62" s="148">
        <v>4.6561667754281384</v>
      </c>
      <c r="J62" s="143">
        <v>0</v>
      </c>
      <c r="K62" s="143">
        <v>0</v>
      </c>
    </row>
    <row r="63" spans="1:12" x14ac:dyDescent="0.25">
      <c r="A63" s="142">
        <v>0</v>
      </c>
      <c r="B63" s="142" t="str">
        <v>x</v>
      </c>
      <c r="C63" s="21">
        <v>76</v>
      </c>
      <c r="D63" s="45">
        <v>2.6808232949434734</v>
      </c>
      <c r="E63" s="21" t="str">
        <v>underwear</v>
      </c>
      <c r="F63" s="21">
        <v>76</v>
      </c>
      <c r="G63" s="148">
        <v>2.6808232949434734</v>
      </c>
      <c r="H63" s="143">
        <v>0</v>
      </c>
      <c r="I63" s="148">
        <v>2.6808232949434734</v>
      </c>
      <c r="J63" s="143">
        <v>0</v>
      </c>
      <c r="K63" s="143">
        <v>0</v>
      </c>
    </row>
    <row r="64" spans="1:12" x14ac:dyDescent="0.25">
      <c r="A64" s="142">
        <v>0</v>
      </c>
      <c r="B64" s="142" t="str">
        <v>x</v>
      </c>
      <c r="C64" s="21">
        <v>166</v>
      </c>
      <c r="D64" s="45">
        <v>5.8554824600081128</v>
      </c>
      <c r="E64" s="21" t="str">
        <v>Wool socks</v>
      </c>
      <c r="F64" s="21">
        <v>166</v>
      </c>
      <c r="G64" s="148">
        <v>5.8554824600081128</v>
      </c>
      <c r="H64" s="143">
        <v>0</v>
      </c>
      <c r="I64" s="148">
        <v>5.8554824600081128</v>
      </c>
      <c r="J64" s="143">
        <v>0</v>
      </c>
      <c r="K64" s="143">
        <v>0</v>
      </c>
    </row>
    <row r="65" spans="1:12" x14ac:dyDescent="0.25">
      <c r="A65" s="142">
        <v>0</v>
      </c>
      <c r="B65" s="142" t="str">
        <v>x</v>
      </c>
      <c r="C65" s="21">
        <v>47</v>
      </c>
      <c r="D65" s="45">
        <v>1.6578775639782006</v>
      </c>
      <c r="E65" s="21" t="str">
        <v>Liner socks</v>
      </c>
      <c r="F65" s="21">
        <v>47</v>
      </c>
      <c r="G65" s="148">
        <v>1.6578775639782006</v>
      </c>
      <c r="H65" s="143">
        <v>0</v>
      </c>
      <c r="I65" s="148">
        <v>1.6578775639782006</v>
      </c>
      <c r="J65" s="143">
        <v>0</v>
      </c>
      <c r="K65" s="143">
        <v>0</v>
      </c>
    </row>
    <row r="66" spans="1:12" x14ac:dyDescent="0.25">
      <c r="A66" s="142">
        <v>0</v>
      </c>
      <c r="B66" s="142" t="str">
        <v>x</v>
      </c>
      <c r="C66" s="21">
        <v>188</v>
      </c>
      <c r="D66" s="45">
        <v>6.6315102559128025</v>
      </c>
      <c r="E66" s="21" t="str">
        <v>running tights *</v>
      </c>
      <c r="F66" s="21">
        <v>188</v>
      </c>
      <c r="G66" s="148">
        <v>6.6315102559128025</v>
      </c>
      <c r="H66" s="143">
        <v>0</v>
      </c>
      <c r="I66" s="148">
        <v>6.6315102559128025</v>
      </c>
      <c r="J66" s="143">
        <v>0</v>
      </c>
      <c r="K66" s="143">
        <v>0</v>
      </c>
    </row>
    <row r="67" spans="1:12" x14ac:dyDescent="0.25">
      <c r="A67" s="142">
        <v>0</v>
      </c>
      <c r="B67" s="142">
        <v>0</v>
      </c>
      <c r="C67" s="21">
        <v>125</v>
      </c>
      <c r="D67" s="45">
        <v>4.4092488403675549</v>
      </c>
      <c r="E67" s="21" t="str">
        <v>thermal shirt *</v>
      </c>
      <c r="F67" s="21" t="str">
        <v/>
      </c>
      <c r="G67" s="148" t="str">
        <v/>
      </c>
      <c r="H67" s="143">
        <v>0</v>
      </c>
      <c r="I67" s="148">
        <v>4.4092488403675549</v>
      </c>
      <c r="J67" s="143">
        <v>0</v>
      </c>
      <c r="K67" s="143">
        <v>0</v>
      </c>
    </row>
    <row r="68" spans="1:12" x14ac:dyDescent="0.25">
      <c r="A68" s="142">
        <v>0</v>
      </c>
      <c r="B68" s="142">
        <v>0</v>
      </c>
      <c r="C68" s="21">
        <v>46</v>
      </c>
      <c r="D68" s="45">
        <v>1.6226035732552604</v>
      </c>
      <c r="E68" s="21" t="str">
        <v>balaclava *</v>
      </c>
      <c r="F68" s="21" t="str">
        <v/>
      </c>
      <c r="G68" s="148" t="str">
        <v/>
      </c>
      <c r="H68" s="143">
        <v>0</v>
      </c>
      <c r="I68" s="148">
        <v>1.6226035732552604</v>
      </c>
      <c r="J68" s="143">
        <v>0</v>
      </c>
      <c r="K68" s="143">
        <v>0</v>
      </c>
    </row>
    <row r="69" spans="1:12" x14ac:dyDescent="0.25">
      <c r="A69" s="142">
        <v>0</v>
      </c>
      <c r="B69" s="142" t="str">
        <v>x</v>
      </c>
      <c r="C69" s="21">
        <v>385</v>
      </c>
      <c r="D69" s="45">
        <v>13.580486428332069</v>
      </c>
      <c r="E69" s="21" t="str">
        <v>camp shoes</v>
      </c>
      <c r="F69" s="21">
        <v>385</v>
      </c>
      <c r="G69" s="148">
        <v>13.580486428332069</v>
      </c>
      <c r="H69" s="143">
        <v>0</v>
      </c>
      <c r="I69" s="148">
        <v>13.580486428332069</v>
      </c>
      <c r="J69" s="143">
        <v>0</v>
      </c>
      <c r="K69" s="143">
        <v>0</v>
      </c>
    </row>
    <row r="70" spans="1:12" x14ac:dyDescent="0.25">
      <c r="A70" s="142" t="str">
        <v/>
      </c>
      <c r="B70" s="142" t="str">
        <v/>
      </c>
      <c r="C70" s="21" t="str">
        <v/>
      </c>
      <c r="D70" s="45" t="str">
        <v/>
      </c>
      <c r="E70" s="21" t="str">
        <v/>
      </c>
      <c r="F70" s="21" t="str">
        <v/>
      </c>
      <c r="G70" s="148" t="str">
        <v/>
      </c>
      <c r="H70" s="143" t="str">
        <v/>
      </c>
      <c r="I70" s="148" t="str">
        <v/>
      </c>
      <c r="J70" s="143" t="str">
        <v/>
      </c>
      <c r="K70" s="143" t="str">
        <v/>
      </c>
    </row>
    <row r="71" spans="1:12" x14ac:dyDescent="0.25">
      <c r="A71" s="142">
        <v>0</v>
      </c>
      <c r="B71" s="142" t="str">
        <v>x</v>
      </c>
      <c r="C71" s="21" t="str">
        <v xml:space="preserve"> </v>
      </c>
      <c r="D71" s="45" t="str">
        <v xml:space="preserve"> </v>
      </c>
      <c r="E71" s="21" t="str">
        <v>Rain Gear Group</v>
      </c>
      <c r="F71" s="21" t="str">
        <v xml:space="preserve"> </v>
      </c>
      <c r="G71" s="148" t="str">
        <v xml:space="preserve"> </v>
      </c>
      <c r="H71" s="143" t="str">
        <v xml:space="preserve"> </v>
      </c>
      <c r="I71" s="148" t="str">
        <v xml:space="preserve"> </v>
      </c>
      <c r="J71" s="143">
        <v>0</v>
      </c>
      <c r="K71" s="143">
        <v>0</v>
      </c>
      <c r="L71" s="128" t="s">
        <v>279</v>
      </c>
    </row>
    <row r="72" spans="1:12" x14ac:dyDescent="0.25">
      <c r="A72" s="142">
        <v>0</v>
      </c>
      <c r="B72" s="142" t="str">
        <v>x</v>
      </c>
      <c r="C72" s="21">
        <v>244</v>
      </c>
      <c r="D72" s="45">
        <v>8.6068537363974684</v>
      </c>
      <c r="E72" s="21" t="str">
        <v>Rain jacket white/green</v>
      </c>
      <c r="F72" s="21">
        <v>244</v>
      </c>
      <c r="G72" s="148">
        <v>8.6068537363974684</v>
      </c>
      <c r="H72" s="143">
        <v>0</v>
      </c>
      <c r="I72" s="148">
        <v>8.6068537363974684</v>
      </c>
      <c r="J72" s="143">
        <v>0</v>
      </c>
      <c r="K72" s="143">
        <v>0</v>
      </c>
    </row>
    <row r="73" spans="1:12" x14ac:dyDescent="0.25">
      <c r="A73" s="142">
        <v>0</v>
      </c>
      <c r="B73" s="142">
        <v>0</v>
      </c>
      <c r="C73" s="21">
        <v>444</v>
      </c>
      <c r="D73" s="45">
        <v>15.661651880985556</v>
      </c>
      <c r="E73" s="21" t="str">
        <v>Rain jacket Green *</v>
      </c>
      <c r="F73" s="21" t="str">
        <v/>
      </c>
      <c r="G73" s="148" t="str">
        <v/>
      </c>
      <c r="H73" s="143">
        <v>0</v>
      </c>
      <c r="I73" s="148">
        <v>15.661651880985556</v>
      </c>
      <c r="J73" s="143" t="str">
        <v>older; Do NOT Use</v>
      </c>
      <c r="K73" s="143">
        <v>0</v>
      </c>
    </row>
    <row r="74" spans="1:12" x14ac:dyDescent="0.25">
      <c r="A74" s="142">
        <v>0</v>
      </c>
      <c r="B74" s="142">
        <v>0</v>
      </c>
      <c r="C74" s="21">
        <v>300</v>
      </c>
      <c r="D74" s="45">
        <v>10.582197216882133</v>
      </c>
      <c r="E74" s="21" t="str">
        <v>Rain pants black *</v>
      </c>
      <c r="F74" s="21" t="str">
        <v/>
      </c>
      <c r="G74" s="148" t="str">
        <v/>
      </c>
      <c r="H74" s="143">
        <v>0</v>
      </c>
      <c r="I74" s="148">
        <v>10.582197216882133</v>
      </c>
      <c r="J74" s="143" t="str">
        <v>older; Do NOT Use</v>
      </c>
      <c r="K74" s="143">
        <v>0</v>
      </c>
    </row>
    <row r="75" spans="1:12" x14ac:dyDescent="0.25">
      <c r="A75" s="142">
        <v>0</v>
      </c>
      <c r="B75" s="142">
        <v>0</v>
      </c>
      <c r="C75" s="21">
        <v>0</v>
      </c>
      <c r="D75" s="45">
        <v>0</v>
      </c>
      <c r="E75" s="21" t="str">
        <v>Rain jacket blue FroggTog</v>
      </c>
      <c r="F75" s="21" t="str">
        <v/>
      </c>
      <c r="G75" s="148" t="str">
        <v/>
      </c>
      <c r="H75" s="143">
        <v>0</v>
      </c>
      <c r="I75" s="148">
        <v>0</v>
      </c>
      <c r="J75" s="143">
        <v>0</v>
      </c>
      <c r="K75" s="143">
        <v>0</v>
      </c>
    </row>
    <row r="76" spans="1:12" x14ac:dyDescent="0.25">
      <c r="A76" s="142">
        <v>0</v>
      </c>
      <c r="B76" s="142" t="str">
        <v>x</v>
      </c>
      <c r="C76" s="21">
        <v>129</v>
      </c>
      <c r="D76" s="45">
        <v>4.5503448032593168</v>
      </c>
      <c r="E76" s="21" t="str">
        <v>Rain pants blue FroggTog</v>
      </c>
      <c r="F76" s="21">
        <v>129</v>
      </c>
      <c r="G76" s="148">
        <v>4.5503448032593168</v>
      </c>
      <c r="H76" s="143">
        <v>0</v>
      </c>
      <c r="I76" s="148">
        <v>4.5503448032593168</v>
      </c>
      <c r="J76" s="143">
        <v>0</v>
      </c>
      <c r="K76" s="143">
        <v>0</v>
      </c>
    </row>
    <row r="77" spans="1:12" x14ac:dyDescent="0.25">
      <c r="A77" s="142">
        <v>0</v>
      </c>
      <c r="B77" s="142">
        <v>0</v>
      </c>
      <c r="C77" s="21">
        <v>73</v>
      </c>
      <c r="D77" s="45">
        <v>2.5750013227746522</v>
      </c>
      <c r="E77" s="21" t="str">
        <v>New Rain Pants Xeon</v>
      </c>
      <c r="F77" s="21" t="str">
        <v/>
      </c>
      <c r="G77" s="148" t="str">
        <v/>
      </c>
      <c r="H77" s="143">
        <v>0</v>
      </c>
      <c r="I77" s="148">
        <v>2.5750013227746522</v>
      </c>
      <c r="J77" s="143" t="str">
        <v>DutchGear $55</v>
      </c>
      <c r="K77" s="143" t="str">
        <v>x</v>
      </c>
    </row>
    <row r="78" spans="1:12" x14ac:dyDescent="0.25">
      <c r="A78" s="142">
        <v>0</v>
      </c>
      <c r="B78" s="142">
        <v>0</v>
      </c>
      <c r="C78" s="21">
        <v>91</v>
      </c>
      <c r="D78" s="45">
        <v>3.2099331557875801</v>
      </c>
      <c r="E78" s="21" t="str">
        <v>rain kilt</v>
      </c>
      <c r="F78" s="21" t="str">
        <v/>
      </c>
      <c r="G78" s="148" t="str">
        <v/>
      </c>
      <c r="H78" s="143">
        <v>0</v>
      </c>
      <c r="I78" s="148">
        <v>3.2099331557875801</v>
      </c>
      <c r="J78" s="143">
        <v>0</v>
      </c>
      <c r="K78" s="143">
        <v>0</v>
      </c>
    </row>
    <row r="79" spans="1:12" x14ac:dyDescent="0.25">
      <c r="A79" s="142" t="str">
        <v/>
      </c>
      <c r="B79" s="142" t="str">
        <v/>
      </c>
      <c r="C79" s="21" t="str">
        <v/>
      </c>
      <c r="D79" s="45" t="str">
        <v/>
      </c>
      <c r="E79" s="21" t="str">
        <v/>
      </c>
      <c r="F79" s="21" t="str">
        <v/>
      </c>
      <c r="G79" s="148" t="str">
        <v/>
      </c>
      <c r="H79" s="143" t="str">
        <v/>
      </c>
      <c r="I79" s="148" t="str">
        <v/>
      </c>
      <c r="J79" s="143" t="str">
        <v/>
      </c>
      <c r="K79" s="143" t="str">
        <v/>
      </c>
    </row>
    <row r="80" spans="1:12" x14ac:dyDescent="0.25">
      <c r="A80" s="142">
        <v>0</v>
      </c>
      <c r="B80" s="142" t="str">
        <v>x</v>
      </c>
      <c r="C80" s="21" t="str">
        <v xml:space="preserve"> </v>
      </c>
      <c r="D80" s="45" t="str">
        <v xml:space="preserve"> </v>
      </c>
      <c r="E80" s="21" t="str">
        <v xml:space="preserve">Kitchen Group  </v>
      </c>
      <c r="F80" s="21" t="str">
        <v>Refer to Recipies.txt</v>
      </c>
      <c r="G80" s="148">
        <v>0</v>
      </c>
      <c r="H80" s="143">
        <v>0</v>
      </c>
      <c r="I80" s="148" t="str">
        <v xml:space="preserve"> </v>
      </c>
      <c r="J80" s="143">
        <v>0</v>
      </c>
      <c r="K80" s="143">
        <v>0</v>
      </c>
      <c r="L80" s="128" t="s">
        <v>280</v>
      </c>
    </row>
    <row r="81" spans="1:11" x14ac:dyDescent="0.25">
      <c r="A81" s="142">
        <v>0</v>
      </c>
      <c r="B81" s="142">
        <v>0</v>
      </c>
      <c r="C81" s="21">
        <v>122</v>
      </c>
      <c r="D81" s="45">
        <v>4.3034268681987342</v>
      </c>
      <c r="E81" s="21" t="str">
        <v>1.25 Qt. Pot &amp; windscreen Large</v>
      </c>
      <c r="F81" s="21" t="str">
        <v/>
      </c>
      <c r="G81" s="148" t="str">
        <v/>
      </c>
      <c r="H81" s="143">
        <v>0</v>
      </c>
      <c r="I81" s="148">
        <v>4.3034268681987342</v>
      </c>
      <c r="J81" s="143">
        <v>0</v>
      </c>
      <c r="K81" s="143">
        <v>0</v>
      </c>
    </row>
    <row r="82" spans="1:11" x14ac:dyDescent="0.25">
      <c r="A82" s="142">
        <v>0</v>
      </c>
      <c r="B82" s="142" t="str">
        <v>x</v>
      </c>
      <c r="C82" s="21">
        <v>78</v>
      </c>
      <c r="D82" s="45">
        <v>2.7513712763893543</v>
      </c>
      <c r="E82" s="21" t="str">
        <v>pot .7 gt cup &amp; windscreen</v>
      </c>
      <c r="F82" s="21">
        <v>78</v>
      </c>
      <c r="G82" s="148">
        <v>2.7513712763893543</v>
      </c>
      <c r="H82" s="143">
        <v>0</v>
      </c>
      <c r="I82" s="148">
        <v>2.7513712763893543</v>
      </c>
      <c r="J82" s="143">
        <v>0</v>
      </c>
      <c r="K82" s="143">
        <v>0</v>
      </c>
    </row>
    <row r="83" spans="1:11" x14ac:dyDescent="0.25">
      <c r="A83" s="142">
        <v>0</v>
      </c>
      <c r="B83" s="142" t="str">
        <v>x</v>
      </c>
      <c r="C83" s="21">
        <v>110</v>
      </c>
      <c r="D83" s="45">
        <v>3.8801389795234487</v>
      </c>
      <c r="E83" s="21" t="str">
        <v>IsoPro Stove w/ ignitor</v>
      </c>
      <c r="F83" s="21">
        <v>110</v>
      </c>
      <c r="G83" s="148">
        <v>3.8801389795234487</v>
      </c>
      <c r="H83" s="143">
        <v>0</v>
      </c>
      <c r="I83" s="148">
        <v>3.8801389795234487</v>
      </c>
      <c r="J83" s="143">
        <v>0</v>
      </c>
      <c r="K83" s="143">
        <v>0</v>
      </c>
    </row>
    <row r="84" spans="1:11" x14ac:dyDescent="0.25">
      <c r="A84" s="142">
        <v>0</v>
      </c>
      <c r="B84" s="142">
        <v>0</v>
      </c>
      <c r="C84" s="21">
        <v>25</v>
      </c>
      <c r="D84" s="45">
        <v>0.88184976807351101</v>
      </c>
      <c r="E84" s="21" t="str">
        <v>BRS 3000T Stove</v>
      </c>
      <c r="F84" s="21" t="str">
        <v/>
      </c>
      <c r="G84" s="148" t="str">
        <v/>
      </c>
      <c r="H84" s="143">
        <v>0</v>
      </c>
      <c r="I84" s="148">
        <v>0.88184976807351101</v>
      </c>
      <c r="J84" s="143" t="str">
        <v>BRS 3000T Backpacking Stove</v>
      </c>
      <c r="K84" s="143" t="str">
        <v>x</v>
      </c>
    </row>
    <row r="85" spans="1:11" x14ac:dyDescent="0.25">
      <c r="A85" s="142">
        <v>0</v>
      </c>
      <c r="B85" s="142">
        <v>0</v>
      </c>
      <c r="C85" s="21">
        <v>0</v>
      </c>
      <c r="D85" s="45">
        <v>0</v>
      </c>
      <c r="E85" s="21" t="str">
        <v>Alcohol Stove **</v>
      </c>
      <c r="F85" s="21" t="str">
        <v/>
      </c>
      <c r="G85" s="148" t="str">
        <v/>
      </c>
      <c r="H85" s="143">
        <v>0</v>
      </c>
      <c r="I85" s="148">
        <v>0</v>
      </c>
      <c r="J85" s="143">
        <v>0</v>
      </c>
      <c r="K85" s="143">
        <v>0</v>
      </c>
    </row>
    <row r="86" spans="1:11" x14ac:dyDescent="0.25">
      <c r="A86" s="142">
        <v>0</v>
      </c>
      <c r="B86" s="142" t="str">
        <v>x</v>
      </c>
      <c r="C86" s="21">
        <v>227</v>
      </c>
      <c r="D86" s="45">
        <v>8.0071958941074808</v>
      </c>
      <c r="E86" s="21" t="str">
        <v>IsoPro canister 8oz</v>
      </c>
      <c r="F86" s="21">
        <v>227</v>
      </c>
      <c r="G86" s="148">
        <v>8.0071958941074808</v>
      </c>
      <c r="H86" s="143">
        <v>0</v>
      </c>
      <c r="I86" s="148">
        <v>8.0071958941074808</v>
      </c>
      <c r="J86" s="143">
        <v>0</v>
      </c>
      <c r="K86" s="143">
        <v>0</v>
      </c>
    </row>
    <row r="87" spans="1:11" x14ac:dyDescent="0.25">
      <c r="A87" s="142">
        <v>0</v>
      </c>
      <c r="B87" s="142">
        <v>0</v>
      </c>
      <c r="C87" s="21">
        <v>114</v>
      </c>
      <c r="D87" s="45">
        <v>4.0212349424152105</v>
      </c>
      <c r="E87" s="21" t="str">
        <v>IsoPro canister 4oz</v>
      </c>
      <c r="F87" s="21" t="str">
        <v/>
      </c>
      <c r="G87" s="148" t="str">
        <v/>
      </c>
      <c r="H87" s="143">
        <v>0</v>
      </c>
      <c r="I87" s="148">
        <v>4.0212349424152105</v>
      </c>
      <c r="J87" s="143">
        <v>0</v>
      </c>
      <c r="K87" s="143">
        <v>0</v>
      </c>
    </row>
    <row r="88" spans="1:11" x14ac:dyDescent="0.25">
      <c r="A88" s="142">
        <v>0</v>
      </c>
      <c r="B88" s="142">
        <v>0</v>
      </c>
      <c r="C88" s="21">
        <v>0</v>
      </c>
      <c r="D88" s="45">
        <v>0</v>
      </c>
      <c r="E88" s="21" t="str">
        <v>Fuel botle **</v>
      </c>
      <c r="F88" s="21" t="str">
        <v/>
      </c>
      <c r="G88" s="148" t="str">
        <v/>
      </c>
      <c r="H88" s="143">
        <v>0</v>
      </c>
      <c r="I88" s="148">
        <v>0</v>
      </c>
      <c r="J88" s="143">
        <v>0</v>
      </c>
      <c r="K88" s="143">
        <v>0</v>
      </c>
    </row>
    <row r="89" spans="1:11" x14ac:dyDescent="0.25">
      <c r="A89" s="142">
        <v>0</v>
      </c>
      <c r="B89" s="142" t="str">
        <v>x</v>
      </c>
      <c r="C89" s="21">
        <v>27</v>
      </c>
      <c r="D89" s="45">
        <v>0.95239774951939193</v>
      </c>
      <c r="E89" s="21" t="str">
        <v>IsoPro canister stand</v>
      </c>
      <c r="F89" s="21">
        <v>27</v>
      </c>
      <c r="G89" s="148">
        <v>0.95239774951939193</v>
      </c>
      <c r="H89" s="143">
        <v>0</v>
      </c>
      <c r="I89" s="148">
        <v>0.95239774951939193</v>
      </c>
      <c r="J89" s="143">
        <v>0</v>
      </c>
      <c r="K89" s="143">
        <v>0</v>
      </c>
    </row>
    <row r="90" spans="1:11" x14ac:dyDescent="0.25">
      <c r="A90" s="142">
        <v>0</v>
      </c>
      <c r="B90" s="142" t="str">
        <v>x</v>
      </c>
      <c r="C90" s="21">
        <v>26</v>
      </c>
      <c r="D90" s="45">
        <v>0.91712375879645147</v>
      </c>
      <c r="E90" s="21" t="str">
        <v>cozy for freezer bag meals</v>
      </c>
      <c r="F90" s="21">
        <v>26</v>
      </c>
      <c r="G90" s="148">
        <v>0.91712375879645147</v>
      </c>
      <c r="H90" s="143">
        <v>0</v>
      </c>
      <c r="I90" s="148">
        <v>0.91712375879645147</v>
      </c>
      <c r="J90" s="143">
        <v>0</v>
      </c>
      <c r="K90" s="143">
        <v>0</v>
      </c>
    </row>
    <row r="91" spans="1:11" x14ac:dyDescent="0.25">
      <c r="A91" s="142">
        <v>0</v>
      </c>
      <c r="B91" s="142" t="str">
        <v>x</v>
      </c>
      <c r="C91" s="21">
        <v>30</v>
      </c>
      <c r="D91" s="45">
        <v>1.0582197216882132</v>
      </c>
      <c r="E91" s="21" t="str">
        <v>lighter</v>
      </c>
      <c r="F91" s="21">
        <v>30</v>
      </c>
      <c r="G91" s="148">
        <v>1.0582197216882132</v>
      </c>
      <c r="H91" s="143">
        <v>0</v>
      </c>
      <c r="I91" s="148">
        <v>1.0582197216882132</v>
      </c>
      <c r="J91" s="143">
        <v>0</v>
      </c>
      <c r="K91" s="143">
        <v>0</v>
      </c>
    </row>
    <row r="92" spans="1:11" x14ac:dyDescent="0.25">
      <c r="A92" s="142">
        <v>0</v>
      </c>
      <c r="B92" s="142">
        <v>0</v>
      </c>
      <c r="C92" s="21">
        <v>10</v>
      </c>
      <c r="D92" s="45">
        <v>0.3527399072294044</v>
      </c>
      <c r="E92" s="21" t="str">
        <v>maches</v>
      </c>
      <c r="F92" s="21" t="str">
        <v/>
      </c>
      <c r="G92" s="148" t="str">
        <v/>
      </c>
      <c r="H92" s="143">
        <v>0</v>
      </c>
      <c r="I92" s="148">
        <v>0.3527399072294044</v>
      </c>
      <c r="J92" s="143">
        <v>0</v>
      </c>
      <c r="K92" s="143">
        <v>0</v>
      </c>
    </row>
    <row r="93" spans="1:11" x14ac:dyDescent="0.25">
      <c r="A93" s="142">
        <v>0</v>
      </c>
      <c r="B93" s="142">
        <v>0</v>
      </c>
      <c r="C93" s="21">
        <v>14</v>
      </c>
      <c r="D93" s="45">
        <v>0.4938358701211662</v>
      </c>
      <c r="E93" s="21" t="str">
        <v>dryer lint</v>
      </c>
      <c r="F93" s="21" t="str">
        <v/>
      </c>
      <c r="G93" s="148" t="str">
        <v/>
      </c>
      <c r="H93" s="143">
        <v>0</v>
      </c>
      <c r="I93" s="148">
        <v>0.4938358701211662</v>
      </c>
      <c r="J93" s="143">
        <v>0</v>
      </c>
      <c r="K93" s="143">
        <v>0</v>
      </c>
    </row>
    <row r="94" spans="1:11" x14ac:dyDescent="0.25">
      <c r="A94" s="142">
        <v>0</v>
      </c>
      <c r="B94" s="142" t="str">
        <v>x</v>
      </c>
      <c r="C94" s="21">
        <v>10</v>
      </c>
      <c r="D94" s="45">
        <v>0.3527399072294044</v>
      </c>
      <c r="E94" s="21" t="str">
        <v>spork short</v>
      </c>
      <c r="F94" s="21">
        <v>10</v>
      </c>
      <c r="G94" s="148">
        <v>0.3527399072294044</v>
      </c>
      <c r="H94" s="143">
        <v>0</v>
      </c>
      <c r="I94" s="148">
        <v>0.3527399072294044</v>
      </c>
      <c r="J94" s="143">
        <v>0</v>
      </c>
      <c r="K94" s="143">
        <v>0</v>
      </c>
    </row>
    <row r="95" spans="1:11" x14ac:dyDescent="0.25">
      <c r="A95" s="142">
        <v>0</v>
      </c>
      <c r="B95" s="142" t="str">
        <v>x</v>
      </c>
      <c r="C95" s="21">
        <v>10</v>
      </c>
      <c r="D95" s="45">
        <v>0.3527399072294044</v>
      </c>
      <c r="E95" s="21" t="str">
        <v>spoon long</v>
      </c>
      <c r="F95" s="21">
        <v>10</v>
      </c>
      <c r="G95" s="148">
        <v>0.3527399072294044</v>
      </c>
      <c r="H95" s="143">
        <v>0</v>
      </c>
      <c r="I95" s="148">
        <v>0.3527399072294044</v>
      </c>
      <c r="J95" s="143">
        <v>0</v>
      </c>
      <c r="K95" s="143">
        <v>0</v>
      </c>
    </row>
    <row r="96" spans="1:11" x14ac:dyDescent="0.25">
      <c r="A96" s="142">
        <v>0</v>
      </c>
      <c r="B96" s="142">
        <v>0</v>
      </c>
      <c r="C96" s="21">
        <v>209</v>
      </c>
      <c r="D96" s="45">
        <v>7.372264061094552</v>
      </c>
      <c r="E96" s="21" t="str">
        <v>3 liter bladder</v>
      </c>
      <c r="F96" s="21" t="str">
        <v/>
      </c>
      <c r="G96" s="148" t="str">
        <v/>
      </c>
      <c r="H96" s="143">
        <v>0</v>
      </c>
      <c r="I96" s="148">
        <v>7.372264061094552</v>
      </c>
      <c r="J96" s="143" t="str">
        <v>Consider droping</v>
      </c>
      <c r="K96" s="143">
        <v>0</v>
      </c>
    </row>
    <row r="97" spans="1:12" x14ac:dyDescent="0.25">
      <c r="A97" s="142">
        <v>0</v>
      </c>
      <c r="B97" s="142" t="str">
        <v>x</v>
      </c>
      <c r="C97" s="21">
        <v>35</v>
      </c>
      <c r="D97" s="45">
        <v>1.2345896753029155</v>
      </c>
      <c r="E97" s="21" t="str">
        <v>water bottles collapsable</v>
      </c>
      <c r="F97" s="21">
        <v>35</v>
      </c>
      <c r="G97" s="148">
        <v>1.2345896753029155</v>
      </c>
      <c r="H97" s="143">
        <v>0</v>
      </c>
      <c r="I97" s="148">
        <v>1.2345896753029155</v>
      </c>
      <c r="J97" s="143">
        <v>0</v>
      </c>
      <c r="K97" s="143">
        <v>0</v>
      </c>
    </row>
    <row r="98" spans="1:12" x14ac:dyDescent="0.25">
      <c r="A98" s="142">
        <v>0</v>
      </c>
      <c r="B98" s="142" t="str">
        <v>x</v>
      </c>
      <c r="C98" s="21">
        <v>30</v>
      </c>
      <c r="D98" s="45">
        <v>1.0582197216882132</v>
      </c>
      <c r="E98" s="21" t="str">
        <v>smart water bottles</v>
      </c>
      <c r="F98" s="21">
        <v>30</v>
      </c>
      <c r="G98" s="148">
        <v>1.0582197216882132</v>
      </c>
      <c r="H98" s="143">
        <v>0</v>
      </c>
      <c r="I98" s="148">
        <v>1.0582197216882132</v>
      </c>
      <c r="J98" s="143">
        <v>0</v>
      </c>
      <c r="K98" s="143">
        <v>0</v>
      </c>
    </row>
    <row r="99" spans="1:12" x14ac:dyDescent="0.25">
      <c r="A99" s="142">
        <v>0</v>
      </c>
      <c r="B99" s="142" t="str">
        <v>x</v>
      </c>
      <c r="C99" s="21">
        <v>286</v>
      </c>
      <c r="D99" s="45">
        <v>10.088361346760966</v>
      </c>
      <c r="E99" s="21" t="str">
        <v>Water Filter Kit</v>
      </c>
      <c r="F99" s="21">
        <v>286</v>
      </c>
      <c r="G99" s="148">
        <v>10.088361346760966</v>
      </c>
      <c r="H99" s="143">
        <v>0</v>
      </c>
      <c r="I99" s="148">
        <v>10.088361346760966</v>
      </c>
      <c r="J99" s="143">
        <v>0</v>
      </c>
      <c r="K99" s="143">
        <v>0</v>
      </c>
    </row>
    <row r="100" spans="1:12" x14ac:dyDescent="0.25">
      <c r="A100" s="142">
        <v>0</v>
      </c>
      <c r="B100" s="142" t="str">
        <v>x</v>
      </c>
      <c r="C100" s="21">
        <v>0</v>
      </c>
      <c r="D100" s="45" t="str">
        <v/>
      </c>
      <c r="E100" s="21" t="str">
        <v xml:space="preserve">  --Filter  (New: Versa Filter)</v>
      </c>
      <c r="F100" s="21">
        <v>0</v>
      </c>
      <c r="G100" s="148">
        <v>0</v>
      </c>
      <c r="H100" s="143" t="str">
        <v/>
      </c>
      <c r="I100" s="148" t="str">
        <v/>
      </c>
      <c r="J100" s="143" t="str">
        <v>HydroBlu Versa Filter 40g</v>
      </c>
      <c r="K100" s="143">
        <v>0</v>
      </c>
    </row>
    <row r="101" spans="1:12" x14ac:dyDescent="0.25">
      <c r="A101" s="142">
        <v>0</v>
      </c>
      <c r="B101" s="142" t="str">
        <v>x</v>
      </c>
      <c r="C101" s="21">
        <v>0</v>
      </c>
      <c r="D101" s="45" t="str">
        <v/>
      </c>
      <c r="E101" s="21" t="str">
        <v xml:space="preserve">   --CNOC 3 liter</v>
      </c>
      <c r="F101" s="21" t="str">
        <v/>
      </c>
      <c r="G101" s="148" t="str">
        <v/>
      </c>
      <c r="H101" s="143" t="str">
        <v/>
      </c>
      <c r="I101" s="148" t="str">
        <v/>
      </c>
      <c r="J101" s="143">
        <v>0</v>
      </c>
      <c r="K101" s="143">
        <v>0</v>
      </c>
    </row>
    <row r="102" spans="1:12" x14ac:dyDescent="0.25">
      <c r="A102" s="142">
        <v>0</v>
      </c>
      <c r="B102" s="142" t="str">
        <v>x</v>
      </c>
      <c r="C102" s="21">
        <v>0</v>
      </c>
      <c r="D102" s="45" t="str">
        <v/>
      </c>
      <c r="E102" s="21" t="str">
        <v xml:space="preserve">  --tubing</v>
      </c>
      <c r="F102" s="21" t="str">
        <v/>
      </c>
      <c r="G102" s="148" t="str">
        <v/>
      </c>
      <c r="H102" s="143" t="str">
        <v/>
      </c>
      <c r="I102" s="148" t="str">
        <v/>
      </c>
      <c r="J102" s="143">
        <v>0</v>
      </c>
      <c r="K102" s="143">
        <v>0</v>
      </c>
    </row>
    <row r="103" spans="1:12" x14ac:dyDescent="0.25">
      <c r="A103" s="142">
        <v>0</v>
      </c>
      <c r="B103" s="153" t="str">
        <v>x</v>
      </c>
      <c r="C103" s="29">
        <v>0</v>
      </c>
      <c r="D103" s="28" t="str">
        <v/>
      </c>
      <c r="E103" s="28" t="str">
        <v xml:space="preserve">  --sawyer squeze</v>
      </c>
      <c r="F103" s="29" t="str">
        <v/>
      </c>
      <c r="G103" s="148" t="str">
        <v/>
      </c>
      <c r="H103" s="143" t="str">
        <v/>
      </c>
      <c r="I103" s="148" t="str">
        <v/>
      </c>
      <c r="J103" s="143">
        <v>0</v>
      </c>
      <c r="K103" s="143">
        <v>0</v>
      </c>
    </row>
    <row r="104" spans="1:12" x14ac:dyDescent="0.25">
      <c r="A104" s="153">
        <v>0</v>
      </c>
      <c r="B104" s="140" t="str">
        <v>x</v>
      </c>
      <c r="C104" s="18">
        <v>0</v>
      </c>
      <c r="D104" s="19" t="str">
        <v/>
      </c>
      <c r="E104" s="18" t="str">
        <v xml:space="preserve">  --bleach/polar pure/ tablets</v>
      </c>
      <c r="F104" s="18" t="str">
        <v/>
      </c>
      <c r="G104" s="148" t="str">
        <v/>
      </c>
      <c r="H104" s="143" t="str">
        <v/>
      </c>
      <c r="I104" s="148" t="str">
        <v/>
      </c>
      <c r="J104" s="143">
        <v>0</v>
      </c>
      <c r="K104" s="143">
        <v>0</v>
      </c>
    </row>
    <row r="105" spans="1:12" x14ac:dyDescent="0.25">
      <c r="A105" s="140">
        <v>0</v>
      </c>
      <c r="B105" s="140">
        <v>0</v>
      </c>
      <c r="C105" s="18">
        <v>46</v>
      </c>
      <c r="D105" s="19">
        <v>1.6226035732552604</v>
      </c>
      <c r="E105" s="18" t="str">
        <v>food bag yellow</v>
      </c>
      <c r="F105" s="18" t="str">
        <v/>
      </c>
      <c r="G105" s="148" t="str">
        <v/>
      </c>
      <c r="H105" s="143">
        <v>0</v>
      </c>
      <c r="I105" s="148">
        <v>1.6226035732552604</v>
      </c>
      <c r="J105" s="143">
        <v>0</v>
      </c>
      <c r="K105" s="143">
        <v>0</v>
      </c>
    </row>
    <row r="106" spans="1:12" x14ac:dyDescent="0.25">
      <c r="A106" s="140">
        <v>0</v>
      </c>
      <c r="B106" s="140" t="str">
        <v>x</v>
      </c>
      <c r="C106" s="18">
        <v>41</v>
      </c>
      <c r="D106" s="19">
        <v>0</v>
      </c>
      <c r="E106" s="18" t="str">
        <v>food bag Blue</v>
      </c>
      <c r="F106" s="18">
        <v>41</v>
      </c>
      <c r="G106" s="148">
        <v>0</v>
      </c>
      <c r="H106" s="143">
        <v>0</v>
      </c>
      <c r="I106" s="148" t="str">
        <v/>
      </c>
      <c r="J106" s="143">
        <v>0</v>
      </c>
      <c r="K106" s="143">
        <v>0</v>
      </c>
    </row>
    <row r="107" spans="1:12" x14ac:dyDescent="0.25">
      <c r="A107" s="140">
        <v>0</v>
      </c>
      <c r="B107" s="140" t="str">
        <v>x</v>
      </c>
      <c r="C107" s="18">
        <v>32</v>
      </c>
      <c r="D107" s="19">
        <v>1.1287677031340941</v>
      </c>
      <c r="E107" s="18" t="str">
        <v>bear bag and rope</v>
      </c>
      <c r="F107" s="18">
        <v>32</v>
      </c>
      <c r="G107" s="148">
        <v>1.1287677031340941</v>
      </c>
      <c r="H107" s="143">
        <v>0</v>
      </c>
      <c r="I107" s="148">
        <v>1.1287677031340941</v>
      </c>
      <c r="J107" s="143">
        <v>0</v>
      </c>
      <c r="K107" s="143">
        <v>0</v>
      </c>
    </row>
    <row r="108" spans="1:12" x14ac:dyDescent="0.25">
      <c r="A108" s="140">
        <v>0</v>
      </c>
      <c r="B108" s="140" t="str">
        <v>x</v>
      </c>
      <c r="C108" s="18">
        <v>21</v>
      </c>
      <c r="D108" s="19">
        <v>0.74075380518174927</v>
      </c>
      <c r="E108" s="18" t="str">
        <v>red bandana</v>
      </c>
      <c r="F108" s="18">
        <v>21</v>
      </c>
      <c r="G108" s="148">
        <v>0.74075380518174927</v>
      </c>
      <c r="H108" s="143">
        <v>0</v>
      </c>
      <c r="I108" s="148">
        <v>0.74075380518174927</v>
      </c>
      <c r="J108" s="143">
        <v>0</v>
      </c>
      <c r="K108" s="143">
        <v>0</v>
      </c>
    </row>
    <row r="109" spans="1:12" x14ac:dyDescent="0.25">
      <c r="A109" s="140" t="str">
        <v/>
      </c>
      <c r="B109" s="140" t="str">
        <v/>
      </c>
      <c r="C109" s="18" t="str">
        <v/>
      </c>
      <c r="D109" s="19" t="str">
        <v/>
      </c>
      <c r="E109" s="18" t="str">
        <v/>
      </c>
      <c r="F109" s="18" t="str">
        <v/>
      </c>
      <c r="G109" s="148" t="str">
        <v/>
      </c>
      <c r="H109" s="143" t="str">
        <v/>
      </c>
      <c r="I109" s="148" t="str">
        <v/>
      </c>
      <c r="J109" s="143" t="str">
        <v/>
      </c>
      <c r="K109" s="143" t="str">
        <v/>
      </c>
    </row>
    <row r="110" spans="1:12" x14ac:dyDescent="0.25">
      <c r="A110" s="140">
        <v>0</v>
      </c>
      <c r="B110" s="140" t="str">
        <v>x</v>
      </c>
      <c r="C110" s="18" t="str">
        <v xml:space="preserve"> </v>
      </c>
      <c r="D110" s="19" t="str">
        <v xml:space="preserve"> </v>
      </c>
      <c r="E110" s="18" t="str">
        <v>Hygiene Group</v>
      </c>
      <c r="F110" s="18" t="str">
        <v xml:space="preserve"> </v>
      </c>
      <c r="G110" s="148" t="str">
        <v xml:space="preserve"> </v>
      </c>
      <c r="H110" s="143" t="str">
        <v xml:space="preserve"> </v>
      </c>
      <c r="I110" s="148" t="str">
        <v xml:space="preserve"> </v>
      </c>
      <c r="J110" s="143">
        <v>0</v>
      </c>
      <c r="K110" s="143">
        <v>0</v>
      </c>
      <c r="L110" s="128" t="s">
        <v>281</v>
      </c>
    </row>
    <row r="111" spans="1:12" x14ac:dyDescent="0.25">
      <c r="A111" s="140">
        <v>0</v>
      </c>
      <c r="B111" s="140" t="str">
        <v>x</v>
      </c>
      <c r="C111" s="18">
        <v>181</v>
      </c>
      <c r="D111" s="19">
        <v>6.3845923208522199</v>
      </c>
      <c r="E111" s="18" t="str">
        <v>Bathroom kit</v>
      </c>
      <c r="F111" s="18">
        <v>181</v>
      </c>
      <c r="G111" s="148">
        <v>6.3845923208522199</v>
      </c>
      <c r="H111" s="143">
        <v>0</v>
      </c>
      <c r="I111" s="148">
        <v>6.3845923208522199</v>
      </c>
      <c r="J111" s="143">
        <v>0</v>
      </c>
      <c r="K111" s="143">
        <v>0</v>
      </c>
    </row>
    <row r="112" spans="1:12" x14ac:dyDescent="0.25">
      <c r="A112" s="140">
        <v>0</v>
      </c>
      <c r="B112" s="140" t="str">
        <v>x</v>
      </c>
      <c r="C112" s="18">
        <v>0</v>
      </c>
      <c r="D112" s="19" t="str">
        <v/>
      </c>
      <c r="E112" s="18" t="str">
        <v xml:space="preserve">  ---TP</v>
      </c>
      <c r="F112" s="18" t="str">
        <v/>
      </c>
      <c r="G112" s="148" t="str">
        <v/>
      </c>
      <c r="H112" s="143" t="str">
        <v/>
      </c>
      <c r="I112" s="148" t="str">
        <v/>
      </c>
      <c r="J112" s="143">
        <v>0</v>
      </c>
      <c r="K112" s="143">
        <v>0</v>
      </c>
    </row>
    <row r="113" spans="1:12" x14ac:dyDescent="0.25">
      <c r="A113" s="140">
        <v>0</v>
      </c>
      <c r="B113" s="140" t="str">
        <v>x</v>
      </c>
      <c r="C113" s="18">
        <v>0</v>
      </c>
      <c r="D113" s="19" t="str">
        <v/>
      </c>
      <c r="E113" s="18" t="str">
        <v xml:space="preserve">  ---wet wipes</v>
      </c>
      <c r="F113" s="18" t="str">
        <v/>
      </c>
      <c r="G113" s="148" t="str">
        <v/>
      </c>
      <c r="H113" s="143" t="str">
        <v/>
      </c>
      <c r="I113" s="148" t="str">
        <v/>
      </c>
      <c r="J113" s="143">
        <v>0</v>
      </c>
      <c r="K113" s="143">
        <v>0</v>
      </c>
    </row>
    <row r="114" spans="1:12" x14ac:dyDescent="0.25">
      <c r="A114" s="140">
        <v>0</v>
      </c>
      <c r="B114" s="141" t="str">
        <v>x</v>
      </c>
      <c r="C114" s="17">
        <v>0</v>
      </c>
      <c r="D114" s="32" t="str">
        <v/>
      </c>
      <c r="E114" s="21" t="str">
        <v xml:space="preserve">  --- hand sanitizer</v>
      </c>
      <c r="F114" s="17" t="str">
        <v/>
      </c>
      <c r="G114" s="148" t="str">
        <v/>
      </c>
      <c r="H114" s="143" t="str">
        <v/>
      </c>
      <c r="I114" s="148" t="str">
        <v/>
      </c>
      <c r="J114" s="143">
        <v>0</v>
      </c>
      <c r="K114" s="143">
        <v>0</v>
      </c>
    </row>
    <row r="115" spans="1:12" x14ac:dyDescent="0.25">
      <c r="A115" s="141">
        <v>0</v>
      </c>
      <c r="B115" s="141" t="str">
        <v>x</v>
      </c>
      <c r="C115" s="17">
        <v>0</v>
      </c>
      <c r="D115" s="32" t="str">
        <v/>
      </c>
      <c r="E115" s="21" t="str">
        <v xml:space="preserve">  ---Gold Bond</v>
      </c>
      <c r="F115" s="17" t="str">
        <v/>
      </c>
      <c r="G115" s="148" t="str">
        <v/>
      </c>
      <c r="H115" s="143" t="str">
        <v/>
      </c>
      <c r="I115" s="148" t="str">
        <v/>
      </c>
      <c r="J115" s="143">
        <v>0</v>
      </c>
      <c r="K115" s="143">
        <v>0</v>
      </c>
    </row>
    <row r="116" spans="1:12" x14ac:dyDescent="0.25">
      <c r="A116" s="141">
        <v>0</v>
      </c>
      <c r="B116" s="141" t="str">
        <v>x</v>
      </c>
      <c r="C116" s="17">
        <v>27</v>
      </c>
      <c r="D116" s="32">
        <v>0.95239774951939193</v>
      </c>
      <c r="E116" s="21" t="str">
        <v>Shovel Titanium</v>
      </c>
      <c r="F116" s="17">
        <v>27</v>
      </c>
      <c r="G116" s="148">
        <v>0.95239774951939193</v>
      </c>
      <c r="H116" s="143">
        <v>0</v>
      </c>
      <c r="I116" s="148">
        <v>0.95239774951939193</v>
      </c>
      <c r="J116" s="143">
        <v>0</v>
      </c>
      <c r="K116" s="143">
        <v>0</v>
      </c>
    </row>
    <row r="117" spans="1:12" x14ac:dyDescent="0.25">
      <c r="A117" s="141">
        <v>0</v>
      </c>
      <c r="B117" s="141">
        <v>0</v>
      </c>
      <c r="C117" s="17">
        <v>52</v>
      </c>
      <c r="D117" s="32">
        <v>1.8342475175929029</v>
      </c>
      <c r="E117" s="21" t="str">
        <v>Shovel plastic</v>
      </c>
      <c r="F117" s="17" t="str">
        <v/>
      </c>
      <c r="G117" s="148" t="str">
        <v/>
      </c>
      <c r="H117" s="143">
        <v>0</v>
      </c>
      <c r="I117" s="148">
        <v>1.8342475175929029</v>
      </c>
      <c r="J117" s="143">
        <v>0</v>
      </c>
      <c r="K117" s="143">
        <v>0</v>
      </c>
    </row>
    <row r="118" spans="1:12" x14ac:dyDescent="0.25">
      <c r="A118" s="141">
        <v>0</v>
      </c>
      <c r="B118" s="141">
        <v>0</v>
      </c>
      <c r="C118" s="17">
        <v>21</v>
      </c>
      <c r="D118" s="32">
        <v>0.74075380518174927</v>
      </c>
      <c r="E118" s="21" t="str">
        <v>Bandana blue</v>
      </c>
      <c r="F118" s="17" t="str">
        <v/>
      </c>
      <c r="G118" s="148" t="str">
        <v/>
      </c>
      <c r="H118" s="143">
        <v>0</v>
      </c>
      <c r="I118" s="148">
        <v>0.74075380518174927</v>
      </c>
      <c r="J118" s="143">
        <v>0</v>
      </c>
      <c r="K118" s="143">
        <v>0</v>
      </c>
    </row>
    <row r="119" spans="1:12" x14ac:dyDescent="0.25">
      <c r="A119" s="141">
        <v>0</v>
      </c>
      <c r="B119" s="141" t="str">
        <v>x</v>
      </c>
      <c r="C119" s="17">
        <v>28</v>
      </c>
      <c r="D119" s="32">
        <v>0.9876717402423324</v>
      </c>
      <c r="E119" s="21" t="str">
        <v>water jug botom</v>
      </c>
      <c r="F119" s="17">
        <v>28</v>
      </c>
      <c r="G119" s="148">
        <v>0.9876717402423324</v>
      </c>
      <c r="H119" s="143">
        <v>0</v>
      </c>
      <c r="I119" s="148">
        <v>0.9876717402423324</v>
      </c>
      <c r="J119" s="143">
        <v>0</v>
      </c>
      <c r="K119" s="143">
        <v>0</v>
      </c>
    </row>
    <row r="120" spans="1:12" x14ac:dyDescent="0.25">
      <c r="A120" s="141">
        <v>0</v>
      </c>
      <c r="B120" s="141" t="str">
        <v>x</v>
      </c>
      <c r="C120" s="17">
        <v>23</v>
      </c>
      <c r="D120" s="32">
        <v>0.81130178662763019</v>
      </c>
      <c r="E120" s="21" t="str">
        <v>tooth brush</v>
      </c>
      <c r="F120" s="17">
        <v>23</v>
      </c>
      <c r="G120" s="148">
        <v>0.81130178662763019</v>
      </c>
      <c r="H120" s="143">
        <v>0</v>
      </c>
      <c r="I120" s="148">
        <v>0.81130178662763019</v>
      </c>
      <c r="J120" s="143">
        <v>0</v>
      </c>
      <c r="K120" s="143">
        <v>0</v>
      </c>
    </row>
    <row r="121" spans="1:12" x14ac:dyDescent="0.25">
      <c r="A121" s="141">
        <v>0</v>
      </c>
      <c r="B121" s="141" t="str">
        <v>x</v>
      </c>
      <c r="C121" s="17">
        <v>22</v>
      </c>
      <c r="D121" s="32">
        <v>0.77602779590468973</v>
      </c>
      <c r="E121" s="21" t="str">
        <v>tooth  dots / paste</v>
      </c>
      <c r="F121" s="17">
        <v>22</v>
      </c>
      <c r="G121" s="148">
        <v>0.77602779590468973</v>
      </c>
      <c r="H121" s="143">
        <v>0</v>
      </c>
      <c r="I121" s="148">
        <v>0.77602779590468973</v>
      </c>
      <c r="J121" s="143">
        <v>0</v>
      </c>
      <c r="K121" s="143">
        <v>0</v>
      </c>
    </row>
    <row r="122" spans="1:12" x14ac:dyDescent="0.25">
      <c r="A122" s="141">
        <v>0</v>
      </c>
      <c r="B122" s="141">
        <v>0</v>
      </c>
      <c r="C122" s="17">
        <v>61</v>
      </c>
      <c r="D122" s="32">
        <v>2.1517134340993671</v>
      </c>
      <c r="E122" s="21" t="str">
        <v>pack towel</v>
      </c>
      <c r="F122" s="17" t="str">
        <v/>
      </c>
      <c r="G122" s="148" t="str">
        <v/>
      </c>
      <c r="H122" s="143">
        <v>0</v>
      </c>
      <c r="I122" s="148">
        <v>2.1517134340993671</v>
      </c>
      <c r="J122" s="143">
        <v>0</v>
      </c>
      <c r="K122" s="143">
        <v>0</v>
      </c>
    </row>
    <row r="123" spans="1:12" x14ac:dyDescent="0.25">
      <c r="A123" s="141">
        <v>0</v>
      </c>
      <c r="B123" s="141" t="str">
        <v>x</v>
      </c>
      <c r="C123" s="17">
        <v>30</v>
      </c>
      <c r="D123" s="32">
        <v>1.0582197216882132</v>
      </c>
      <c r="E123" s="21" t="str">
        <v>hand sanitizer on pack</v>
      </c>
      <c r="F123" s="17">
        <v>30</v>
      </c>
      <c r="G123" s="148">
        <v>1.0582197216882132</v>
      </c>
      <c r="H123" s="143">
        <v>0</v>
      </c>
      <c r="I123" s="148">
        <v>1.0582197216882132</v>
      </c>
      <c r="J123" s="143">
        <v>0</v>
      </c>
      <c r="K123" s="143">
        <v>0</v>
      </c>
    </row>
    <row r="124" spans="1:12" x14ac:dyDescent="0.25">
      <c r="A124" s="141" t="str">
        <v/>
      </c>
      <c r="B124" s="141" t="str">
        <v/>
      </c>
      <c r="C124" s="17" t="str">
        <v/>
      </c>
      <c r="D124" s="32" t="str">
        <v/>
      </c>
      <c r="E124" s="21" t="str">
        <v/>
      </c>
      <c r="F124" s="17" t="str">
        <v/>
      </c>
      <c r="G124" s="148" t="str">
        <v/>
      </c>
      <c r="H124" s="143" t="str">
        <v/>
      </c>
      <c r="I124" s="148" t="str">
        <v/>
      </c>
      <c r="J124" s="143" t="str">
        <v/>
      </c>
      <c r="K124" s="143" t="str">
        <v/>
      </c>
    </row>
    <row r="125" spans="1:12" x14ac:dyDescent="0.25">
      <c r="A125" s="141">
        <v>0</v>
      </c>
      <c r="B125" s="141" t="str">
        <v>x</v>
      </c>
      <c r="C125" s="17" t="str">
        <v xml:space="preserve"> </v>
      </c>
      <c r="D125" s="32" t="str">
        <v xml:space="preserve"> </v>
      </c>
      <c r="E125" s="21" t="str">
        <v>Navigation Group</v>
      </c>
      <c r="F125" s="17" t="str">
        <v xml:space="preserve"> </v>
      </c>
      <c r="G125" s="148" t="str">
        <v xml:space="preserve"> </v>
      </c>
      <c r="H125" s="143" t="str">
        <v xml:space="preserve"> </v>
      </c>
      <c r="I125" s="148" t="str">
        <v xml:space="preserve"> </v>
      </c>
      <c r="J125" s="143">
        <v>0</v>
      </c>
      <c r="K125" s="143">
        <v>0</v>
      </c>
      <c r="L125" s="128" t="s">
        <v>282</v>
      </c>
    </row>
    <row r="126" spans="1:12" x14ac:dyDescent="0.25">
      <c r="A126" s="141">
        <v>0</v>
      </c>
      <c r="B126" s="141" t="str">
        <v>x</v>
      </c>
      <c r="C126" s="17">
        <v>0</v>
      </c>
      <c r="D126" s="32" t="str">
        <v/>
      </c>
      <c r="E126" s="21" t="str">
        <v>Maps</v>
      </c>
      <c r="F126" s="17" t="str">
        <v/>
      </c>
      <c r="G126" s="148" t="str">
        <v/>
      </c>
      <c r="H126" s="143" t="str">
        <v/>
      </c>
      <c r="I126" s="148" t="str">
        <v/>
      </c>
      <c r="J126" s="143">
        <v>0</v>
      </c>
      <c r="K126" s="143">
        <v>0</v>
      </c>
    </row>
    <row r="127" spans="1:12" x14ac:dyDescent="0.25">
      <c r="A127" s="141">
        <v>0</v>
      </c>
      <c r="B127" s="141" t="str">
        <v>x</v>
      </c>
      <c r="C127" s="17">
        <v>28</v>
      </c>
      <c r="D127" s="32">
        <v>0.9876717402423324</v>
      </c>
      <c r="E127" s="21" t="str">
        <v>Compass</v>
      </c>
      <c r="F127" s="17">
        <v>28</v>
      </c>
      <c r="G127" s="148">
        <v>0.9876717402423324</v>
      </c>
      <c r="H127" s="143">
        <v>0</v>
      </c>
      <c r="I127" s="148">
        <v>0.9876717402423324</v>
      </c>
      <c r="J127" s="143">
        <v>0</v>
      </c>
      <c r="K127" s="143">
        <v>0</v>
      </c>
    </row>
    <row r="128" spans="1:12" x14ac:dyDescent="0.25">
      <c r="A128" s="141">
        <v>0</v>
      </c>
      <c r="B128" s="141" t="str">
        <v>x</v>
      </c>
      <c r="C128" s="17">
        <v>0</v>
      </c>
      <c r="D128" s="32" t="str">
        <v/>
      </c>
      <c r="E128" s="21" t="str">
        <v>Trail details</v>
      </c>
      <c r="F128" s="17" t="str">
        <v/>
      </c>
      <c r="G128" s="148" t="str">
        <v/>
      </c>
      <c r="H128" s="143" t="str">
        <v/>
      </c>
      <c r="I128" s="148" t="str">
        <v/>
      </c>
      <c r="J128" s="143">
        <v>0</v>
      </c>
      <c r="K128" s="143">
        <v>0</v>
      </c>
    </row>
    <row r="129" spans="1:12" x14ac:dyDescent="0.25">
      <c r="A129" s="141">
        <v>0</v>
      </c>
      <c r="B129" s="141" t="str">
        <v>x</v>
      </c>
      <c r="C129" s="17">
        <v>9</v>
      </c>
      <c r="D129" s="32">
        <v>0.317465916506464</v>
      </c>
      <c r="E129" s="21" t="str">
        <v>pen / pencil</v>
      </c>
      <c r="F129" s="17">
        <v>9</v>
      </c>
      <c r="G129" s="148">
        <v>0.317465916506464</v>
      </c>
      <c r="H129" s="143">
        <v>0</v>
      </c>
      <c r="I129" s="148">
        <v>0.317465916506464</v>
      </c>
      <c r="J129" s="143">
        <v>0</v>
      </c>
      <c r="K129" s="143">
        <v>0</v>
      </c>
    </row>
    <row r="130" spans="1:12" x14ac:dyDescent="0.25">
      <c r="A130" s="141">
        <v>0</v>
      </c>
      <c r="B130" s="141" t="str">
        <v>x</v>
      </c>
      <c r="C130" s="17">
        <v>236</v>
      </c>
      <c r="D130" s="32">
        <v>8.3246618106139447</v>
      </c>
      <c r="E130" s="21" t="str">
        <v>notepad / journal</v>
      </c>
      <c r="F130" s="17">
        <v>236</v>
      </c>
      <c r="G130" s="148">
        <v>8.3246618106139447</v>
      </c>
      <c r="H130" s="143">
        <v>0</v>
      </c>
      <c r="I130" s="148">
        <v>8.3246618106139447</v>
      </c>
      <c r="J130" s="143" t="str">
        <v>Lighter journal</v>
      </c>
      <c r="K130" s="143">
        <v>0</v>
      </c>
    </row>
    <row r="131" spans="1:12" x14ac:dyDescent="0.25">
      <c r="A131" s="141" t="str">
        <v/>
      </c>
      <c r="B131" s="141" t="str">
        <v/>
      </c>
      <c r="C131" s="17" t="str">
        <v/>
      </c>
      <c r="D131" s="32" t="str">
        <v/>
      </c>
      <c r="E131" s="21" t="str">
        <v/>
      </c>
      <c r="F131" s="17" t="str">
        <v/>
      </c>
      <c r="G131" s="148" t="str">
        <v/>
      </c>
      <c r="H131" s="143" t="str">
        <v/>
      </c>
      <c r="I131" s="148" t="str">
        <v/>
      </c>
      <c r="J131" s="143" t="str">
        <v/>
      </c>
      <c r="K131" s="143" t="str">
        <v/>
      </c>
    </row>
    <row r="132" spans="1:12" x14ac:dyDescent="0.25">
      <c r="A132" s="141">
        <v>0</v>
      </c>
      <c r="B132" s="141" t="str">
        <v>x</v>
      </c>
      <c r="C132" s="17" t="str">
        <v xml:space="preserve"> </v>
      </c>
      <c r="D132" s="32" t="str">
        <v xml:space="preserve"> </v>
      </c>
      <c r="E132" s="21" t="str">
        <v>First Aid Group</v>
      </c>
      <c r="F132" s="17" t="str">
        <v xml:space="preserve"> </v>
      </c>
      <c r="G132" s="148" t="str">
        <v xml:space="preserve"> </v>
      </c>
      <c r="H132" s="143" t="str">
        <v xml:space="preserve"> </v>
      </c>
      <c r="I132" s="148" t="str">
        <v xml:space="preserve"> </v>
      </c>
      <c r="J132" s="143">
        <v>0</v>
      </c>
      <c r="K132" s="143">
        <v>0</v>
      </c>
    </row>
    <row r="133" spans="1:12" x14ac:dyDescent="0.25">
      <c r="A133" s="141">
        <v>0</v>
      </c>
      <c r="B133" s="141" t="str">
        <v>x</v>
      </c>
      <c r="C133" s="17">
        <v>160</v>
      </c>
      <c r="D133" s="32">
        <v>5.6438385156704705</v>
      </c>
      <c r="E133" s="21" t="str">
        <v>First aid kit</v>
      </c>
      <c r="F133" s="17">
        <v>160</v>
      </c>
      <c r="G133" s="148">
        <v>5.6438385156704705</v>
      </c>
      <c r="H133" s="143">
        <v>0</v>
      </c>
      <c r="I133" s="148">
        <v>5.6438385156704705</v>
      </c>
      <c r="J133" s="143">
        <v>0</v>
      </c>
      <c r="K133" s="143">
        <v>0</v>
      </c>
      <c r="L133" s="128" t="s">
        <v>283</v>
      </c>
    </row>
    <row r="134" spans="1:12" x14ac:dyDescent="0.25">
      <c r="A134" s="141">
        <v>0</v>
      </c>
      <c r="B134" s="141">
        <v>0</v>
      </c>
      <c r="C134" s="17">
        <v>0</v>
      </c>
      <c r="D134" s="32" t="str">
        <v/>
      </c>
      <c r="E134" s="21" t="str">
        <v xml:space="preserve">  --6 large safety pins</v>
      </c>
      <c r="F134" s="17" t="str">
        <v/>
      </c>
      <c r="G134" s="148" t="str">
        <v/>
      </c>
      <c r="H134" s="143" t="str">
        <v/>
      </c>
      <c r="I134" s="148" t="str">
        <v/>
      </c>
      <c r="J134" s="143">
        <v>0</v>
      </c>
      <c r="K134" s="143">
        <v>0</v>
      </c>
    </row>
    <row r="135" spans="1:12" x14ac:dyDescent="0.25">
      <c r="A135" s="141">
        <v>0</v>
      </c>
      <c r="B135" s="141">
        <v>0</v>
      </c>
      <c r="C135" s="17">
        <v>0</v>
      </c>
      <c r="D135" s="32" t="str">
        <v/>
      </c>
      <c r="E135" s="21" t="str">
        <v xml:space="preserve">  --nail clippers</v>
      </c>
      <c r="F135" s="17" t="str">
        <v/>
      </c>
      <c r="G135" s="148" t="str">
        <v/>
      </c>
      <c r="H135" s="143" t="str">
        <v/>
      </c>
      <c r="I135" s="148" t="str">
        <v/>
      </c>
      <c r="J135" s="143">
        <v>0</v>
      </c>
      <c r="K135" s="143">
        <v>0</v>
      </c>
    </row>
    <row r="136" spans="1:12" x14ac:dyDescent="0.25">
      <c r="A136" s="141" t="str">
        <v/>
      </c>
      <c r="B136" s="141" t="str">
        <v/>
      </c>
      <c r="C136" s="17" t="str">
        <v/>
      </c>
      <c r="D136" s="32" t="str">
        <v/>
      </c>
      <c r="E136" s="21" t="str">
        <v/>
      </c>
      <c r="F136" s="17" t="str">
        <v/>
      </c>
      <c r="G136" s="148" t="str">
        <v/>
      </c>
      <c r="H136" s="143" t="str">
        <v/>
      </c>
      <c r="I136" s="148" t="str">
        <v/>
      </c>
      <c r="J136" s="143" t="str">
        <v/>
      </c>
      <c r="K136" s="143" t="str">
        <v/>
      </c>
    </row>
    <row r="137" spans="1:12" x14ac:dyDescent="0.25">
      <c r="A137" s="141">
        <v>0</v>
      </c>
      <c r="B137" s="141" t="str">
        <v>x</v>
      </c>
      <c r="C137" s="17" t="str">
        <v xml:space="preserve"> </v>
      </c>
      <c r="D137" s="32" t="str">
        <v xml:space="preserve"> </v>
      </c>
      <c r="E137" s="21" t="str">
        <v>Repair Group</v>
      </c>
      <c r="F137" s="17" t="str">
        <v xml:space="preserve"> </v>
      </c>
      <c r="G137" s="148" t="str">
        <v xml:space="preserve"> </v>
      </c>
      <c r="H137" s="143" t="str">
        <v xml:space="preserve"> </v>
      </c>
      <c r="I137" s="148" t="str">
        <v xml:space="preserve"> </v>
      </c>
      <c r="J137" s="143">
        <v>0</v>
      </c>
      <c r="K137" s="143">
        <v>0</v>
      </c>
    </row>
    <row r="138" spans="1:12" x14ac:dyDescent="0.25">
      <c r="A138" s="141">
        <v>0</v>
      </c>
      <c r="B138" s="141" t="str">
        <v>x</v>
      </c>
      <c r="C138" s="17">
        <v>12</v>
      </c>
      <c r="D138" s="32">
        <v>0.42328788867528527</v>
      </c>
      <c r="E138" s="21" t="str">
        <v>Tenacious tape</v>
      </c>
      <c r="F138" s="17">
        <v>12</v>
      </c>
      <c r="G138" s="148">
        <v>0.42328788867528527</v>
      </c>
      <c r="H138" s="143">
        <v>0</v>
      </c>
      <c r="I138" s="148">
        <v>0.42328788867528527</v>
      </c>
      <c r="J138" s="143">
        <v>0</v>
      </c>
      <c r="K138" s="143">
        <v>0</v>
      </c>
      <c r="L138" s="128" t="s">
        <v>284</v>
      </c>
    </row>
    <row r="139" spans="1:12" x14ac:dyDescent="0.25">
      <c r="A139" s="141">
        <v>0</v>
      </c>
      <c r="B139" s="141" t="str">
        <v>x</v>
      </c>
      <c r="C139" s="17">
        <v>0</v>
      </c>
      <c r="D139" s="32" t="str">
        <v/>
      </c>
      <c r="E139" s="21" t="str">
        <v>Duct tape on trekking poles</v>
      </c>
      <c r="F139" s="17" t="str">
        <v/>
      </c>
      <c r="G139" s="148" t="str">
        <v/>
      </c>
      <c r="H139" s="143" t="str">
        <v/>
      </c>
      <c r="I139" s="148" t="str">
        <v/>
      </c>
      <c r="J139" s="143">
        <v>0</v>
      </c>
      <c r="K139" s="143">
        <v>0</v>
      </c>
    </row>
    <row r="140" spans="1:12" x14ac:dyDescent="0.25">
      <c r="A140" s="141">
        <v>0</v>
      </c>
      <c r="B140" s="141" t="str">
        <v>x</v>
      </c>
      <c r="C140" s="17">
        <v>38</v>
      </c>
      <c r="D140" s="32">
        <v>1.3404116474717367</v>
      </c>
      <c r="E140" s="21" t="str">
        <v>extra buckle</v>
      </c>
      <c r="F140" s="17">
        <v>38</v>
      </c>
      <c r="G140" s="148">
        <v>1.3404116474717367</v>
      </c>
      <c r="H140" s="143">
        <v>0</v>
      </c>
      <c r="I140" s="148">
        <v>1.3404116474717367</v>
      </c>
      <c r="J140" s="143">
        <v>0</v>
      </c>
      <c r="K140" s="143">
        <v>0</v>
      </c>
    </row>
    <row r="141" spans="1:12" x14ac:dyDescent="0.25">
      <c r="A141" s="141" t="str">
        <v/>
      </c>
      <c r="B141" s="141" t="str">
        <v/>
      </c>
      <c r="C141" s="17" t="str">
        <v/>
      </c>
      <c r="D141" s="32" t="str">
        <v/>
      </c>
      <c r="E141" s="21" t="str">
        <v/>
      </c>
      <c r="F141" s="17" t="str">
        <v/>
      </c>
      <c r="G141" s="148" t="str">
        <v/>
      </c>
      <c r="H141" s="143" t="str">
        <v/>
      </c>
      <c r="I141" s="148" t="str">
        <v/>
      </c>
      <c r="J141" s="143" t="str">
        <v/>
      </c>
      <c r="K141" s="143" t="str">
        <v/>
      </c>
    </row>
    <row r="142" spans="1:12" x14ac:dyDescent="0.25">
      <c r="A142" s="141">
        <v>0</v>
      </c>
      <c r="B142" s="141" t="str">
        <v>x</v>
      </c>
      <c r="C142" s="17" t="str">
        <v xml:space="preserve"> </v>
      </c>
      <c r="D142" s="32" t="str">
        <v xml:space="preserve"> </v>
      </c>
      <c r="E142" s="21" t="str">
        <v>Misc Group</v>
      </c>
      <c r="F142" s="17" t="str">
        <v xml:space="preserve"> </v>
      </c>
      <c r="G142" s="148" t="str">
        <v xml:space="preserve"> </v>
      </c>
      <c r="H142" s="143" t="str">
        <v xml:space="preserve"> </v>
      </c>
      <c r="I142" s="148" t="str">
        <v xml:space="preserve"> </v>
      </c>
      <c r="J142" s="143">
        <v>0</v>
      </c>
      <c r="K142" s="143">
        <v>0</v>
      </c>
      <c r="L142" s="128" t="s">
        <v>285</v>
      </c>
    </row>
    <row r="143" spans="1:12" x14ac:dyDescent="0.25">
      <c r="A143" s="141">
        <v>0</v>
      </c>
      <c r="B143" s="141">
        <v>0</v>
      </c>
      <c r="C143" s="17">
        <v>185</v>
      </c>
      <c r="D143" s="32">
        <v>6.5256882837439818</v>
      </c>
      <c r="E143" s="21" t="str">
        <v>phone battery 10,000mAh</v>
      </c>
      <c r="F143" s="17" t="str">
        <v/>
      </c>
      <c r="G143" s="148" t="str">
        <v/>
      </c>
      <c r="H143" s="143">
        <v>0</v>
      </c>
      <c r="I143" s="148">
        <v>6.5256882837439818</v>
      </c>
      <c r="J143" s="143">
        <v>0</v>
      </c>
      <c r="K143" s="143">
        <v>0</v>
      </c>
    </row>
    <row r="144" spans="1:12" x14ac:dyDescent="0.25">
      <c r="A144" s="141">
        <v>0</v>
      </c>
      <c r="B144" s="141" t="str">
        <v>x</v>
      </c>
      <c r="C144" s="17">
        <v>135</v>
      </c>
      <c r="D144" s="32">
        <v>4.7619887475969591</v>
      </c>
      <c r="E144" s="21" t="str">
        <v>phone battery 4,000mAh</v>
      </c>
      <c r="F144" s="17">
        <v>135</v>
      </c>
      <c r="G144" s="148">
        <v>4.7619887475969591</v>
      </c>
      <c r="H144" s="143">
        <v>0</v>
      </c>
      <c r="I144" s="148">
        <v>4.7619887475969591</v>
      </c>
      <c r="J144" s="143">
        <v>0</v>
      </c>
      <c r="K144" s="143">
        <v>0</v>
      </c>
    </row>
    <row r="145" spans="1:11" x14ac:dyDescent="0.25">
      <c r="A145" s="141">
        <v>0</v>
      </c>
      <c r="B145" s="141">
        <v>0</v>
      </c>
      <c r="C145" s="17">
        <v>480</v>
      </c>
      <c r="D145" s="32">
        <v>16.931515547011411</v>
      </c>
      <c r="E145" s="21" t="str">
        <v>Philmont Seat</v>
      </c>
      <c r="F145" s="17" t="str">
        <v/>
      </c>
      <c r="G145" s="148" t="str">
        <v/>
      </c>
      <c r="H145" s="143">
        <v>1</v>
      </c>
      <c r="I145" s="148">
        <v>0.93151554701141137</v>
      </c>
      <c r="J145" s="143">
        <v>0</v>
      </c>
      <c r="K145" s="143">
        <v>0</v>
      </c>
    </row>
    <row r="146" spans="1:11" x14ac:dyDescent="0.25">
      <c r="A146" s="141">
        <v>0</v>
      </c>
      <c r="B146" s="141">
        <v>0</v>
      </c>
      <c r="C146" s="17">
        <v>510</v>
      </c>
      <c r="D146" s="32">
        <v>17.989735268699626</v>
      </c>
      <c r="E146" s="21" t="str">
        <v>Ultralight chair</v>
      </c>
      <c r="F146" s="17" t="str">
        <v/>
      </c>
      <c r="G146" s="148" t="str">
        <v/>
      </c>
      <c r="H146" s="143">
        <v>1</v>
      </c>
      <c r="I146" s="148">
        <v>1.9897352686996257</v>
      </c>
      <c r="J146" s="143" t="str">
        <v>Helinox Chair Zero Ultralight 1.2lbs $129.99</v>
      </c>
      <c r="K146" s="143" t="str">
        <v>x</v>
      </c>
    </row>
    <row r="147" spans="1:11" x14ac:dyDescent="0.25">
      <c r="A147" s="141">
        <v>0</v>
      </c>
      <c r="B147" s="141">
        <v>0</v>
      </c>
      <c r="C147" s="17">
        <v>1000</v>
      </c>
      <c r="D147" s="32">
        <v>35.273990722940439</v>
      </c>
      <c r="E147" s="21" t="str">
        <v>Camp chair - heavy</v>
      </c>
      <c r="F147" s="17" t="str">
        <v/>
      </c>
      <c r="G147" s="148" t="str">
        <v/>
      </c>
      <c r="H147" s="143">
        <v>2</v>
      </c>
      <c r="I147" s="148">
        <v>3.2739907229404395</v>
      </c>
      <c r="J147" s="143">
        <v>0</v>
      </c>
      <c r="K147" s="143">
        <v>0</v>
      </c>
    </row>
    <row r="148" spans="1:11" x14ac:dyDescent="0.25">
      <c r="A148" s="141">
        <v>0</v>
      </c>
      <c r="B148" s="141">
        <v>0</v>
      </c>
      <c r="C148" s="17">
        <v>131</v>
      </c>
      <c r="D148" s="32">
        <v>4.6208927847051982</v>
      </c>
      <c r="E148" s="21" t="str">
        <v>hammock chair (green)</v>
      </c>
      <c r="F148" s="17" t="str">
        <v/>
      </c>
      <c r="G148" s="148" t="str">
        <v/>
      </c>
      <c r="H148" s="143">
        <v>0</v>
      </c>
      <c r="I148" s="148">
        <v>4.6208927847051982</v>
      </c>
      <c r="J148" s="143">
        <v>0</v>
      </c>
      <c r="K148" s="143">
        <v>0</v>
      </c>
    </row>
    <row r="149" spans="1:11" x14ac:dyDescent="0.25">
      <c r="A149" s="141">
        <v>0</v>
      </c>
      <c r="B149" s="141" t="str">
        <v>x</v>
      </c>
      <c r="C149" s="17">
        <v>69</v>
      </c>
      <c r="D149" s="32">
        <v>2.4339053598828904</v>
      </c>
      <c r="E149" s="21" t="str">
        <v>head lamp</v>
      </c>
      <c r="F149" s="17">
        <v>69</v>
      </c>
      <c r="G149" s="148">
        <v>2.4339053598828904</v>
      </c>
      <c r="H149" s="143">
        <v>0</v>
      </c>
      <c r="I149" s="148">
        <v>2.4339053598828904</v>
      </c>
      <c r="J149" s="143">
        <v>0</v>
      </c>
      <c r="K149" s="143">
        <v>0</v>
      </c>
    </row>
    <row r="150" spans="1:11" x14ac:dyDescent="0.25">
      <c r="A150" s="141">
        <v>0</v>
      </c>
      <c r="B150" s="141">
        <v>0</v>
      </c>
      <c r="C150" s="17">
        <v>0</v>
      </c>
      <c r="D150" s="32">
        <v>0</v>
      </c>
      <c r="E150" s="21" t="str">
        <v>flashlight</v>
      </c>
      <c r="F150" s="17" t="str">
        <v/>
      </c>
      <c r="G150" s="148" t="str">
        <v/>
      </c>
      <c r="H150" s="143">
        <v>0</v>
      </c>
      <c r="I150" s="148">
        <v>0</v>
      </c>
      <c r="J150" s="143">
        <v>0</v>
      </c>
      <c r="K150" s="143">
        <v>0</v>
      </c>
    </row>
    <row r="151" spans="1:11" x14ac:dyDescent="0.25">
      <c r="A151" s="141">
        <v>0</v>
      </c>
      <c r="B151" s="141" t="str">
        <v>x</v>
      </c>
      <c r="C151" s="17">
        <v>36</v>
      </c>
      <c r="D151" s="32">
        <v>1.269863666025856</v>
      </c>
      <c r="E151" s="21" t="str">
        <v>spare batteries 3 AAA</v>
      </c>
      <c r="F151" s="17">
        <v>36</v>
      </c>
      <c r="G151" s="148">
        <v>1.269863666025856</v>
      </c>
      <c r="H151" s="143">
        <v>0</v>
      </c>
      <c r="I151" s="148">
        <v>1.269863666025856</v>
      </c>
      <c r="J151" s="143">
        <v>0</v>
      </c>
      <c r="K151" s="143">
        <v>0</v>
      </c>
    </row>
    <row r="152" spans="1:11" x14ac:dyDescent="0.25">
      <c r="A152" s="141">
        <v>0</v>
      </c>
      <c r="B152" s="141">
        <v>0</v>
      </c>
      <c r="C152" s="17">
        <v>72</v>
      </c>
      <c r="D152" s="32">
        <v>2.539727332051712</v>
      </c>
      <c r="E152" s="21" t="str">
        <v>spare batteries 3 AA</v>
      </c>
      <c r="F152" s="17" t="str">
        <v/>
      </c>
      <c r="G152" s="148" t="str">
        <v/>
      </c>
      <c r="H152" s="143">
        <v>0</v>
      </c>
      <c r="I152" s="148">
        <v>2.539727332051712</v>
      </c>
      <c r="J152" s="143">
        <v>0</v>
      </c>
      <c r="K152" s="143">
        <v>0</v>
      </c>
    </row>
    <row r="153" spans="1:11" x14ac:dyDescent="0.25">
      <c r="A153" s="141">
        <v>0</v>
      </c>
      <c r="B153" s="141">
        <v>0</v>
      </c>
      <c r="C153" s="17">
        <v>30</v>
      </c>
      <c r="D153" s="32">
        <v>1.0582197216882132</v>
      </c>
      <c r="E153" s="21" t="str">
        <v>hand sanitizer (extra)</v>
      </c>
      <c r="F153" s="17" t="str">
        <v/>
      </c>
      <c r="G153" s="148" t="str">
        <v/>
      </c>
      <c r="H153" s="143">
        <v>0</v>
      </c>
      <c r="I153" s="148">
        <v>1.0582197216882132</v>
      </c>
      <c r="J153" s="143">
        <v>0</v>
      </c>
      <c r="K153" s="143">
        <v>0</v>
      </c>
    </row>
    <row r="154" spans="1:11" x14ac:dyDescent="0.25">
      <c r="A154" s="141">
        <v>0</v>
      </c>
      <c r="B154" s="141" t="str">
        <v>x</v>
      </c>
      <c r="C154" s="17">
        <v>30</v>
      </c>
      <c r="D154" s="32">
        <v>1.0582197216882132</v>
      </c>
      <c r="E154" s="21" t="str">
        <v>rope pieces</v>
      </c>
      <c r="F154" s="17">
        <v>30</v>
      </c>
      <c r="G154" s="148">
        <v>1.0582197216882132</v>
      </c>
      <c r="H154" s="143">
        <v>0</v>
      </c>
      <c r="I154" s="148">
        <v>1.0582197216882132</v>
      </c>
      <c r="J154" s="143">
        <v>0</v>
      </c>
      <c r="K154" s="143">
        <v>0</v>
      </c>
    </row>
    <row r="155" spans="1:11" x14ac:dyDescent="0.25">
      <c r="A155" s="141">
        <v>0</v>
      </c>
      <c r="B155" s="141" t="str">
        <v>x</v>
      </c>
      <c r="C155" s="17">
        <v>20</v>
      </c>
      <c r="D155" s="32">
        <v>0.70547981445880881</v>
      </c>
      <c r="E155" s="21" t="str">
        <v>eye glass case - soft</v>
      </c>
      <c r="F155" s="17">
        <v>20</v>
      </c>
      <c r="G155" s="148">
        <v>0.70547981445880881</v>
      </c>
      <c r="H155" s="143">
        <v>0</v>
      </c>
      <c r="I155" s="148">
        <v>0.70547981445880881</v>
      </c>
      <c r="J155" s="143">
        <v>0</v>
      </c>
      <c r="K155" s="143">
        <v>0</v>
      </c>
    </row>
    <row r="156" spans="1:11" x14ac:dyDescent="0.25">
      <c r="A156" s="141">
        <v>0</v>
      </c>
      <c r="B156" s="141">
        <v>0</v>
      </c>
      <c r="C156" s="17">
        <v>0</v>
      </c>
      <c r="D156" s="32">
        <v>0</v>
      </c>
      <c r="E156" s="21" t="str">
        <v>mosquito head net</v>
      </c>
      <c r="F156" s="17" t="str">
        <v/>
      </c>
      <c r="G156" s="148" t="str">
        <v/>
      </c>
      <c r="H156" s="143">
        <v>0</v>
      </c>
      <c r="I156" s="148">
        <v>0</v>
      </c>
      <c r="J156" s="143">
        <v>0</v>
      </c>
      <c r="K156" s="143">
        <v>0</v>
      </c>
    </row>
    <row r="157" spans="1:11" x14ac:dyDescent="0.25">
      <c r="A157" s="141">
        <v>0</v>
      </c>
      <c r="B157" s="141">
        <v>0</v>
      </c>
      <c r="C157" s="17">
        <v>0</v>
      </c>
      <c r="D157" s="32">
        <v>0</v>
      </c>
      <c r="E157" s="21" t="str">
        <v>sewing kit</v>
      </c>
      <c r="F157" s="17" t="str">
        <v/>
      </c>
      <c r="G157" s="148" t="str">
        <v/>
      </c>
      <c r="H157" s="143">
        <v>0</v>
      </c>
      <c r="I157" s="148">
        <v>0</v>
      </c>
      <c r="J157" s="143">
        <v>0</v>
      </c>
      <c r="K157" s="143">
        <v>0</v>
      </c>
    </row>
    <row r="158" spans="1:11" x14ac:dyDescent="0.25">
      <c r="A158" s="141">
        <v>0</v>
      </c>
      <c r="B158" s="141">
        <v>0</v>
      </c>
      <c r="C158" s="17">
        <v>0</v>
      </c>
      <c r="D158" s="32">
        <v>0</v>
      </c>
      <c r="E158" s="21" t="str">
        <v>sunscreen</v>
      </c>
      <c r="F158" s="17" t="str">
        <v/>
      </c>
      <c r="G158" s="148" t="str">
        <v/>
      </c>
      <c r="H158" s="143">
        <v>0</v>
      </c>
      <c r="I158" s="148">
        <v>0</v>
      </c>
      <c r="J158" s="143">
        <v>0</v>
      </c>
      <c r="K158" s="143">
        <v>0</v>
      </c>
    </row>
    <row r="159" spans="1:11" x14ac:dyDescent="0.25">
      <c r="A159" s="141">
        <v>0</v>
      </c>
      <c r="B159" s="141">
        <v>0</v>
      </c>
      <c r="C159" s="17">
        <v>0</v>
      </c>
      <c r="D159" s="32">
        <v>0</v>
      </c>
      <c r="E159" s="21" t="str">
        <v>Nylon water bag</v>
      </c>
      <c r="F159" s="17" t="str">
        <v/>
      </c>
      <c r="G159" s="148" t="str">
        <v/>
      </c>
      <c r="H159" s="143">
        <v>0</v>
      </c>
      <c r="I159" s="148">
        <v>0</v>
      </c>
      <c r="J159" s="143">
        <v>0</v>
      </c>
      <c r="K159" s="143">
        <v>0</v>
      </c>
    </row>
    <row r="160" spans="1:11" x14ac:dyDescent="0.25">
      <c r="A160" s="141">
        <v>0</v>
      </c>
      <c r="B160" s="141" t="str">
        <v>x</v>
      </c>
      <c r="C160" s="17">
        <v>49</v>
      </c>
      <c r="D160" s="32">
        <v>1.7284255454240816</v>
      </c>
      <c r="E160" s="21" t="str">
        <v>foam pad 12 x 18</v>
      </c>
      <c r="F160" s="17">
        <v>49</v>
      </c>
      <c r="G160" s="148">
        <v>1.7284255454240816</v>
      </c>
      <c r="H160" s="143">
        <v>0</v>
      </c>
      <c r="I160" s="148">
        <v>1.7284255454240816</v>
      </c>
      <c r="J160" s="143">
        <v>0</v>
      </c>
      <c r="K160" s="143">
        <v>0</v>
      </c>
    </row>
    <row r="161" spans="1:12" x14ac:dyDescent="0.25">
      <c r="A161" s="141">
        <v>0</v>
      </c>
      <c r="B161" s="141">
        <v>0</v>
      </c>
      <c r="C161" s="17">
        <v>94</v>
      </c>
      <c r="D161" s="32">
        <v>3.3157551279564013</v>
      </c>
      <c r="E161" s="21" t="str">
        <v>foam pad 17 x 24</v>
      </c>
      <c r="F161" s="17" t="str">
        <v/>
      </c>
      <c r="G161" s="148" t="str">
        <v/>
      </c>
      <c r="H161" s="143">
        <v>0</v>
      </c>
      <c r="I161" s="148">
        <v>3.3157551279564013</v>
      </c>
      <c r="J161" s="143">
        <v>0</v>
      </c>
      <c r="K161" s="143">
        <v>0</v>
      </c>
    </row>
    <row r="162" spans="1:12" x14ac:dyDescent="0.25">
      <c r="A162" s="141">
        <v>0</v>
      </c>
      <c r="B162" s="141">
        <v>0</v>
      </c>
      <c r="C162" s="17">
        <v>88</v>
      </c>
      <c r="D162" s="32">
        <v>3.1041111836187589</v>
      </c>
      <c r="E162" s="21" t="str">
        <v>bug spray</v>
      </c>
      <c r="F162" s="17" t="str">
        <v/>
      </c>
      <c r="G162" s="148" t="str">
        <v/>
      </c>
      <c r="H162" s="143">
        <v>0</v>
      </c>
      <c r="I162" s="148">
        <v>3.1041111836187589</v>
      </c>
      <c r="J162" s="143">
        <v>0</v>
      </c>
      <c r="K162" s="143">
        <v>0</v>
      </c>
    </row>
    <row r="163" spans="1:12" x14ac:dyDescent="0.25">
      <c r="A163" s="141" t="str">
        <v/>
      </c>
      <c r="B163" s="141" t="str">
        <v/>
      </c>
      <c r="C163" s="17" t="str">
        <v/>
      </c>
      <c r="D163" s="32" t="str">
        <v/>
      </c>
      <c r="E163" s="21" t="str">
        <v/>
      </c>
      <c r="F163" s="17" t="str">
        <v/>
      </c>
      <c r="G163" s="148" t="str">
        <v/>
      </c>
      <c r="H163" s="143" t="str">
        <v/>
      </c>
      <c r="I163" s="148" t="str">
        <v/>
      </c>
      <c r="J163" s="143" t="str">
        <v/>
      </c>
      <c r="K163" s="143" t="str">
        <v/>
      </c>
    </row>
    <row r="164" spans="1:12" x14ac:dyDescent="0.25">
      <c r="A164" s="141">
        <v>0</v>
      </c>
      <c r="B164" s="141" t="str">
        <v>x</v>
      </c>
      <c r="C164" s="17" t="str">
        <v xml:space="preserve"> </v>
      </c>
      <c r="D164" s="32" t="str">
        <v xml:space="preserve"> </v>
      </c>
      <c r="E164" s="21" t="str">
        <v>Clothing in Pack Group</v>
      </c>
      <c r="F164" s="17" t="str">
        <v xml:space="preserve"> </v>
      </c>
      <c r="G164" s="148" t="str">
        <v xml:space="preserve"> </v>
      </c>
      <c r="H164" s="143" t="str">
        <v xml:space="preserve"> </v>
      </c>
      <c r="I164" s="148" t="str">
        <v xml:space="preserve"> </v>
      </c>
      <c r="J164" s="143">
        <v>0</v>
      </c>
      <c r="K164" s="143">
        <v>0</v>
      </c>
      <c r="L164" s="128" t="s">
        <v>286</v>
      </c>
    </row>
    <row r="165" spans="1:12" x14ac:dyDescent="0.25">
      <c r="A165" s="141">
        <v>0</v>
      </c>
      <c r="B165" s="141" t="str">
        <v>x</v>
      </c>
      <c r="C165" s="17">
        <v>322</v>
      </c>
      <c r="D165" s="32">
        <v>11.358225012786821</v>
      </c>
      <c r="E165" s="21" t="str">
        <v>puffy</v>
      </c>
      <c r="F165" s="17">
        <v>322</v>
      </c>
      <c r="G165" s="148">
        <v>11.358225012786821</v>
      </c>
      <c r="H165" s="143">
        <v>0</v>
      </c>
      <c r="I165" s="148">
        <v>11.358225012786821</v>
      </c>
      <c r="J165" s="143">
        <v>0</v>
      </c>
      <c r="K165" s="143">
        <v>0</v>
      </c>
    </row>
    <row r="166" spans="1:12" x14ac:dyDescent="0.25">
      <c r="A166" s="141">
        <v>0</v>
      </c>
      <c r="B166" s="141" t="str">
        <v>x</v>
      </c>
      <c r="C166" s="17">
        <v>108</v>
      </c>
      <c r="D166" s="32">
        <v>3.8095909980775677</v>
      </c>
      <c r="E166" s="21" t="str">
        <v>gloves/mittens</v>
      </c>
      <c r="F166" s="17">
        <v>108</v>
      </c>
      <c r="G166" s="148">
        <v>3.8095909980775677</v>
      </c>
      <c r="H166" s="143">
        <v>0</v>
      </c>
      <c r="I166" s="148">
        <v>3.8095909980775677</v>
      </c>
      <c r="J166" s="143">
        <v>0</v>
      </c>
      <c r="K166" s="143">
        <v>0</v>
      </c>
    </row>
    <row r="167" spans="1:12" x14ac:dyDescent="0.25">
      <c r="A167" s="141">
        <v>0</v>
      </c>
      <c r="B167" s="141">
        <v>0</v>
      </c>
      <c r="C167" s="17">
        <v>36</v>
      </c>
      <c r="D167" s="32">
        <v>1.269863666025856</v>
      </c>
      <c r="E167" s="21" t="str">
        <v>neck gaiter</v>
      </c>
      <c r="F167" s="17" t="str">
        <v/>
      </c>
      <c r="G167" s="148" t="str">
        <v/>
      </c>
      <c r="H167" s="143">
        <v>0</v>
      </c>
      <c r="I167" s="148">
        <v>1.269863666025856</v>
      </c>
      <c r="J167" s="143">
        <v>0</v>
      </c>
      <c r="K167" s="143">
        <v>0</v>
      </c>
    </row>
    <row r="168" spans="1:12" x14ac:dyDescent="0.25">
      <c r="A168" s="141">
        <v>0</v>
      </c>
      <c r="B168" s="141" t="str">
        <v>x</v>
      </c>
      <c r="C168" s="17">
        <v>50</v>
      </c>
      <c r="D168" s="32">
        <v>1.763699536147022</v>
      </c>
      <c r="E168" s="21" t="str">
        <v>Liner socks</v>
      </c>
      <c r="F168" s="17">
        <v>50</v>
      </c>
      <c r="G168" s="148">
        <v>1.763699536147022</v>
      </c>
      <c r="H168" s="143">
        <v>0</v>
      </c>
      <c r="I168" s="148">
        <v>1.763699536147022</v>
      </c>
      <c r="J168" s="143">
        <v>0</v>
      </c>
      <c r="K168" s="143">
        <v>0</v>
      </c>
    </row>
    <row r="169" spans="1:12" x14ac:dyDescent="0.25">
      <c r="A169" s="141">
        <v>0</v>
      </c>
      <c r="B169" s="141" t="str">
        <v>x</v>
      </c>
      <c r="C169" s="17">
        <v>165</v>
      </c>
      <c r="D169" s="32">
        <v>5.8202084692851725</v>
      </c>
      <c r="E169" s="21" t="str">
        <v>Wool socks</v>
      </c>
      <c r="F169" s="17">
        <v>165</v>
      </c>
      <c r="G169" s="148">
        <v>5.8202084692851725</v>
      </c>
      <c r="H169" s="143">
        <v>0</v>
      </c>
      <c r="I169" s="148">
        <v>5.8202084692851725</v>
      </c>
      <c r="J169" s="143">
        <v>0</v>
      </c>
      <c r="K169" s="143">
        <v>0</v>
      </c>
    </row>
    <row r="170" spans="1:12" x14ac:dyDescent="0.25">
      <c r="A170" s="141">
        <v>0</v>
      </c>
      <c r="B170" s="141">
        <v>0</v>
      </c>
      <c r="C170" s="17">
        <v>125</v>
      </c>
      <c r="D170" s="32">
        <v>4.4092488403675549</v>
      </c>
      <c r="E170" s="21" t="str">
        <v>short sleeve shirt</v>
      </c>
      <c r="F170" s="17" t="str">
        <v/>
      </c>
      <c r="G170" s="148" t="str">
        <v/>
      </c>
      <c r="H170" s="143">
        <v>0</v>
      </c>
      <c r="I170" s="148">
        <v>4.4092488403675549</v>
      </c>
      <c r="J170" s="143">
        <v>0</v>
      </c>
      <c r="K170" s="143">
        <v>0</v>
      </c>
    </row>
    <row r="171" spans="1:12" x14ac:dyDescent="0.25">
      <c r="A171" s="141">
        <v>0</v>
      </c>
      <c r="B171" s="141" t="str">
        <v>x</v>
      </c>
      <c r="C171" s="17">
        <v>150</v>
      </c>
      <c r="D171" s="32">
        <v>5.2910986084410663</v>
      </c>
      <c r="E171" s="21" t="str">
        <v xml:space="preserve">long sleeve shirt </v>
      </c>
      <c r="F171" s="17">
        <v>150</v>
      </c>
      <c r="G171" s="148">
        <v>5.2910986084410663</v>
      </c>
      <c r="H171" s="143">
        <v>0</v>
      </c>
      <c r="I171" s="148">
        <v>5.2910986084410663</v>
      </c>
      <c r="J171" s="143">
        <v>0</v>
      </c>
      <c r="K171" s="143">
        <v>0</v>
      </c>
    </row>
    <row r="172" spans="1:12" x14ac:dyDescent="0.25">
      <c r="A172" s="141">
        <v>0</v>
      </c>
      <c r="B172" s="141">
        <v>0</v>
      </c>
      <c r="C172" s="17">
        <v>250</v>
      </c>
      <c r="D172" s="32">
        <v>8.8184976807351099</v>
      </c>
      <c r="E172" s="21" t="str">
        <v>long sleeve shirt heavy</v>
      </c>
      <c r="F172" s="17" t="str">
        <v/>
      </c>
      <c r="G172" s="148" t="str">
        <v/>
      </c>
      <c r="H172" s="143">
        <v>0</v>
      </c>
      <c r="I172" s="148">
        <v>8.8184976807351099</v>
      </c>
      <c r="J172" s="143">
        <v>0</v>
      </c>
      <c r="K172" s="143">
        <v>0</v>
      </c>
    </row>
    <row r="173" spans="1:12" x14ac:dyDescent="0.25">
      <c r="A173" s="141">
        <v>0</v>
      </c>
      <c r="B173" s="141" t="str">
        <v>x</v>
      </c>
      <c r="C173" s="17">
        <v>76</v>
      </c>
      <c r="D173" s="32">
        <v>2.6808232949434734</v>
      </c>
      <c r="E173" s="21" t="str">
        <v>underwear</v>
      </c>
      <c r="F173" s="17">
        <v>76</v>
      </c>
      <c r="G173" s="148">
        <v>2.6808232949434734</v>
      </c>
      <c r="H173" s="143">
        <v>0</v>
      </c>
      <c r="I173" s="148">
        <v>2.6808232949434734</v>
      </c>
      <c r="J173" s="143">
        <v>0</v>
      </c>
      <c r="K173" s="143">
        <v>0</v>
      </c>
    </row>
    <row r="174" spans="1:12" x14ac:dyDescent="0.25">
      <c r="A174" s="141">
        <v>0</v>
      </c>
      <c r="B174" s="141" t="str">
        <v>x</v>
      </c>
      <c r="C174" s="17">
        <v>135</v>
      </c>
      <c r="D174" s="32">
        <v>4.7619887475969591</v>
      </c>
      <c r="E174" s="21" t="str">
        <v>shorts</v>
      </c>
      <c r="F174" s="17">
        <v>135</v>
      </c>
      <c r="G174" s="148">
        <v>4.7619887475969591</v>
      </c>
      <c r="H174" s="143">
        <v>0</v>
      </c>
      <c r="I174" s="148">
        <v>4.7619887475969591</v>
      </c>
      <c r="J174" s="143">
        <v>0</v>
      </c>
      <c r="K174" s="143">
        <v>0</v>
      </c>
    </row>
    <row r="175" spans="1:12" x14ac:dyDescent="0.25">
      <c r="A175" s="141">
        <v>0</v>
      </c>
      <c r="B175" s="141" t="str">
        <v>x</v>
      </c>
      <c r="C175" s="17">
        <v>0</v>
      </c>
      <c r="D175" s="32">
        <v>0</v>
      </c>
      <c r="E175" s="21" t="str">
        <v>zip-offs</v>
      </c>
      <c r="F175" s="17" t="str">
        <v/>
      </c>
      <c r="G175" s="148">
        <v>0</v>
      </c>
      <c r="H175" s="143">
        <v>0</v>
      </c>
      <c r="I175" s="148">
        <v>0</v>
      </c>
      <c r="J175" s="143">
        <v>0</v>
      </c>
      <c r="K175" s="143">
        <v>0</v>
      </c>
    </row>
    <row r="176" spans="1:12" x14ac:dyDescent="0.25">
      <c r="A176" s="141">
        <v>0</v>
      </c>
      <c r="B176" s="141">
        <v>0</v>
      </c>
      <c r="C176" s="17">
        <v>0</v>
      </c>
      <c r="D176" s="32">
        <v>0</v>
      </c>
      <c r="E176" s="21" t="str">
        <v>Kilt</v>
      </c>
      <c r="F176" s="17">
        <v>0</v>
      </c>
      <c r="G176" s="148">
        <v>0</v>
      </c>
      <c r="H176" s="143">
        <v>0</v>
      </c>
      <c r="I176" s="148" t="str">
        <v/>
      </c>
      <c r="J176" s="143">
        <v>0</v>
      </c>
      <c r="K176" s="143">
        <v>0</v>
      </c>
    </row>
    <row r="177" spans="1:12" x14ac:dyDescent="0.25">
      <c r="A177" s="141">
        <v>0</v>
      </c>
      <c r="B177" s="141">
        <v>0</v>
      </c>
      <c r="C177" s="17">
        <v>0</v>
      </c>
      <c r="D177" s="32">
        <v>0</v>
      </c>
      <c r="E177" s="21" t="str">
        <v>thermal underwear</v>
      </c>
      <c r="F177" s="17" t="str">
        <v/>
      </c>
      <c r="G177" s="148" t="str">
        <v/>
      </c>
      <c r="H177" s="143">
        <v>0</v>
      </c>
      <c r="I177" s="148">
        <v>0</v>
      </c>
      <c r="J177" s="143">
        <v>0</v>
      </c>
      <c r="K177" s="143">
        <v>0</v>
      </c>
    </row>
    <row r="178" spans="1:12" x14ac:dyDescent="0.25">
      <c r="A178" s="141" t="str">
        <v/>
      </c>
      <c r="B178" s="141" t="str">
        <v/>
      </c>
      <c r="C178" s="17" t="str">
        <v/>
      </c>
      <c r="D178" s="32" t="str">
        <v/>
      </c>
      <c r="E178" s="21" t="str">
        <v/>
      </c>
      <c r="F178" s="17" t="str">
        <v/>
      </c>
      <c r="G178" s="148" t="str">
        <v/>
      </c>
      <c r="H178" s="143" t="str">
        <v/>
      </c>
      <c r="I178" s="148" t="str">
        <v/>
      </c>
      <c r="J178" s="143" t="str">
        <v/>
      </c>
      <c r="K178" s="143" t="str">
        <v/>
      </c>
    </row>
    <row r="179" spans="1:12" x14ac:dyDescent="0.25">
      <c r="A179" s="141">
        <v>0</v>
      </c>
      <c r="B179" s="141" t="str">
        <v>x</v>
      </c>
      <c r="C179" s="17" t="str">
        <v xml:space="preserve"> </v>
      </c>
      <c r="D179" s="32" t="str">
        <v xml:space="preserve"> </v>
      </c>
      <c r="E179" s="21" t="str">
        <v>Consumables Group</v>
      </c>
      <c r="F179" s="17" t="str">
        <v xml:space="preserve"> </v>
      </c>
      <c r="G179" s="148" t="str">
        <v xml:space="preserve"> </v>
      </c>
      <c r="H179" s="143" t="str">
        <v xml:space="preserve"> </v>
      </c>
      <c r="I179" s="148" t="str">
        <v xml:space="preserve"> </v>
      </c>
      <c r="J179" s="143">
        <v>0</v>
      </c>
      <c r="K179" s="143">
        <v>0</v>
      </c>
      <c r="L179" s="128" t="s">
        <v>287</v>
      </c>
    </row>
    <row r="180" spans="1:12" x14ac:dyDescent="0.25">
      <c r="A180" s="141">
        <v>0</v>
      </c>
      <c r="B180" s="141" t="str">
        <v>x</v>
      </c>
      <c r="C180" s="17">
        <v>0</v>
      </c>
      <c r="D180" s="32" t="str">
        <v/>
      </c>
      <c r="E180" s="21" t="str">
        <v>Medication</v>
      </c>
      <c r="F180" s="17" t="str">
        <v/>
      </c>
      <c r="G180" s="148" t="str">
        <v/>
      </c>
      <c r="H180" s="143" t="str">
        <v/>
      </c>
      <c r="I180" s="148" t="str">
        <v/>
      </c>
      <c r="J180" s="143">
        <v>0</v>
      </c>
      <c r="K180" s="143">
        <v>0</v>
      </c>
    </row>
    <row r="181" spans="1:12" x14ac:dyDescent="0.25">
      <c r="A181" s="141">
        <v>0</v>
      </c>
      <c r="B181" s="141" t="str">
        <v>x</v>
      </c>
      <c r="C181" s="17">
        <v>4000</v>
      </c>
      <c r="D181" s="32">
        <v>141.09596289176176</v>
      </c>
      <c r="E181" s="21" t="str">
        <v>24-32 ounces food per day</v>
      </c>
      <c r="F181" s="17">
        <v>4000</v>
      </c>
      <c r="G181" s="148">
        <v>141.09596289176176</v>
      </c>
      <c r="H181" s="143">
        <v>8</v>
      </c>
      <c r="I181" s="148">
        <v>13.095962891761758</v>
      </c>
      <c r="J181" s="143">
        <v>0</v>
      </c>
      <c r="K181" s="143">
        <v>0</v>
      </c>
    </row>
    <row r="182" spans="1:12" x14ac:dyDescent="0.25">
      <c r="A182" s="141">
        <v>0</v>
      </c>
      <c r="B182" s="141" t="str">
        <v>x</v>
      </c>
      <c r="C182" s="17">
        <v>1814</v>
      </c>
      <c r="D182" s="32">
        <v>63.987019171413962</v>
      </c>
      <c r="E182" s="21" t="str">
        <v>64 ounces water</v>
      </c>
      <c r="F182" s="17">
        <v>1814</v>
      </c>
      <c r="G182" s="148">
        <v>63.987019171413962</v>
      </c>
      <c r="H182" s="143">
        <v>3</v>
      </c>
      <c r="I182" s="148">
        <v>15.987019171413962</v>
      </c>
      <c r="J182" s="143">
        <v>0</v>
      </c>
      <c r="K182" s="143">
        <v>0</v>
      </c>
    </row>
    <row r="183" spans="1:12" x14ac:dyDescent="0.25">
      <c r="A183" s="141">
        <v>0</v>
      </c>
      <c r="B183" s="141">
        <v>0</v>
      </c>
      <c r="C183" s="17">
        <v>0</v>
      </c>
      <c r="D183" s="32" t="str">
        <v/>
      </c>
      <c r="E183" s="21" t="str">
        <v>2 ounce fuel per day</v>
      </c>
      <c r="F183" s="17" t="str">
        <v/>
      </c>
      <c r="G183" s="148" t="str">
        <v/>
      </c>
      <c r="H183" s="143" t="str">
        <v/>
      </c>
      <c r="I183" s="148" t="str">
        <v/>
      </c>
      <c r="J183" s="143">
        <v>0</v>
      </c>
      <c r="K183" s="143">
        <v>0</v>
      </c>
    </row>
    <row r="184" spans="1:12" x14ac:dyDescent="0.25">
      <c r="A184" s="141">
        <v>0</v>
      </c>
      <c r="B184" s="141">
        <v>0</v>
      </c>
      <c r="C184" s="17">
        <v>0</v>
      </c>
      <c r="D184" s="32">
        <v>0</v>
      </c>
      <c r="E184" s="21" t="str">
        <v>Zip lock bags (1 quart) food</v>
      </c>
      <c r="F184" s="17">
        <v>0</v>
      </c>
      <c r="G184" s="148">
        <v>0</v>
      </c>
      <c r="H184" s="143" t="str">
        <v/>
      </c>
      <c r="I184" s="148" t="str">
        <v/>
      </c>
      <c r="J184" s="143">
        <v>0</v>
      </c>
      <c r="K184" s="143">
        <v>0</v>
      </c>
    </row>
    <row r="185" spans="1:12" x14ac:dyDescent="0.25">
      <c r="A185" s="141">
        <v>0</v>
      </c>
      <c r="B185" s="141">
        <v>0</v>
      </c>
      <c r="C185" s="17">
        <v>0</v>
      </c>
      <c r="D185" s="32" t="str">
        <v/>
      </c>
      <c r="E185" s="21" t="str">
        <v>Zip lock bags (1 gallon) food</v>
      </c>
      <c r="F185" s="17" t="str">
        <v/>
      </c>
      <c r="G185" s="148" t="str">
        <v/>
      </c>
      <c r="H185" s="143" t="str">
        <v/>
      </c>
      <c r="I185" s="148" t="str">
        <v/>
      </c>
      <c r="J185" s="143">
        <v>0</v>
      </c>
      <c r="K185" s="143">
        <v>0</v>
      </c>
    </row>
    <row r="186" spans="1:12" x14ac:dyDescent="0.25">
      <c r="A186" s="141">
        <v>0</v>
      </c>
      <c r="B186" s="141">
        <v>0</v>
      </c>
      <c r="C186" s="17">
        <v>0</v>
      </c>
      <c r="D186" s="32" t="str">
        <v/>
      </c>
      <c r="E186" s="21" t="str">
        <v>Zip lock bags (2 gallon) food</v>
      </c>
      <c r="F186" s="17" t="str">
        <v/>
      </c>
      <c r="G186" s="148" t="str">
        <v/>
      </c>
      <c r="H186" s="143" t="str">
        <v/>
      </c>
      <c r="I186" s="148" t="str">
        <v/>
      </c>
      <c r="J186" s="143">
        <v>0</v>
      </c>
      <c r="K186" s="143">
        <v>0</v>
      </c>
    </row>
    <row r="187" spans="1:12" x14ac:dyDescent="0.25">
      <c r="A187" s="141" t="str">
        <v/>
      </c>
      <c r="B187" s="141" t="str">
        <v/>
      </c>
      <c r="C187" s="17" t="str">
        <v/>
      </c>
      <c r="D187" s="32" t="str">
        <v/>
      </c>
      <c r="E187" s="21" t="str">
        <v/>
      </c>
      <c r="F187" s="17" t="str">
        <v/>
      </c>
      <c r="G187" s="148" t="str">
        <v/>
      </c>
      <c r="H187" s="143" t="str">
        <v/>
      </c>
      <c r="I187" s="148" t="str">
        <v/>
      </c>
      <c r="J187" s="143" t="str">
        <v/>
      </c>
      <c r="K187" s="143" t="str">
        <v/>
      </c>
    </row>
    <row r="188" spans="1:12" x14ac:dyDescent="0.25">
      <c r="A188" s="141">
        <v>0</v>
      </c>
      <c r="B188" s="141" t="str">
        <v>x</v>
      </c>
      <c r="C188" s="17">
        <v>0</v>
      </c>
      <c r="D188" s="32" t="str">
        <v/>
      </c>
      <c r="E188" s="21" t="str">
        <v>Clothing Worn Group</v>
      </c>
      <c r="F188" s="17" t="str">
        <v/>
      </c>
      <c r="G188" s="148" t="str">
        <v/>
      </c>
      <c r="H188" s="143" t="str">
        <v/>
      </c>
      <c r="I188" s="148" t="str">
        <v/>
      </c>
      <c r="J188" s="143">
        <v>0</v>
      </c>
      <c r="K188" s="143">
        <v>0</v>
      </c>
      <c r="L188" s="128" t="s">
        <v>288</v>
      </c>
    </row>
    <row r="189" spans="1:12" x14ac:dyDescent="0.25">
      <c r="A189" s="141">
        <v>0</v>
      </c>
      <c r="B189" s="141" t="str">
        <v>x</v>
      </c>
      <c r="C189" s="17">
        <v>0</v>
      </c>
      <c r="D189" s="32" t="str">
        <v/>
      </c>
      <c r="E189" s="21" t="str">
        <v>trekking poles</v>
      </c>
      <c r="F189" s="17" t="str">
        <v/>
      </c>
      <c r="G189" s="148" t="str">
        <v/>
      </c>
      <c r="H189" s="143" t="str">
        <v/>
      </c>
      <c r="I189" s="148" t="str">
        <v/>
      </c>
      <c r="J189" s="143">
        <v>0</v>
      </c>
      <c r="K189" s="143">
        <v>0</v>
      </c>
    </row>
    <row r="190" spans="1:12" x14ac:dyDescent="0.25">
      <c r="A190" s="141">
        <v>0</v>
      </c>
      <c r="B190" s="141" t="str">
        <v>x</v>
      </c>
      <c r="C190" s="17">
        <v>0</v>
      </c>
      <c r="D190" s="32" t="str">
        <v/>
      </c>
      <c r="E190" s="21" t="str">
        <v>hiking boots</v>
      </c>
      <c r="F190" s="17" t="str">
        <v/>
      </c>
      <c r="G190" s="148" t="str">
        <v/>
      </c>
      <c r="H190" s="143" t="str">
        <v/>
      </c>
      <c r="I190" s="148" t="str">
        <v/>
      </c>
      <c r="J190" s="143">
        <v>0</v>
      </c>
      <c r="K190" s="143">
        <v>0</v>
      </c>
    </row>
    <row r="191" spans="1:12" x14ac:dyDescent="0.25">
      <c r="A191" s="141">
        <v>0</v>
      </c>
      <c r="B191" s="141" t="str">
        <v>x</v>
      </c>
      <c r="C191" s="17">
        <v>0</v>
      </c>
      <c r="D191" s="32" t="str">
        <v/>
      </c>
      <c r="E191" s="21" t="str">
        <v>liner socks</v>
      </c>
      <c r="F191" s="17" t="str">
        <v/>
      </c>
      <c r="G191" s="148" t="str">
        <v/>
      </c>
      <c r="H191" s="143" t="str">
        <v/>
      </c>
      <c r="I191" s="148" t="str">
        <v/>
      </c>
      <c r="J191" s="143">
        <v>0</v>
      </c>
      <c r="K191" s="143">
        <v>0</v>
      </c>
    </row>
    <row r="192" spans="1:12" x14ac:dyDescent="0.25">
      <c r="A192" s="141">
        <v>0</v>
      </c>
      <c r="B192" s="141" t="str">
        <v>x</v>
      </c>
      <c r="C192" s="17">
        <v>0</v>
      </c>
      <c r="D192" s="32" t="str">
        <v/>
      </c>
      <c r="E192" s="21" t="str">
        <v>wool socks</v>
      </c>
      <c r="F192" s="17" t="str">
        <v/>
      </c>
      <c r="G192" s="148" t="str">
        <v/>
      </c>
      <c r="H192" s="143" t="str">
        <v/>
      </c>
      <c r="I192" s="148" t="str">
        <v/>
      </c>
      <c r="J192" s="143">
        <v>0</v>
      </c>
      <c r="K192" s="143">
        <v>0</v>
      </c>
    </row>
    <row r="193" spans="1:11" x14ac:dyDescent="0.25">
      <c r="A193" s="141">
        <v>0</v>
      </c>
      <c r="B193" s="141" t="str">
        <v>x</v>
      </c>
      <c r="C193" s="17">
        <v>0</v>
      </c>
      <c r="D193" s="32" t="str">
        <v/>
      </c>
      <c r="E193" s="21" t="str">
        <v>gators</v>
      </c>
      <c r="F193" s="17" t="str">
        <v/>
      </c>
      <c r="G193" s="148" t="str">
        <v/>
      </c>
      <c r="H193" s="143" t="str">
        <v/>
      </c>
      <c r="I193" s="148" t="str">
        <v/>
      </c>
      <c r="J193" s="143">
        <v>0</v>
      </c>
      <c r="K193" s="143">
        <v>0</v>
      </c>
    </row>
    <row r="194" spans="1:11" x14ac:dyDescent="0.25">
      <c r="A194" s="141">
        <v>0</v>
      </c>
      <c r="B194" s="141" t="str">
        <v>x</v>
      </c>
      <c r="C194" s="17">
        <v>0</v>
      </c>
      <c r="D194" s="32" t="str">
        <v/>
      </c>
      <c r="E194" s="21" t="str">
        <v>tech shirt</v>
      </c>
      <c r="F194" s="17" t="str">
        <v/>
      </c>
      <c r="G194" s="148" t="str">
        <v/>
      </c>
      <c r="H194" s="143" t="str">
        <v/>
      </c>
      <c r="I194" s="148" t="str">
        <v/>
      </c>
      <c r="J194" s="143">
        <v>0</v>
      </c>
      <c r="K194" s="143">
        <v>0</v>
      </c>
    </row>
    <row r="195" spans="1:11" x14ac:dyDescent="0.25">
      <c r="A195" s="141">
        <v>0</v>
      </c>
      <c r="B195" s="141" t="str">
        <v>x</v>
      </c>
      <c r="C195" s="17">
        <v>0</v>
      </c>
      <c r="D195" s="32" t="str">
        <v/>
      </c>
      <c r="E195" s="21" t="str">
        <v>underwear</v>
      </c>
      <c r="F195" s="17" t="str">
        <v/>
      </c>
      <c r="G195" s="148" t="str">
        <v/>
      </c>
      <c r="H195" s="143" t="str">
        <v/>
      </c>
      <c r="I195" s="148" t="str">
        <v/>
      </c>
      <c r="J195" s="143">
        <v>0</v>
      </c>
      <c r="K195" s="143">
        <v>0</v>
      </c>
    </row>
    <row r="196" spans="1:11" x14ac:dyDescent="0.25">
      <c r="A196" s="141">
        <v>0</v>
      </c>
      <c r="B196" s="141" t="str">
        <v>x</v>
      </c>
      <c r="C196" s="17">
        <v>0</v>
      </c>
      <c r="D196" s="32" t="str">
        <v/>
      </c>
      <c r="E196" s="21" t="str">
        <v>Kilt / Zip-offs</v>
      </c>
      <c r="F196" s="17" t="str">
        <v/>
      </c>
      <c r="G196" s="148" t="str">
        <v/>
      </c>
      <c r="H196" s="143" t="str">
        <v/>
      </c>
      <c r="I196" s="148" t="str">
        <v/>
      </c>
      <c r="J196" s="143">
        <v>0</v>
      </c>
      <c r="K196" s="143">
        <v>0</v>
      </c>
    </row>
    <row r="197" spans="1:11" x14ac:dyDescent="0.25">
      <c r="A197" s="141">
        <v>0</v>
      </c>
      <c r="B197" s="141" t="str">
        <v>x</v>
      </c>
      <c r="C197" s="17">
        <v>0</v>
      </c>
      <c r="D197" s="32" t="str">
        <v/>
      </c>
      <c r="E197" s="21" t="str">
        <v>runners cap</v>
      </c>
      <c r="F197" s="17" t="str">
        <v/>
      </c>
      <c r="G197" s="148" t="str">
        <v/>
      </c>
      <c r="H197" s="143" t="str">
        <v/>
      </c>
      <c r="I197" s="148" t="str">
        <v/>
      </c>
      <c r="J197" s="143">
        <v>0</v>
      </c>
      <c r="K197" s="143">
        <v>0</v>
      </c>
    </row>
    <row r="198" spans="1:11" x14ac:dyDescent="0.25">
      <c r="A198" s="141">
        <v>0</v>
      </c>
      <c r="B198" s="141" t="str">
        <v>x</v>
      </c>
      <c r="C198" s="17">
        <v>0</v>
      </c>
      <c r="D198" s="32" t="str">
        <v/>
      </c>
      <c r="E198" s="21" t="str">
        <v>pocket knife</v>
      </c>
      <c r="F198" s="17" t="str">
        <v/>
      </c>
      <c r="G198" s="148" t="str">
        <v/>
      </c>
      <c r="H198" s="143" t="str">
        <v/>
      </c>
      <c r="I198" s="148" t="str">
        <v/>
      </c>
      <c r="J198" s="143">
        <v>0</v>
      </c>
      <c r="K198" s="143">
        <v>0</v>
      </c>
    </row>
    <row r="199" spans="1:11" x14ac:dyDescent="0.25">
      <c r="A199" s="141">
        <v>0</v>
      </c>
      <c r="B199" s="141" t="str">
        <v>x</v>
      </c>
      <c r="C199" s="17">
        <v>0</v>
      </c>
      <c r="D199" s="32" t="str">
        <v/>
      </c>
      <c r="E199" s="21" t="str">
        <v>lip balm</v>
      </c>
      <c r="F199" s="17" t="str">
        <v/>
      </c>
      <c r="G199" s="148" t="str">
        <v/>
      </c>
      <c r="H199" s="143" t="str">
        <v/>
      </c>
      <c r="I199" s="148" t="str">
        <v/>
      </c>
      <c r="J199" s="143">
        <v>0</v>
      </c>
      <c r="K199" s="143">
        <v>0</v>
      </c>
    </row>
    <row r="200" spans="1:11" x14ac:dyDescent="0.25">
      <c r="A200" s="141">
        <v>0</v>
      </c>
      <c r="B200" s="141" t="str">
        <v>x</v>
      </c>
      <c r="C200" s="17">
        <v>0</v>
      </c>
      <c r="D200" s="32" t="str">
        <v/>
      </c>
      <c r="E200" s="21" t="str">
        <v>phone (in zip-loc)</v>
      </c>
      <c r="F200" s="17" t="str">
        <v/>
      </c>
      <c r="G200" s="148" t="str">
        <v/>
      </c>
      <c r="H200" s="143" t="str">
        <v/>
      </c>
      <c r="I200" s="148" t="str">
        <v/>
      </c>
      <c r="J200" s="143">
        <v>0</v>
      </c>
      <c r="K200" s="143">
        <v>0</v>
      </c>
    </row>
    <row r="201" spans="1:11" x14ac:dyDescent="0.25">
      <c r="A201" s="141">
        <v>0</v>
      </c>
      <c r="B201" s="141" t="str">
        <v>x</v>
      </c>
      <c r="C201" s="17">
        <v>0</v>
      </c>
      <c r="D201" s="32" t="str">
        <v/>
      </c>
      <c r="E201" s="21" t="str">
        <v>license / money / credit card</v>
      </c>
      <c r="F201" s="17" t="str">
        <v/>
      </c>
      <c r="G201" s="148" t="str">
        <v/>
      </c>
      <c r="H201" s="143" t="str">
        <v/>
      </c>
      <c r="I201" s="148" t="str">
        <v/>
      </c>
      <c r="J201" s="143">
        <v>0</v>
      </c>
      <c r="K201" s="143">
        <v>0</v>
      </c>
    </row>
    <row r="202" spans="1:11" x14ac:dyDescent="0.25">
      <c r="A202" s="141">
        <v>0</v>
      </c>
      <c r="B202" s="141" t="str">
        <v>x</v>
      </c>
      <c r="C202" s="17">
        <v>0</v>
      </c>
      <c r="D202" s="32" t="str">
        <v/>
      </c>
      <c r="E202" s="21" t="str">
        <v>bandana</v>
      </c>
      <c r="F202" s="17" t="str">
        <v/>
      </c>
      <c r="G202" s="148" t="str">
        <v/>
      </c>
      <c r="H202" s="143" t="str">
        <v/>
      </c>
      <c r="I202" s="148" t="str">
        <v/>
      </c>
      <c r="J202" s="143">
        <v>0</v>
      </c>
      <c r="K202" s="143">
        <v>0</v>
      </c>
    </row>
    <row r="203" spans="1:11" x14ac:dyDescent="0.25">
      <c r="A203" s="141">
        <v>0</v>
      </c>
      <c r="B203" s="141" t="str">
        <v>x</v>
      </c>
      <c r="C203" s="17">
        <v>0</v>
      </c>
      <c r="D203" s="32" t="str">
        <v/>
      </c>
      <c r="E203" s="21" t="str">
        <v>belt</v>
      </c>
      <c r="F203" s="17" t="str">
        <v/>
      </c>
      <c r="G203" s="148" t="str">
        <v/>
      </c>
      <c r="H203" s="143" t="str">
        <v/>
      </c>
      <c r="I203" s="148" t="str">
        <v/>
      </c>
      <c r="J203" s="143">
        <v>0</v>
      </c>
      <c r="K203" s="143">
        <v>0</v>
      </c>
    </row>
    <row r="204" spans="1:11" x14ac:dyDescent="0.25">
      <c r="A204" s="141">
        <v>0</v>
      </c>
      <c r="B204" s="141" t="str">
        <v>x</v>
      </c>
      <c r="C204" s="17">
        <v>0</v>
      </c>
      <c r="D204" s="32" t="str">
        <v/>
      </c>
      <c r="E204" s="21" t="str">
        <v>suspenders</v>
      </c>
      <c r="F204" s="17" t="str">
        <v/>
      </c>
      <c r="G204" s="148" t="str">
        <v/>
      </c>
      <c r="H204" s="143" t="str">
        <v/>
      </c>
      <c r="I204" s="148" t="str">
        <v/>
      </c>
      <c r="J204" s="143">
        <v>0</v>
      </c>
      <c r="K204" s="143">
        <v>0</v>
      </c>
    </row>
    <row r="205" spans="1:11" x14ac:dyDescent="0.25">
      <c r="A205" s="141" t="str">
        <v/>
      </c>
      <c r="B205" s="141" t="str">
        <v/>
      </c>
      <c r="C205" s="17" t="str">
        <v/>
      </c>
      <c r="D205" s="32" t="str">
        <v/>
      </c>
      <c r="E205" s="21" t="str">
        <v/>
      </c>
      <c r="F205" s="17" t="str">
        <v/>
      </c>
      <c r="G205" s="148" t="str">
        <v/>
      </c>
      <c r="H205" s="143" t="str">
        <v/>
      </c>
      <c r="I205" s="148" t="str">
        <v/>
      </c>
      <c r="J205" s="143" t="str">
        <v/>
      </c>
      <c r="K205" s="143" t="str">
        <v/>
      </c>
    </row>
    <row r="211" spans="2:7" ht="15.75" thickBot="1" x14ac:dyDescent="0.3">
      <c r="B211" s="158" t="s">
        <v>261</v>
      </c>
      <c r="C211" s="49"/>
      <c r="D211" s="19"/>
      <c r="F211" s="21"/>
      <c r="G211" s="21"/>
    </row>
    <row r="212" spans="2:7" ht="15.75" thickBot="1" x14ac:dyDescent="0.3">
      <c r="B212" s="144"/>
      <c r="C212" s="170">
        <f>SUM(F7:F180)</f>
        <v>8464</v>
      </c>
      <c r="D212" s="171">
        <f>IF(ISBLANK(C212),"", C212/$D$214)</f>
        <v>298.55905747896787</v>
      </c>
      <c r="E212" s="172" t="s">
        <v>166</v>
      </c>
      <c r="F212" s="165" t="s">
        <v>165</v>
      </c>
      <c r="G212" s="166" t="s">
        <v>1</v>
      </c>
    </row>
    <row r="213" spans="2:7" ht="15.75" thickBot="1" x14ac:dyDescent="0.3">
      <c r="B213" s="144"/>
      <c r="C213" s="65"/>
      <c r="D213" s="169">
        <f>C212</f>
        <v>8464</v>
      </c>
      <c r="E213" s="169" t="s">
        <v>27</v>
      </c>
      <c r="F213" s="4">
        <f>TRUNC(D213/D214/16)</f>
        <v>18</v>
      </c>
      <c r="G213" s="122">
        <f>(D213/D214/16-TRUNC(D213/D214/16))*16</f>
        <v>10.559057478967873</v>
      </c>
    </row>
    <row r="214" spans="2:7" ht="15.75" thickBot="1" x14ac:dyDescent="0.3">
      <c r="B214" s="144"/>
      <c r="C214" s="65"/>
      <c r="D214" s="9">
        <v>28.349499999999999</v>
      </c>
      <c r="E214" s="5" t="s">
        <v>31</v>
      </c>
      <c r="F214" s="55">
        <v>7</v>
      </c>
      <c r="G214" s="167">
        <v>8</v>
      </c>
    </row>
    <row r="215" spans="2:7" ht="15.75" thickBot="1" x14ac:dyDescent="0.3">
      <c r="B215" s="144"/>
      <c r="C215" s="65"/>
      <c r="D215" s="9">
        <v>3.5274E-2</v>
      </c>
      <c r="E215" s="5" t="s">
        <v>35</v>
      </c>
      <c r="F215" s="20">
        <v>4</v>
      </c>
      <c r="G215" s="168"/>
    </row>
    <row r="216" spans="2:7" ht="15.75" thickBot="1" x14ac:dyDescent="0.3">
      <c r="B216" s="144"/>
      <c r="C216" s="65"/>
      <c r="D216" s="18"/>
      <c r="E216" s="1" t="s">
        <v>36</v>
      </c>
      <c r="F216" s="4">
        <f>SUM(F213:F215)</f>
        <v>29</v>
      </c>
      <c r="G216" s="122">
        <f>SUM(G213:G215)</f>
        <v>18.559057478967873</v>
      </c>
    </row>
    <row r="217" spans="2:7" x14ac:dyDescent="0.25">
      <c r="B217" s="144"/>
      <c r="C217" s="65"/>
      <c r="D217" s="18"/>
      <c r="E217" s="11" t="s">
        <v>33</v>
      </c>
      <c r="F217" s="18"/>
      <c r="G217" s="18"/>
    </row>
  </sheetData>
  <conditionalFormatting sqref="B3:B215">
    <cfRule type="expression" dxfId="49" priority="7">
      <formula>AND(#REF!="x",AND(COUNTBLANK(#REF!)=0,#REF!=0))</formula>
    </cfRule>
  </conditionalFormatting>
  <conditionalFormatting sqref="C3:C215">
    <cfRule type="expression" dxfId="48" priority="6">
      <formula>AND(COUNTBLANK($C3)=0,$C3=0)</formula>
    </cfRule>
  </conditionalFormatting>
  <conditionalFormatting sqref="E3:E215">
    <cfRule type="expression" dxfId="47" priority="5">
      <formula>$D3=" "</formula>
    </cfRule>
  </conditionalFormatting>
  <conditionalFormatting sqref="E3:E225">
    <cfRule type="containsText" dxfId="46" priority="2" operator="containsText" text="~*">
      <formula>NOT(ISERROR(SEARCH("~*",E3)))</formula>
    </cfRule>
  </conditionalFormatting>
  <hyperlinks>
    <hyperlink ref="L3" location="Pack!A1" display="Go" xr:uid="{F32C23B2-BDA4-4AD2-B6D0-F72E7D99AE32}"/>
    <hyperlink ref="L15" location="Shelter!A1" display="Shelter" xr:uid="{309853E4-AF1B-490F-B9AE-19F0BF9704E7}"/>
    <hyperlink ref="L41" location="SleepingGear!A1" display="SleepingGear" xr:uid="{57201976-68CA-4348-81B6-20844EEAD6C7}"/>
    <hyperlink ref="L56" location="SleepingClothes!A1" display="SleepingClothes" xr:uid="{0BB37866-6B66-4785-BC55-500C77B4D4D1}"/>
    <hyperlink ref="L71" location="RainGear!A1" display="RainGear" xr:uid="{06ED4757-3EC4-40BA-9A0A-A7AA67031D7B}"/>
    <hyperlink ref="L80" location="Kitchen!A1" display="Kitchen" xr:uid="{003F3F92-48C2-4EFE-AEAD-F7A03242CEF3}"/>
    <hyperlink ref="L110" location="Hygiene!A1" display="Hygiene" xr:uid="{BB3A77FB-274F-456E-993F-9298570D3556}"/>
    <hyperlink ref="L125" location="Navigation!A1" display="Navigation" xr:uid="{2A230509-9BD1-4D02-861A-A76894F7F956}"/>
    <hyperlink ref="L133" location="FirstAid!A1" display="FirstAid" xr:uid="{41BDE7D8-7FA5-4887-B480-97D72D849C5D}"/>
    <hyperlink ref="L138" location="Repair!A1" display="Repair" xr:uid="{9D0019F7-8BBE-43C2-BCAD-D22FE1D1E107}"/>
    <hyperlink ref="L142" location="Misc!A1" display="Misc" xr:uid="{C5339C21-5A8A-472D-BF9C-251AF1570F45}"/>
    <hyperlink ref="L164" location="ClothingPacked!A1" display="ClothingPacked" xr:uid="{D86AB23F-74D7-4051-ADE0-25AFC99209A7}"/>
    <hyperlink ref="L179" location="Consumables!A1" display="Consumables" xr:uid="{A5EC317D-17B1-4054-A812-D6D6CD9B4A41}"/>
    <hyperlink ref="L188" location="ClothingWorn!A1" display="ClothingWorn" xr:uid="{43829C29-7050-40CB-AAA9-5C50AEAD6DEE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8EC006C3-9CCA-45F6-9B17-32E49798E4A8}">
            <xm:f>NOT(ISERROR(SEARCH("~*~*",E3)))</xm:f>
            <xm:f>"~*~*"</xm:f>
            <x14:dxf>
              <fill>
                <patternFill>
                  <bgColor theme="5" tint="0.79998168889431442"/>
                </patternFill>
              </fill>
            </x14:dxf>
          </x14:cfRule>
          <xm:sqref>E3:E255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D66-1D6B-4A0D-A95E-23D7FB915CA2}">
  <sheetPr codeName="Sheet3"/>
  <dimension ref="A1:J38"/>
  <sheetViews>
    <sheetView workbookViewId="0">
      <selection activeCell="B4" sqref="B4"/>
    </sheetView>
  </sheetViews>
  <sheetFormatPr defaultRowHeight="15" x14ac:dyDescent="0.25"/>
  <cols>
    <col min="1" max="1" width="3.7109375" style="126" bestFit="1" customWidth="1"/>
    <col min="2" max="2" width="31.42578125" bestFit="1" customWidth="1"/>
    <col min="3" max="3" width="3.7109375" bestFit="1" customWidth="1"/>
    <col min="4" max="4" width="27.140625" bestFit="1" customWidth="1"/>
    <col min="5" max="5" width="3.7109375" bestFit="1" customWidth="1"/>
    <col min="6" max="6" width="25.7109375" bestFit="1" customWidth="1"/>
    <col min="7" max="7" width="3.7109375" bestFit="1" customWidth="1"/>
    <col min="8" max="8" width="26.7109375" bestFit="1" customWidth="1"/>
  </cols>
  <sheetData>
    <row r="1" spans="1:10" x14ac:dyDescent="0.25">
      <c r="A1" s="126" t="str">
        <f>IF(ISBLANK(B1),"","¨")</f>
        <v>¨</v>
      </c>
      <c r="B1" s="2" t="str" cm="1">
        <f t="array" ref="B1:B5">_xlfn._xlws.FILTER(Pack!$E$3:$E$46,"x"=Pack!$B$3:$B$46)</f>
        <v>Pack Group</v>
      </c>
      <c r="C1" s="126" t="str">
        <f>IF(ISBLANK(D1),"","¨")</f>
        <v>¨</v>
      </c>
      <c r="D1" s="2" t="str" cm="1">
        <f t="array" ref="D1:D20">_xlfn._xlws.FILTER(Kitchen!$E$3:$E$44,"x"=Kitchen!$B$3:$B$44)</f>
        <v xml:space="preserve">Kitchen Group  </v>
      </c>
      <c r="E1" s="126" t="str">
        <f>IF(ISBLANK(F1),"","¨")</f>
        <v>¨</v>
      </c>
      <c r="F1" s="2" t="str" cm="1">
        <f t="array" ref="F1:F6">_xlfn._xlws.FILTER(Navigation!$E$3:$E$52,"x"=Navigation!$B$3:$B$52)</f>
        <v>Navigation Group</v>
      </c>
      <c r="G1" s="126" t="str">
        <f>IF(ISBLANK(H1),"","¨")</f>
        <v>¨</v>
      </c>
      <c r="H1" s="2" t="str" cm="1">
        <f t="array" ref="H1:H4">_xlfn._xlws.FILTER(Consumables!$E$3:$E$50,"x"=Consumables!$B$3:$B$50)</f>
        <v>Consumables Group</v>
      </c>
      <c r="J1" s="128"/>
    </row>
    <row r="2" spans="1:10" x14ac:dyDescent="0.25">
      <c r="A2" s="126" t="str">
        <f>IF(ISBLANK(B2),"","¨")</f>
        <v>¨</v>
      </c>
      <c r="B2" t="str">
        <v>Blue Pack</v>
      </c>
      <c r="C2" s="126" t="str">
        <f t="shared" ref="C2:C38" si="0">IF(ISBLANK(D2),"","¨")</f>
        <v>¨</v>
      </c>
      <c r="D2" t="str">
        <v>pot .7 gt cup &amp; windscreen</v>
      </c>
      <c r="E2" s="126" t="str">
        <f t="shared" ref="E2:E38" si="1">IF(ISBLANK(F2),"","¨")</f>
        <v>¨</v>
      </c>
      <c r="F2" t="str">
        <v>Maps</v>
      </c>
      <c r="G2" s="126" t="str">
        <f t="shared" ref="G2:G38" si="2">IF(ISBLANK(H2),"","¨")</f>
        <v>¨</v>
      </c>
      <c r="H2" t="str">
        <v>Medication</v>
      </c>
    </row>
    <row r="3" spans="1:10" x14ac:dyDescent="0.25">
      <c r="A3" s="126" t="str">
        <f t="shared" ref="A3:A38" si="3">IF(ISBLANK(B3),"","¨")</f>
        <v>¨</v>
      </c>
      <c r="B3" t="str">
        <v>Pack hip pockets</v>
      </c>
      <c r="C3" s="126" t="str">
        <f t="shared" si="0"/>
        <v>¨</v>
      </c>
      <c r="D3" t="str">
        <v>IsoPro Stove w/ ignitor</v>
      </c>
      <c r="E3" s="126" t="str">
        <f t="shared" si="1"/>
        <v>¨</v>
      </c>
      <c r="F3" t="str">
        <v>Compass</v>
      </c>
      <c r="G3" s="126" t="str">
        <f t="shared" si="2"/>
        <v>¨</v>
      </c>
      <c r="H3" t="str">
        <v>24-32 ounces food per day</v>
      </c>
    </row>
    <row r="4" spans="1:10" x14ac:dyDescent="0.25">
      <c r="A4" s="126" t="str">
        <f t="shared" si="3"/>
        <v>¨</v>
      </c>
      <c r="B4" t="str">
        <v>Pack Liner/Garbage bag</v>
      </c>
      <c r="C4" s="126" t="str">
        <f t="shared" si="0"/>
        <v>¨</v>
      </c>
      <c r="D4" t="str">
        <v>IsoPro canister 8oz</v>
      </c>
      <c r="E4" s="126" t="str">
        <f t="shared" si="1"/>
        <v>¨</v>
      </c>
      <c r="F4" t="str">
        <v>Trail details</v>
      </c>
      <c r="G4" s="126" t="str">
        <f t="shared" si="2"/>
        <v>¨</v>
      </c>
      <c r="H4" t="str">
        <v>64 ounces water</v>
      </c>
    </row>
    <row r="5" spans="1:10" x14ac:dyDescent="0.25">
      <c r="A5" s="126" t="str">
        <f t="shared" si="3"/>
        <v>¨</v>
      </c>
      <c r="B5" t="str">
        <v>Orange Pack Cover</v>
      </c>
      <c r="C5" s="126" t="str">
        <f t="shared" si="0"/>
        <v>¨</v>
      </c>
      <c r="D5" t="str">
        <v>IsoPro canister stand</v>
      </c>
      <c r="E5" s="126" t="str">
        <f t="shared" si="1"/>
        <v>¨</v>
      </c>
      <c r="F5" t="str">
        <v>pen / pencil</v>
      </c>
      <c r="G5" s="126" t="str">
        <f t="shared" si="2"/>
        <v/>
      </c>
    </row>
    <row r="6" spans="1:10" x14ac:dyDescent="0.25">
      <c r="A6" s="126" t="str">
        <f t="shared" si="3"/>
        <v/>
      </c>
      <c r="C6" s="126" t="str">
        <f t="shared" si="0"/>
        <v>¨</v>
      </c>
      <c r="D6" t="str">
        <v>cozy for freezer bag meals</v>
      </c>
      <c r="E6" s="126" t="str">
        <f t="shared" si="1"/>
        <v>¨</v>
      </c>
      <c r="F6" t="str">
        <v>notepad / journal</v>
      </c>
      <c r="G6" s="126" t="str">
        <f t="shared" si="2"/>
        <v/>
      </c>
    </row>
    <row r="7" spans="1:10" x14ac:dyDescent="0.25">
      <c r="A7" s="126" t="str">
        <f t="shared" si="3"/>
        <v/>
      </c>
      <c r="C7" s="126" t="str">
        <f t="shared" si="0"/>
        <v>¨</v>
      </c>
      <c r="D7" t="str">
        <v>lighter</v>
      </c>
      <c r="E7" s="126" t="str">
        <f t="shared" si="1"/>
        <v/>
      </c>
      <c r="G7" s="126" t="str">
        <f t="shared" si="2"/>
        <v>¨</v>
      </c>
      <c r="H7" s="2" t="str" cm="1">
        <f t="array" ref="H7:H23">_xlfn._xlws.FILTER(ClothingWorn!$E$3:$E$40,"x"=ClothingWorn!$B$3:$B$40)</f>
        <v>Clothing Worn Group</v>
      </c>
    </row>
    <row r="8" spans="1:10" x14ac:dyDescent="0.25">
      <c r="A8" s="126" t="str">
        <f t="shared" si="3"/>
        <v>¨</v>
      </c>
      <c r="B8" s="2" t="str" cm="1">
        <f t="array" ref="B8:B16">_xlfn._xlws.FILTER(Shelter!$E$3:$E$42,"x"=Shelter!$B$3:$B$42)</f>
        <v>Shelter Group</v>
      </c>
      <c r="C8" s="126" t="str">
        <f t="shared" si="0"/>
        <v>¨</v>
      </c>
      <c r="D8" t="str">
        <v>spork short</v>
      </c>
      <c r="E8" s="126" t="str">
        <f t="shared" si="1"/>
        <v/>
      </c>
      <c r="G8" s="126" t="str">
        <f t="shared" si="2"/>
        <v>¨</v>
      </c>
      <c r="H8" t="str">
        <v>trekking poles</v>
      </c>
    </row>
    <row r="9" spans="1:10" x14ac:dyDescent="0.25">
      <c r="A9" s="126" t="str">
        <f t="shared" si="3"/>
        <v>¨</v>
      </c>
      <c r="B9" t="str">
        <v>Bridge Hammock; 1.2 Hexon Olive</v>
      </c>
      <c r="C9" s="126" t="str">
        <f t="shared" si="0"/>
        <v>¨</v>
      </c>
      <c r="D9" t="str">
        <v>spoon long</v>
      </c>
      <c r="E9" s="126" t="str">
        <f t="shared" si="1"/>
        <v>¨</v>
      </c>
      <c r="F9" s="2" t="str" cm="1">
        <f t="array" ref="F9:F10">_xlfn._xlws.FILTER(FirstAid!$E$3:$E$54,"x"=FirstAid!$B$3:$B$54)</f>
        <v>First Aid Group</v>
      </c>
      <c r="G9" s="126" t="str">
        <f t="shared" si="2"/>
        <v>¨</v>
      </c>
      <c r="H9" t="str">
        <v>hiking boots</v>
      </c>
    </row>
    <row r="10" spans="1:10" x14ac:dyDescent="0.25">
      <c r="A10" s="126" t="str">
        <f t="shared" si="3"/>
        <v>¨</v>
      </c>
      <c r="B10" t="str">
        <v>Spreader Bars 28"</v>
      </c>
      <c r="C10" s="126" t="str">
        <f t="shared" si="0"/>
        <v>¨</v>
      </c>
      <c r="D10" t="str">
        <v>water bottles collapsable</v>
      </c>
      <c r="E10" s="126" t="str">
        <f t="shared" si="1"/>
        <v>¨</v>
      </c>
      <c r="F10" t="str">
        <v>First aid kit</v>
      </c>
      <c r="G10" s="126" t="str">
        <f t="shared" si="2"/>
        <v>¨</v>
      </c>
      <c r="H10" t="str">
        <v>liner socks</v>
      </c>
    </row>
    <row r="11" spans="1:10" x14ac:dyDescent="0.25">
      <c r="A11" s="126" t="str">
        <f t="shared" si="3"/>
        <v>¨</v>
      </c>
      <c r="B11" t="str">
        <v>Tree straps spider poly</v>
      </c>
      <c r="C11" s="126" t="str">
        <f t="shared" si="0"/>
        <v>¨</v>
      </c>
      <c r="D11" t="str">
        <v>smart water bottles</v>
      </c>
      <c r="E11" s="126" t="str">
        <f t="shared" si="1"/>
        <v/>
      </c>
      <c r="G11" s="126" t="str">
        <f t="shared" si="2"/>
        <v>¨</v>
      </c>
      <c r="H11" t="str">
        <v>wool socks</v>
      </c>
    </row>
    <row r="12" spans="1:10" x14ac:dyDescent="0.25">
      <c r="A12" s="126" t="str">
        <f t="shared" si="3"/>
        <v>¨</v>
      </c>
      <c r="B12" t="str">
        <v>UCR</v>
      </c>
      <c r="C12" s="126" t="str">
        <f t="shared" si="0"/>
        <v>¨</v>
      </c>
      <c r="D12" t="str">
        <v>Water Filter Kit</v>
      </c>
      <c r="E12" s="126" t="str">
        <f t="shared" si="1"/>
        <v/>
      </c>
      <c r="G12" s="126" t="str">
        <f t="shared" si="2"/>
        <v>¨</v>
      </c>
      <c r="H12" t="str">
        <v>gators</v>
      </c>
    </row>
    <row r="13" spans="1:10" x14ac:dyDescent="0.25">
      <c r="A13" s="126" t="str">
        <f t="shared" si="3"/>
        <v>¨</v>
      </c>
      <c r="B13" t="str">
        <v>Tarp Forest green &amp; lines</v>
      </c>
      <c r="C13" s="126" t="str">
        <f t="shared" si="0"/>
        <v>¨</v>
      </c>
      <c r="D13" t="str">
        <v xml:space="preserve">  --Filter  (New: Versa Filter)</v>
      </c>
      <c r="E13" s="126" t="str">
        <f t="shared" si="1"/>
        <v>¨</v>
      </c>
      <c r="F13" s="2" t="str" cm="1">
        <f t="array" ref="F13:F16">_xlfn._xlws.FILTER(Repair!$E$3:$E$54,"x"=Repair!$B$3:$B$54)</f>
        <v>Repair Group</v>
      </c>
      <c r="G13" s="126" t="str">
        <f t="shared" si="2"/>
        <v>¨</v>
      </c>
      <c r="H13" t="str">
        <v>tech shirt</v>
      </c>
    </row>
    <row r="14" spans="1:10" x14ac:dyDescent="0.25">
      <c r="A14" s="126" t="str">
        <f t="shared" si="3"/>
        <v>¨</v>
      </c>
      <c r="B14" t="str">
        <v>stakes AL red</v>
      </c>
      <c r="C14" s="126" t="str">
        <f t="shared" si="0"/>
        <v>¨</v>
      </c>
      <c r="D14" t="str">
        <v xml:space="preserve">   --CNOC 3 liter</v>
      </c>
      <c r="E14" s="126" t="str">
        <f t="shared" si="1"/>
        <v>¨</v>
      </c>
      <c r="F14" t="str">
        <v>Tenacious tape</v>
      </c>
      <c r="G14" s="126" t="str">
        <f t="shared" si="2"/>
        <v>¨</v>
      </c>
      <c r="H14" t="str">
        <v>underwear</v>
      </c>
    </row>
    <row r="15" spans="1:10" x14ac:dyDescent="0.25">
      <c r="A15" s="126" t="str">
        <f t="shared" si="3"/>
        <v>¨</v>
      </c>
      <c r="B15" t="str">
        <v>Tyvek 4x3</v>
      </c>
      <c r="C15" s="126" t="str">
        <f t="shared" si="0"/>
        <v>¨</v>
      </c>
      <c r="D15" t="str">
        <v xml:space="preserve">  --tubing</v>
      </c>
      <c r="E15" s="126" t="str">
        <f t="shared" si="1"/>
        <v>¨</v>
      </c>
      <c r="F15" t="str">
        <v>Duct tape on trekking poles</v>
      </c>
      <c r="G15" s="126" t="str">
        <f t="shared" si="2"/>
        <v>¨</v>
      </c>
      <c r="H15" t="str">
        <v>Kilt / Zip-offs</v>
      </c>
    </row>
    <row r="16" spans="1:10" x14ac:dyDescent="0.25">
      <c r="A16" s="126" t="str">
        <f t="shared" si="3"/>
        <v>¨</v>
      </c>
      <c r="B16" t="str">
        <v>Mylar blanket</v>
      </c>
      <c r="C16" s="126" t="str">
        <f t="shared" si="0"/>
        <v>¨</v>
      </c>
      <c r="D16" t="str">
        <v xml:space="preserve">  --sawyer squeze</v>
      </c>
      <c r="E16" s="126" t="str">
        <f t="shared" si="1"/>
        <v>¨</v>
      </c>
      <c r="F16" t="str">
        <v>extra buckle</v>
      </c>
      <c r="G16" s="126" t="str">
        <f t="shared" si="2"/>
        <v>¨</v>
      </c>
      <c r="H16" t="str">
        <v>runners cap</v>
      </c>
    </row>
    <row r="17" spans="1:8" x14ac:dyDescent="0.25">
      <c r="A17" s="126" t="str">
        <f t="shared" si="3"/>
        <v/>
      </c>
      <c r="C17" s="126" t="str">
        <f t="shared" si="0"/>
        <v>¨</v>
      </c>
      <c r="D17" t="str">
        <v xml:space="preserve">  --bleach/polar pure/ tablets</v>
      </c>
      <c r="E17" s="126" t="str">
        <f t="shared" si="1"/>
        <v/>
      </c>
      <c r="G17" s="126" t="str">
        <f t="shared" si="2"/>
        <v>¨</v>
      </c>
      <c r="H17" t="str">
        <v>pocket knife</v>
      </c>
    </row>
    <row r="18" spans="1:8" x14ac:dyDescent="0.25">
      <c r="A18" s="126" t="str">
        <f t="shared" si="3"/>
        <v/>
      </c>
      <c r="C18" s="126" t="str">
        <f t="shared" si="0"/>
        <v>¨</v>
      </c>
      <c r="D18" t="str">
        <v>food bag Blue</v>
      </c>
      <c r="E18" s="126" t="str">
        <f t="shared" si="1"/>
        <v/>
      </c>
      <c r="G18" s="126" t="str">
        <f t="shared" si="2"/>
        <v>¨</v>
      </c>
      <c r="H18" t="str">
        <v>lip balm</v>
      </c>
    </row>
    <row r="19" spans="1:8" x14ac:dyDescent="0.25">
      <c r="A19" s="126" t="str">
        <f t="shared" si="3"/>
        <v>¨</v>
      </c>
      <c r="B19" s="2" t="str" cm="1">
        <f t="array" ref="B19:B23">_xlfn._xlws.FILTER(SleepingGear!$E$3:$E$43,"x"=SleepingGear!$B$3:$B$43)</f>
        <v>Sleeping Group</v>
      </c>
      <c r="C19" s="126" t="str">
        <f t="shared" si="0"/>
        <v>¨</v>
      </c>
      <c r="D19" t="str">
        <v>bear bag and rope</v>
      </c>
      <c r="E19" s="126" t="str">
        <f t="shared" si="1"/>
        <v>¨</v>
      </c>
      <c r="F19" s="2" t="str" cm="1">
        <f t="array" ref="F19:F25">_xlfn._xlws.FILTER(Misc!$E$3:$E$47,"x"=Misc!$B$3:$B$47)</f>
        <v>Misc Group</v>
      </c>
      <c r="G19" s="126" t="str">
        <f t="shared" si="2"/>
        <v>¨</v>
      </c>
      <c r="H19" t="str">
        <v>phone (in zip-loc)</v>
      </c>
    </row>
    <row r="20" spans="1:8" x14ac:dyDescent="0.25">
      <c r="A20" s="126" t="str">
        <f t="shared" si="3"/>
        <v>¨</v>
      </c>
      <c r="B20" t="str">
        <v>15° sleeping bag - Katahdin</v>
      </c>
      <c r="C20" s="126" t="str">
        <f t="shared" si="0"/>
        <v>¨</v>
      </c>
      <c r="D20" t="str">
        <v>red bandana</v>
      </c>
      <c r="E20" s="126" t="str">
        <f t="shared" si="1"/>
        <v>¨</v>
      </c>
      <c r="F20" t="str">
        <v>phone battery 4,000mAh</v>
      </c>
      <c r="G20" s="126" t="str">
        <f t="shared" si="2"/>
        <v>¨</v>
      </c>
      <c r="H20" t="str">
        <v>license / money / credit card</v>
      </c>
    </row>
    <row r="21" spans="1:8" x14ac:dyDescent="0.25">
      <c r="A21" s="126" t="str">
        <f t="shared" si="3"/>
        <v>¨</v>
      </c>
      <c r="B21" t="str">
        <v>sleeping bag liner blue</v>
      </c>
      <c r="C21" s="126" t="str">
        <f t="shared" si="0"/>
        <v/>
      </c>
      <c r="E21" s="126" t="str">
        <f t="shared" si="1"/>
        <v>¨</v>
      </c>
      <c r="F21" t="str">
        <v>head lamp</v>
      </c>
      <c r="G21" s="126" t="str">
        <f t="shared" si="2"/>
        <v>¨</v>
      </c>
      <c r="H21" t="str">
        <v>bandana</v>
      </c>
    </row>
    <row r="22" spans="1:8" x14ac:dyDescent="0.25">
      <c r="A22" s="126" t="str">
        <f t="shared" si="3"/>
        <v>¨</v>
      </c>
      <c r="B22" t="str">
        <v>pillow black (Outdoor Vitals)</v>
      </c>
      <c r="C22" s="126" t="str">
        <f t="shared" si="0"/>
        <v/>
      </c>
      <c r="E22" s="126" t="str">
        <f t="shared" si="1"/>
        <v>¨</v>
      </c>
      <c r="F22" t="str">
        <v>spare batteries 3 AAA</v>
      </c>
      <c r="G22" s="126" t="str">
        <f t="shared" si="2"/>
        <v>¨</v>
      </c>
      <c r="H22" t="str">
        <v>belt</v>
      </c>
    </row>
    <row r="23" spans="1:8" x14ac:dyDescent="0.25">
      <c r="A23" s="126" t="str">
        <f t="shared" si="3"/>
        <v>¨</v>
      </c>
      <c r="B23" t="str">
        <v>Under Quilt</v>
      </c>
      <c r="C23" s="126" t="str">
        <f t="shared" si="0"/>
        <v>¨</v>
      </c>
      <c r="D23" s="2" t="str" cm="1">
        <f t="array" ref="D23:D33">_xlfn._xlws.FILTER(Hygiene!$E$3:$E$44,"x"=Hygiene!$B$3:$B$44)</f>
        <v>Hygiene Group</v>
      </c>
      <c r="E23" s="126" t="str">
        <f t="shared" si="1"/>
        <v>¨</v>
      </c>
      <c r="F23" t="str">
        <v>rope pieces</v>
      </c>
      <c r="G23" s="126" t="str">
        <f t="shared" si="2"/>
        <v>¨</v>
      </c>
      <c r="H23" t="str">
        <v>suspenders</v>
      </c>
    </row>
    <row r="24" spans="1:8" x14ac:dyDescent="0.25">
      <c r="A24" s="126" t="str">
        <f t="shared" si="3"/>
        <v/>
      </c>
      <c r="C24" s="126" t="str">
        <f t="shared" si="0"/>
        <v>¨</v>
      </c>
      <c r="D24" t="str">
        <v>Bathroom kit</v>
      </c>
      <c r="E24" s="126" t="str">
        <f t="shared" si="1"/>
        <v>¨</v>
      </c>
      <c r="F24" t="str">
        <v>eye glass case - soft</v>
      </c>
      <c r="G24" s="126" t="str">
        <f t="shared" si="2"/>
        <v/>
      </c>
    </row>
    <row r="25" spans="1:8" x14ac:dyDescent="0.25">
      <c r="A25" s="126" t="str">
        <f t="shared" si="3"/>
        <v/>
      </c>
      <c r="C25" s="126" t="str">
        <f t="shared" si="0"/>
        <v>¨</v>
      </c>
      <c r="D25" t="str">
        <v xml:space="preserve">  ---TP</v>
      </c>
      <c r="E25" s="126" t="str">
        <f t="shared" si="1"/>
        <v>¨</v>
      </c>
      <c r="F25" t="str">
        <v>foam pad 12 x 18</v>
      </c>
      <c r="G25" s="126" t="str">
        <f t="shared" si="2"/>
        <v/>
      </c>
    </row>
    <row r="26" spans="1:8" x14ac:dyDescent="0.25">
      <c r="A26" s="126" t="str">
        <f t="shared" si="3"/>
        <v>¨</v>
      </c>
      <c r="B26" s="2" t="str" cm="1">
        <f t="array" ref="B26:B34">_xlfn._xlws.FILTER(SleepingClothes!$E$3:$E$43,"x"=SleepingClothes!$B$3:$B$43)</f>
        <v>Sleeping Clothes Group</v>
      </c>
      <c r="C26" s="126" t="str">
        <f t="shared" si="0"/>
        <v>¨</v>
      </c>
      <c r="D26" t="str">
        <v xml:space="preserve">  ---wet wipes</v>
      </c>
      <c r="E26" s="126" t="str">
        <f t="shared" si="1"/>
        <v/>
      </c>
      <c r="G26" s="126" t="str">
        <f t="shared" si="2"/>
        <v/>
      </c>
    </row>
    <row r="27" spans="1:8" x14ac:dyDescent="0.25">
      <c r="A27" s="126" t="str">
        <f t="shared" si="3"/>
        <v>¨</v>
      </c>
      <c r="B27" t="str">
        <v>Down booties</v>
      </c>
      <c r="C27" s="126" t="str">
        <f t="shared" si="0"/>
        <v>¨</v>
      </c>
      <c r="D27" t="str">
        <v xml:space="preserve">  --- hand sanitizer</v>
      </c>
      <c r="E27" s="126" t="str">
        <f t="shared" si="1"/>
        <v/>
      </c>
      <c r="G27" s="126" t="str">
        <f t="shared" si="2"/>
        <v/>
      </c>
    </row>
    <row r="28" spans="1:8" x14ac:dyDescent="0.25">
      <c r="A28" s="126" t="str">
        <f t="shared" si="3"/>
        <v>¨</v>
      </c>
      <c r="B28" t="str">
        <v>Fleece hat</v>
      </c>
      <c r="C28" s="126" t="str">
        <f t="shared" si="0"/>
        <v>¨</v>
      </c>
      <c r="D28" t="str">
        <v xml:space="preserve">  ---Gold Bond</v>
      </c>
      <c r="E28" s="126" t="str">
        <f t="shared" si="1"/>
        <v>¨</v>
      </c>
      <c r="F28" s="2" t="str" cm="1">
        <f t="array" ref="F28:F36">_xlfn._xlws.FILTER(ClothingPacked!$E$3:$E$44,"x"=ClothingPacked!$B$3:$B$44)</f>
        <v>Clothing in Pack Group</v>
      </c>
      <c r="G28" s="126" t="str">
        <f t="shared" si="2"/>
        <v/>
      </c>
    </row>
    <row r="29" spans="1:8" x14ac:dyDescent="0.25">
      <c r="A29" s="126" t="str">
        <f t="shared" si="3"/>
        <v>¨</v>
      </c>
      <c r="B29" t="str">
        <v>long sleeve shirt</v>
      </c>
      <c r="C29" s="126" t="str">
        <f t="shared" si="0"/>
        <v>¨</v>
      </c>
      <c r="D29" t="str">
        <v>Shovel Titanium</v>
      </c>
      <c r="E29" s="126" t="str">
        <f t="shared" si="1"/>
        <v>¨</v>
      </c>
      <c r="F29" t="str">
        <v>puffy</v>
      </c>
      <c r="G29" s="126" t="str">
        <f t="shared" si="2"/>
        <v/>
      </c>
    </row>
    <row r="30" spans="1:8" x14ac:dyDescent="0.25">
      <c r="A30" s="126" t="str">
        <f t="shared" si="3"/>
        <v>¨</v>
      </c>
      <c r="B30" t="str">
        <v>underwear</v>
      </c>
      <c r="C30" s="126" t="str">
        <f t="shared" si="0"/>
        <v>¨</v>
      </c>
      <c r="D30" t="str">
        <v>water jug botom</v>
      </c>
      <c r="E30" s="126" t="str">
        <f t="shared" si="1"/>
        <v>¨</v>
      </c>
      <c r="F30" t="str">
        <v>gloves/mittens</v>
      </c>
      <c r="G30" s="126" t="str">
        <f t="shared" si="2"/>
        <v/>
      </c>
    </row>
    <row r="31" spans="1:8" x14ac:dyDescent="0.25">
      <c r="A31" s="126" t="str">
        <f t="shared" si="3"/>
        <v>¨</v>
      </c>
      <c r="B31" t="str">
        <v>Wool socks</v>
      </c>
      <c r="C31" s="126" t="str">
        <f t="shared" si="0"/>
        <v>¨</v>
      </c>
      <c r="D31" t="str">
        <v>tooth brush</v>
      </c>
      <c r="E31" s="126" t="str">
        <f t="shared" si="1"/>
        <v>¨</v>
      </c>
      <c r="F31" t="str">
        <v>Liner socks</v>
      </c>
      <c r="G31" s="126" t="str">
        <f t="shared" si="2"/>
        <v/>
      </c>
    </row>
    <row r="32" spans="1:8" x14ac:dyDescent="0.25">
      <c r="A32" s="126" t="str">
        <f t="shared" si="3"/>
        <v>¨</v>
      </c>
      <c r="B32" t="str">
        <v>Liner socks</v>
      </c>
      <c r="C32" s="126" t="str">
        <f t="shared" si="0"/>
        <v>¨</v>
      </c>
      <c r="D32" t="str">
        <v>tooth  dots / paste</v>
      </c>
      <c r="E32" s="126" t="str">
        <f t="shared" si="1"/>
        <v>¨</v>
      </c>
      <c r="F32" t="str">
        <v>Wool socks</v>
      </c>
      <c r="G32" s="126" t="str">
        <f t="shared" si="2"/>
        <v/>
      </c>
    </row>
    <row r="33" spans="1:7" x14ac:dyDescent="0.25">
      <c r="A33" s="126" t="str">
        <f t="shared" si="3"/>
        <v>¨</v>
      </c>
      <c r="B33" t="str">
        <v>running tights *</v>
      </c>
      <c r="C33" s="126" t="str">
        <f t="shared" si="0"/>
        <v>¨</v>
      </c>
      <c r="D33" t="str">
        <v>hand sanitizer on pack</v>
      </c>
      <c r="E33" s="126" t="str">
        <f t="shared" si="1"/>
        <v>¨</v>
      </c>
      <c r="F33" t="str">
        <v xml:space="preserve">long sleeve shirt </v>
      </c>
      <c r="G33" s="126" t="str">
        <f t="shared" si="2"/>
        <v/>
      </c>
    </row>
    <row r="34" spans="1:7" x14ac:dyDescent="0.25">
      <c r="A34" s="126" t="str">
        <f t="shared" si="3"/>
        <v>¨</v>
      </c>
      <c r="B34" t="str">
        <v>camp shoes</v>
      </c>
      <c r="C34" s="126" t="str">
        <f t="shared" si="0"/>
        <v/>
      </c>
      <c r="E34" s="126" t="str">
        <f t="shared" si="1"/>
        <v>¨</v>
      </c>
      <c r="F34" t="str">
        <v>underwear</v>
      </c>
      <c r="G34" s="126" t="str">
        <f t="shared" si="2"/>
        <v/>
      </c>
    </row>
    <row r="35" spans="1:7" x14ac:dyDescent="0.25">
      <c r="A35" s="126" t="str">
        <f t="shared" si="3"/>
        <v/>
      </c>
      <c r="C35" s="126" t="str">
        <f t="shared" si="0"/>
        <v/>
      </c>
      <c r="E35" s="126" t="str">
        <f t="shared" si="1"/>
        <v>¨</v>
      </c>
      <c r="F35" t="str">
        <v>shorts</v>
      </c>
      <c r="G35" s="126" t="str">
        <f t="shared" si="2"/>
        <v/>
      </c>
    </row>
    <row r="36" spans="1:7" x14ac:dyDescent="0.25">
      <c r="A36" s="126" t="str">
        <f t="shared" si="3"/>
        <v>¨</v>
      </c>
      <c r="B36" s="2" t="str" cm="1">
        <f t="array" ref="B36:B38">_xlfn._xlws.FILTER(RainGear!$E$3:$E$48,"x"=RainGear!$B$3:$B$48)</f>
        <v>Rain Gear Group</v>
      </c>
      <c r="C36" s="126" t="str">
        <f t="shared" si="0"/>
        <v/>
      </c>
      <c r="E36" s="126" t="str">
        <f t="shared" si="1"/>
        <v>¨</v>
      </c>
      <c r="F36" t="str">
        <v>zip-offs</v>
      </c>
      <c r="G36" s="126" t="str">
        <f t="shared" si="2"/>
        <v/>
      </c>
    </row>
    <row r="37" spans="1:7" x14ac:dyDescent="0.25">
      <c r="A37" s="126" t="str">
        <f t="shared" si="3"/>
        <v>¨</v>
      </c>
      <c r="B37" t="str">
        <v>Rain jacket white/green</v>
      </c>
      <c r="C37" s="126" t="str">
        <f t="shared" si="0"/>
        <v/>
      </c>
      <c r="E37" s="126" t="str">
        <f t="shared" si="1"/>
        <v/>
      </c>
      <c r="G37" s="126" t="str">
        <f t="shared" si="2"/>
        <v/>
      </c>
    </row>
    <row r="38" spans="1:7" x14ac:dyDescent="0.25">
      <c r="A38" s="126" t="str">
        <f t="shared" si="3"/>
        <v>¨</v>
      </c>
      <c r="B38" t="str">
        <v>Rain pants blue FroggTog</v>
      </c>
      <c r="C38" s="126" t="str">
        <f t="shared" si="0"/>
        <v/>
      </c>
      <c r="E38" s="126" t="str">
        <f t="shared" si="1"/>
        <v/>
      </c>
      <c r="G38" s="126" t="str">
        <f t="shared" si="2"/>
        <v/>
      </c>
    </row>
  </sheetData>
  <pageMargins left="0.45" right="0.45" top="0.5" bottom="0.25" header="0.3" footer="0.3"/>
  <pageSetup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20CA-B567-43D9-93C6-750379447115}">
  <sheetPr codeName="Sheet4">
    <pageSetUpPr fitToPage="1"/>
  </sheetPr>
  <dimension ref="A1:E15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3.7109375" style="113" customWidth="1"/>
    <col min="2" max="2" width="8.42578125" style="8" customWidth="1"/>
    <col min="3" max="3" width="31.42578125" bestFit="1" customWidth="1"/>
    <col min="4" max="4" width="7.140625" customWidth="1"/>
    <col min="5" max="5" width="7.28515625" style="8" customWidth="1"/>
  </cols>
  <sheetData>
    <row r="1" spans="1:5" x14ac:dyDescent="0.25">
      <c r="A1" s="136" t="s">
        <v>270</v>
      </c>
      <c r="B1" s="82" t="str" cm="1">
        <f t="array" ref="B1:E6">_xlfn._xlws.FILTER(_xlfn.CHOOSECOLS( Pack!$D$1:$I$20,1,2,5,6),"x"=Pack!$B$1:$B$20)</f>
        <v>ounces</v>
      </c>
      <c r="C1" s="72" t="str">
        <v>Items</v>
      </c>
      <c r="D1" s="109" t="str">
        <v>lb</v>
      </c>
      <c r="E1" s="82" t="str">
        <v>oz</v>
      </c>
    </row>
    <row r="2" spans="1:5" x14ac:dyDescent="0.25">
      <c r="A2" s="112">
        <f>SUMIF(Pack!B3:B20,"x",Pack!D3:D20)</f>
        <v>56.65002910104235</v>
      </c>
      <c r="B2" s="103" t="str">
        <v xml:space="preserve"> </v>
      </c>
      <c r="C2" s="2" t="str">
        <v>Pack Group</v>
      </c>
      <c r="D2" s="73" t="str">
        <v xml:space="preserve"> </v>
      </c>
      <c r="E2" s="8" t="str">
        <v xml:space="preserve"> </v>
      </c>
    </row>
    <row r="3" spans="1:5" x14ac:dyDescent="0.25">
      <c r="A3" s="113" t="str">
        <f>_xlfn.CONCAT(TEXT(IF(A2="",0,INT(A2/16)),"#0")," lb ",TEXT(IF(A2="",0,MOD(A2,16)),"#0.0")," oz")</f>
        <v>3 lb 8.7 oz</v>
      </c>
      <c r="B3" s="8">
        <v>45.50344803259317</v>
      </c>
      <c r="C3" t="str">
        <v>Blue Pack</v>
      </c>
      <c r="D3" s="73">
        <v>2</v>
      </c>
      <c r="E3" s="8">
        <v>13.50344803259317</v>
      </c>
    </row>
    <row r="4" spans="1:5" x14ac:dyDescent="0.25">
      <c r="B4" s="8">
        <v>0.95239774951939193</v>
      </c>
      <c r="C4" t="str">
        <v>Pack hip pockets</v>
      </c>
      <c r="D4" s="73">
        <v>0</v>
      </c>
      <c r="E4" s="8">
        <v>0.95239774951939193</v>
      </c>
    </row>
    <row r="5" spans="1:5" x14ac:dyDescent="0.25">
      <c r="B5" s="8">
        <v>5.0441806733804828</v>
      </c>
      <c r="C5" t="str">
        <v>Pack Liner/Garbage bag</v>
      </c>
      <c r="D5" s="73">
        <v>0</v>
      </c>
      <c r="E5" s="8">
        <v>5.0441806733804828</v>
      </c>
    </row>
    <row r="6" spans="1:5" x14ac:dyDescent="0.25">
      <c r="B6" s="8">
        <v>5.1500026455493044</v>
      </c>
      <c r="C6" s="8" t="str">
        <v>Orange Pack Cover</v>
      </c>
      <c r="D6" s="73">
        <v>0</v>
      </c>
      <c r="E6" s="8">
        <v>5.1500026455493044</v>
      </c>
    </row>
    <row r="7" spans="1:5" x14ac:dyDescent="0.25">
      <c r="C7" s="8"/>
      <c r="D7" s="73"/>
    </row>
    <row r="8" spans="1:5" x14ac:dyDescent="0.25">
      <c r="A8" s="112"/>
      <c r="D8" s="73"/>
    </row>
    <row r="9" spans="1:5" x14ac:dyDescent="0.25">
      <c r="A9" s="112">
        <f>SUMIF(Shelter!B3:B40,"x",Shelter!D3:D40)</f>
        <v>43.245912626324973</v>
      </c>
      <c r="B9" s="8" t="str" cm="1">
        <f t="array" ref="B9:E17">_xlfn._xlws.FILTER(_xlfn.CHOOSECOLS( Shelter!$D$1:$I$40,1,2,5,6),"x"=Shelter!$B$1:$B$40)</f>
        <v xml:space="preserve"> </v>
      </c>
      <c r="C9" s="2" t="str">
        <v>Shelter Group</v>
      </c>
      <c r="D9" s="73" t="str">
        <v xml:space="preserve"> </v>
      </c>
      <c r="E9" s="8" t="str">
        <v xml:space="preserve"> </v>
      </c>
    </row>
    <row r="10" spans="1:5" x14ac:dyDescent="0.25">
      <c r="A10" s="113" t="str">
        <f>_xlfn.CONCAT(TEXT(IF(A9="",0,INT(A9/16)),"#0")," lb ",TEXT(IF(A9="",0,MOD(A9,16)),"#0.0")," oz")</f>
        <v>2 lb 11.2 oz</v>
      </c>
      <c r="B10" s="8">
        <v>8.2188398384451222</v>
      </c>
      <c r="C10" t="str">
        <v>Bridge Hammock; 1.2 Hexon Olive</v>
      </c>
      <c r="D10" s="73">
        <v>0</v>
      </c>
      <c r="E10" s="8">
        <v>8.2188398384451222</v>
      </c>
    </row>
    <row r="11" spans="1:5" x14ac:dyDescent="0.25">
      <c r="B11" s="8">
        <v>7.3017160796486715</v>
      </c>
      <c r="C11" t="str">
        <v>Spreader Bars 28"</v>
      </c>
      <c r="D11" s="73">
        <v>0</v>
      </c>
      <c r="E11" s="8">
        <v>7.3017160796486715</v>
      </c>
    </row>
    <row r="12" spans="1:5" x14ac:dyDescent="0.25">
      <c r="B12" s="8">
        <v>2.8924672392811162</v>
      </c>
      <c r="C12" t="str">
        <v>Tree straps spider poly</v>
      </c>
      <c r="D12" s="73">
        <v>0</v>
      </c>
      <c r="E12" s="8">
        <v>2.8924672392811162</v>
      </c>
    </row>
    <row r="13" spans="1:5" x14ac:dyDescent="0.25">
      <c r="B13" s="8">
        <v>1.4109596289176176</v>
      </c>
      <c r="C13" t="str">
        <v>UCR</v>
      </c>
      <c r="D13" s="73">
        <v>0</v>
      </c>
      <c r="E13" s="8">
        <v>1.4109596289176176</v>
      </c>
    </row>
    <row r="14" spans="1:5" x14ac:dyDescent="0.25">
      <c r="B14" s="8">
        <v>16.71987160267377</v>
      </c>
      <c r="C14" t="str">
        <v>Tarp Forest green &amp; lines</v>
      </c>
      <c r="D14" s="73">
        <v>1</v>
      </c>
      <c r="E14" s="8">
        <v>0.71987160267376993</v>
      </c>
    </row>
    <row r="15" spans="1:5" x14ac:dyDescent="0.25">
      <c r="B15" s="8">
        <v>2.8219192578352352</v>
      </c>
      <c r="C15" t="str">
        <v>stakes AL red</v>
      </c>
      <c r="D15" s="73">
        <v>0</v>
      </c>
      <c r="E15" s="8">
        <v>2.8219192578352352</v>
      </c>
    </row>
    <row r="16" spans="1:5" x14ac:dyDescent="0.25">
      <c r="B16" s="8">
        <v>2.5044533413287713</v>
      </c>
      <c r="C16" t="str">
        <v>Tyvek 4x3</v>
      </c>
      <c r="D16" s="73">
        <v>0</v>
      </c>
      <c r="E16" s="8">
        <v>2.5044533413287713</v>
      </c>
    </row>
    <row r="17" spans="1:5" x14ac:dyDescent="0.25">
      <c r="B17" s="8">
        <v>1.3756856381946772</v>
      </c>
      <c r="C17" s="8" t="str">
        <v>Mylar blanket</v>
      </c>
      <c r="D17" s="73">
        <v>0</v>
      </c>
      <c r="E17" s="8">
        <v>1.3756856381946772</v>
      </c>
    </row>
    <row r="18" spans="1:5" x14ac:dyDescent="0.25">
      <c r="D18" s="73"/>
    </row>
    <row r="19" spans="1:5" x14ac:dyDescent="0.25">
      <c r="D19" s="73"/>
    </row>
    <row r="20" spans="1:5" x14ac:dyDescent="0.25">
      <c r="A20" s="112">
        <f>SUMIF(SleepingGear!B3:B20,"x",SleepingGear!D3:D20)</f>
        <v>85.856893419637032</v>
      </c>
      <c r="B20" s="8" t="str" cm="1">
        <f t="array" ref="B20:E24">_xlfn._xlws.FILTER(_xlfn.CHOOSECOLS( SleepingGear!$D$1:$I$20,1,2,5,6),"x"=SleepingGear!$B$1:$B$20)</f>
        <v xml:space="preserve"> </v>
      </c>
      <c r="C20" s="2" t="str">
        <v>Sleeping Group</v>
      </c>
      <c r="D20" s="73" t="str">
        <v xml:space="preserve"> </v>
      </c>
      <c r="E20" s="8" t="str">
        <v xml:space="preserve"> </v>
      </c>
    </row>
    <row r="21" spans="1:5" x14ac:dyDescent="0.25">
      <c r="A21" s="113" t="str">
        <f>_xlfn.CONCAT(TEXT(IF(A20="",0,INT(A20/16)),"#0")," lb ",TEXT(IF(A20="",0,MOD(A20,16)),"#0.0")," oz")</f>
        <v>5 lb 5.9 oz</v>
      </c>
      <c r="B21" s="8">
        <v>44.797968218134358</v>
      </c>
      <c r="C21" t="str">
        <v>15° sleeping bag - Katahdin</v>
      </c>
      <c r="D21" s="73">
        <v>2</v>
      </c>
      <c r="E21" s="8">
        <v>12.797968218134358</v>
      </c>
    </row>
    <row r="22" spans="1:5" x14ac:dyDescent="0.25">
      <c r="B22" s="8">
        <v>6.2082223672375179</v>
      </c>
      <c r="C22" t="str">
        <v>sleeping bag liner blue</v>
      </c>
      <c r="D22" s="73">
        <v>0</v>
      </c>
      <c r="E22" s="8">
        <v>6.2082223672375179</v>
      </c>
    </row>
    <row r="23" spans="1:5" x14ac:dyDescent="0.25">
      <c r="B23" s="8">
        <v>3.1746591650646399</v>
      </c>
      <c r="C23" s="8" t="str">
        <v>pillow black (Outdoor Vitals)</v>
      </c>
      <c r="D23" s="73">
        <v>0</v>
      </c>
      <c r="E23" s="8">
        <v>3.1746591650646399</v>
      </c>
    </row>
    <row r="24" spans="1:5" x14ac:dyDescent="0.25">
      <c r="B24" s="8">
        <v>31.676043669200517</v>
      </c>
      <c r="C24" t="str">
        <v>Under Quilt</v>
      </c>
      <c r="D24" s="73">
        <v>1</v>
      </c>
      <c r="E24" s="8">
        <v>15.676043669200517</v>
      </c>
    </row>
    <row r="25" spans="1:5" x14ac:dyDescent="0.25">
      <c r="D25" s="73"/>
    </row>
    <row r="26" spans="1:5" x14ac:dyDescent="0.25">
      <c r="D26" s="73"/>
    </row>
    <row r="27" spans="1:5" x14ac:dyDescent="0.25">
      <c r="A27" s="112">
        <f>SUMIF(SleepingClothes!B3:B20,"x",SleepingClothes!D3:D20)</f>
        <v>41.870226988130298</v>
      </c>
      <c r="B27" s="8" t="str" cm="1">
        <f t="array" ref="B27:E35">_xlfn._xlws.FILTER(_xlfn.CHOOSECOLS( SleepingClothes!$D$1:$I$20,1,2,5,6),"x"=SleepingClothes!$B$1:$B$20)</f>
        <v xml:space="preserve"> </v>
      </c>
      <c r="C27" s="2" t="str">
        <v>Sleeping Clothes Group</v>
      </c>
      <c r="D27" s="73" t="str">
        <v xml:space="preserve"> </v>
      </c>
      <c r="E27" s="8" t="str">
        <v xml:space="preserve"> </v>
      </c>
    </row>
    <row r="28" spans="1:5" x14ac:dyDescent="0.25">
      <c r="A28" s="113" t="str">
        <f>_xlfn.CONCAT(TEXT(IF(A27="",0,INT(A27/16)),"#0")," lb ",TEXT(IF(A27="",0,MOD(A27,16)),"#0.0")," oz")</f>
        <v>2 lb 9.9 oz</v>
      </c>
      <c r="B28" s="8">
        <v>2.9630152207269971</v>
      </c>
      <c r="C28" t="str">
        <v>Down booties</v>
      </c>
      <c r="D28" s="73">
        <v>0</v>
      </c>
      <c r="E28" s="8">
        <v>2.9630152207269971</v>
      </c>
    </row>
    <row r="29" spans="1:5" x14ac:dyDescent="0.25">
      <c r="B29" s="8">
        <v>3.280481137233461</v>
      </c>
      <c r="C29" t="str">
        <v>Fleece hat</v>
      </c>
      <c r="D29" s="73">
        <v>0</v>
      </c>
      <c r="E29" s="8">
        <v>3.280481137233461</v>
      </c>
    </row>
    <row r="30" spans="1:5" x14ac:dyDescent="0.25">
      <c r="A30" s="113" t="s">
        <v>41</v>
      </c>
      <c r="B30" s="8">
        <v>5.2205506269951849</v>
      </c>
      <c r="C30" t="str">
        <v>long sleeve shirt</v>
      </c>
      <c r="D30" s="73">
        <v>0</v>
      </c>
      <c r="E30" s="8">
        <v>5.2205506269951849</v>
      </c>
    </row>
    <row r="31" spans="1:5" x14ac:dyDescent="0.25">
      <c r="B31" s="8">
        <v>2.6808232949434734</v>
      </c>
      <c r="C31" t="str">
        <v>underwear</v>
      </c>
      <c r="D31" s="73">
        <v>0</v>
      </c>
      <c r="E31" s="8">
        <v>2.6808232949434734</v>
      </c>
    </row>
    <row r="32" spans="1:5" x14ac:dyDescent="0.25">
      <c r="B32" s="8">
        <v>5.8554824600081128</v>
      </c>
      <c r="C32" t="str">
        <v>Wool socks</v>
      </c>
      <c r="D32" s="73">
        <v>0</v>
      </c>
      <c r="E32" s="8">
        <v>5.8554824600081128</v>
      </c>
    </row>
    <row r="33" spans="1:5" x14ac:dyDescent="0.25">
      <c r="B33" s="8">
        <v>1.6578775639782006</v>
      </c>
      <c r="C33" s="8" t="str">
        <v>Liner socks</v>
      </c>
      <c r="D33" s="73">
        <v>0</v>
      </c>
      <c r="E33" s="8">
        <v>1.6578775639782006</v>
      </c>
    </row>
    <row r="34" spans="1:5" x14ac:dyDescent="0.25">
      <c r="B34" s="8">
        <v>6.6315102559128025</v>
      </c>
      <c r="C34" t="str">
        <v>running tights *</v>
      </c>
      <c r="D34" s="73">
        <v>0</v>
      </c>
      <c r="E34" s="8">
        <v>6.6315102559128025</v>
      </c>
    </row>
    <row r="35" spans="1:5" x14ac:dyDescent="0.25">
      <c r="B35" s="8">
        <v>13.580486428332069</v>
      </c>
      <c r="C35" t="str">
        <v>camp shoes</v>
      </c>
      <c r="D35" s="73">
        <v>0</v>
      </c>
      <c r="E35" s="8">
        <v>13.580486428332069</v>
      </c>
    </row>
    <row r="36" spans="1:5" x14ac:dyDescent="0.25">
      <c r="D36" s="73"/>
    </row>
    <row r="37" spans="1:5" x14ac:dyDescent="0.25">
      <c r="C37" s="8"/>
      <c r="D37" s="73"/>
    </row>
    <row r="38" spans="1:5" x14ac:dyDescent="0.25">
      <c r="A38" s="112">
        <f>SUMIF(RainGear!B3:B10,"x",RainGear!D3:D10)</f>
        <v>13.157198539656786</v>
      </c>
      <c r="B38" s="8" t="str" cm="1">
        <f t="array" ref="B38:E40">_xlfn._xlws.FILTER(_xlfn.CHOOSECOLS( RainGear!$D$1:$I$10,1,2,5,6),"x"=RainGear!$B$1:$B$10)</f>
        <v xml:space="preserve"> </v>
      </c>
      <c r="C38" s="2" t="str">
        <v>Rain Gear Group</v>
      </c>
      <c r="D38" s="73" t="str">
        <v xml:space="preserve"> </v>
      </c>
      <c r="E38" s="8" t="str">
        <v xml:space="preserve"> </v>
      </c>
    </row>
    <row r="39" spans="1:5" x14ac:dyDescent="0.25">
      <c r="A39" s="113" t="str">
        <f>_xlfn.CONCAT(TEXT(IF(A38="",0,INT(A38/16)),"#0")," lb ",TEXT(IF(A38="",0,MOD(A38,16)),"#0.0")," oz")</f>
        <v>0 lb 13.2 oz</v>
      </c>
      <c r="B39" s="8">
        <v>8.6068537363974684</v>
      </c>
      <c r="C39" t="str">
        <v>Rain jacket white/green</v>
      </c>
      <c r="D39" s="73">
        <v>0</v>
      </c>
      <c r="E39" s="8">
        <v>8.6068537363974684</v>
      </c>
    </row>
    <row r="40" spans="1:5" x14ac:dyDescent="0.25">
      <c r="B40" s="8">
        <v>4.5503448032593168</v>
      </c>
      <c r="C40" t="str">
        <v>Rain pants blue FroggTog</v>
      </c>
      <c r="D40" s="73">
        <v>0</v>
      </c>
      <c r="E40" s="8">
        <v>4.5503448032593168</v>
      </c>
    </row>
    <row r="41" spans="1:5" x14ac:dyDescent="0.25">
      <c r="D41" s="73"/>
    </row>
    <row r="42" spans="1:5" x14ac:dyDescent="0.25">
      <c r="D42" s="73"/>
    </row>
    <row r="43" spans="1:5" x14ac:dyDescent="0.25">
      <c r="A43" s="112">
        <f>SUMIF(Kitchen!B3:B31,"x",Kitchen!D3:D31)</f>
        <v>32.52261944655109</v>
      </c>
      <c r="B43" s="8" t="str" cm="1">
        <f t="array" ref="B43:E62">_xlfn._xlws.FILTER(_xlfn.CHOOSECOLS( Kitchen!$D$1:$I$31,1,2,5,6),"x"=Kitchen!$B$1:$B$31)</f>
        <v xml:space="preserve"> </v>
      </c>
      <c r="C43" s="2" t="str">
        <v xml:space="preserve">Kitchen Group  </v>
      </c>
      <c r="D43" s="73">
        <v>0</v>
      </c>
      <c r="E43" s="8" t="str">
        <v xml:space="preserve"> </v>
      </c>
    </row>
    <row r="44" spans="1:5" x14ac:dyDescent="0.25">
      <c r="A44" s="113" t="str">
        <f>_xlfn.CONCAT(TEXT(IF(A43="",0,INT(A43/16)),"#0")," lb ",TEXT(IF(A43="",0,MOD(A43,16)),"#0.0")," oz")</f>
        <v>2 lb 0.5 oz</v>
      </c>
      <c r="B44" s="8">
        <v>2.7513712763893543</v>
      </c>
      <c r="C44" t="str">
        <v>pot .7 gt cup &amp; windscreen</v>
      </c>
      <c r="D44" s="73">
        <v>0</v>
      </c>
      <c r="E44" s="8">
        <v>2.7513712763893543</v>
      </c>
    </row>
    <row r="45" spans="1:5" x14ac:dyDescent="0.25">
      <c r="B45" s="8">
        <v>3.8801389795234487</v>
      </c>
      <c r="C45" t="str">
        <v>IsoPro Stove w/ ignitor</v>
      </c>
      <c r="D45" s="73">
        <v>0</v>
      </c>
      <c r="E45" s="8">
        <v>3.8801389795234487</v>
      </c>
    </row>
    <row r="46" spans="1:5" x14ac:dyDescent="0.25">
      <c r="B46" s="8">
        <v>8.0071958941074808</v>
      </c>
      <c r="C46" t="str">
        <v>IsoPro canister 8oz</v>
      </c>
      <c r="D46" s="73">
        <v>0</v>
      </c>
      <c r="E46" s="8">
        <v>8.0071958941074808</v>
      </c>
    </row>
    <row r="47" spans="1:5" x14ac:dyDescent="0.25">
      <c r="B47" s="8">
        <v>0.95239774951939193</v>
      </c>
      <c r="C47" t="str">
        <v>IsoPro canister stand</v>
      </c>
      <c r="D47" s="73">
        <v>0</v>
      </c>
      <c r="E47" s="8">
        <v>0.95239774951939193</v>
      </c>
    </row>
    <row r="48" spans="1:5" x14ac:dyDescent="0.25">
      <c r="B48" s="8">
        <v>0.91712375879645147</v>
      </c>
      <c r="C48" t="str">
        <v>cozy for freezer bag meals</v>
      </c>
      <c r="D48" s="73">
        <v>0</v>
      </c>
      <c r="E48" s="8">
        <v>0.91712375879645147</v>
      </c>
    </row>
    <row r="49" spans="2:5" x14ac:dyDescent="0.25">
      <c r="B49" s="8">
        <v>1.0582197216882132</v>
      </c>
      <c r="C49" t="str">
        <v>lighter</v>
      </c>
      <c r="D49" s="73">
        <v>0</v>
      </c>
      <c r="E49" s="8">
        <v>1.0582197216882132</v>
      </c>
    </row>
    <row r="50" spans="2:5" x14ac:dyDescent="0.25">
      <c r="B50" s="8">
        <v>0.3527399072294044</v>
      </c>
      <c r="C50" t="str">
        <v>spork short</v>
      </c>
      <c r="D50" s="73">
        <v>0</v>
      </c>
      <c r="E50" s="8">
        <v>0.3527399072294044</v>
      </c>
    </row>
    <row r="51" spans="2:5" x14ac:dyDescent="0.25">
      <c r="B51" s="8">
        <v>0.3527399072294044</v>
      </c>
      <c r="C51" t="str">
        <v>spoon long</v>
      </c>
      <c r="D51" s="73">
        <v>0</v>
      </c>
      <c r="E51" s="8">
        <v>0.3527399072294044</v>
      </c>
    </row>
    <row r="52" spans="2:5" x14ac:dyDescent="0.25">
      <c r="B52" s="8">
        <v>1.2345896753029155</v>
      </c>
      <c r="C52" t="str">
        <v>water bottles collapsable</v>
      </c>
      <c r="D52" s="73">
        <v>0</v>
      </c>
      <c r="E52" s="8">
        <v>1.2345896753029155</v>
      </c>
    </row>
    <row r="53" spans="2:5" x14ac:dyDescent="0.25">
      <c r="B53" s="8">
        <v>1.0582197216882132</v>
      </c>
      <c r="C53" t="str">
        <v>smart water bottles</v>
      </c>
      <c r="D53" s="73">
        <v>0</v>
      </c>
      <c r="E53" s="8">
        <v>1.0582197216882132</v>
      </c>
    </row>
    <row r="54" spans="2:5" x14ac:dyDescent="0.25">
      <c r="B54" s="8">
        <v>10.088361346760966</v>
      </c>
      <c r="C54" t="str">
        <v>Water Filter Kit</v>
      </c>
      <c r="D54" s="73">
        <v>0</v>
      </c>
      <c r="E54" s="8">
        <v>10.088361346760966</v>
      </c>
    </row>
    <row r="55" spans="2:5" x14ac:dyDescent="0.25">
      <c r="B55" s="8" t="str">
        <v/>
      </c>
      <c r="C55" t="str">
        <v xml:space="preserve">  --Filter  (New: Versa Filter)</v>
      </c>
      <c r="D55" s="73" t="str">
        <v/>
      </c>
      <c r="E55" s="8" t="str">
        <v/>
      </c>
    </row>
    <row r="56" spans="2:5" x14ac:dyDescent="0.25">
      <c r="B56" s="8" t="str">
        <v/>
      </c>
      <c r="C56" t="str">
        <v xml:space="preserve">   --CNOC 3 liter</v>
      </c>
      <c r="D56" s="73" t="str">
        <v/>
      </c>
      <c r="E56" s="8" t="str">
        <v/>
      </c>
    </row>
    <row r="57" spans="2:5" x14ac:dyDescent="0.25">
      <c r="B57" s="8" t="str">
        <v/>
      </c>
      <c r="C57" t="str">
        <v xml:space="preserve">  --tubing</v>
      </c>
      <c r="D57" s="73" t="str">
        <v/>
      </c>
      <c r="E57" s="8" t="str">
        <v/>
      </c>
    </row>
    <row r="58" spans="2:5" x14ac:dyDescent="0.25">
      <c r="B58" s="8" t="str">
        <v/>
      </c>
      <c r="C58" t="str">
        <v xml:space="preserve">  --sawyer squeze</v>
      </c>
      <c r="D58" s="73" t="str">
        <v/>
      </c>
      <c r="E58" s="8" t="str">
        <v/>
      </c>
    </row>
    <row r="59" spans="2:5" x14ac:dyDescent="0.25">
      <c r="B59" s="8" t="str">
        <v/>
      </c>
      <c r="C59" s="8" t="str">
        <v xml:space="preserve">  --bleach/polar pure/ tablets</v>
      </c>
      <c r="D59" s="73" t="str">
        <v/>
      </c>
      <c r="E59" s="8" t="str">
        <v/>
      </c>
    </row>
    <row r="60" spans="2:5" x14ac:dyDescent="0.25">
      <c r="B60" s="8">
        <v>0</v>
      </c>
      <c r="C60" t="str">
        <v>food bag Blue</v>
      </c>
      <c r="D60" s="73">
        <v>0</v>
      </c>
      <c r="E60" s="8" t="str">
        <v/>
      </c>
    </row>
    <row r="61" spans="2:5" x14ac:dyDescent="0.25">
      <c r="B61" s="8">
        <v>1.1287677031340941</v>
      </c>
      <c r="C61" t="str">
        <v>bear bag and rope</v>
      </c>
      <c r="D61" s="73">
        <v>0</v>
      </c>
      <c r="E61" s="8">
        <v>1.1287677031340941</v>
      </c>
    </row>
    <row r="62" spans="2:5" x14ac:dyDescent="0.25">
      <c r="B62" s="8">
        <v>0.74075380518174927</v>
      </c>
      <c r="C62" t="str">
        <v>red bandana</v>
      </c>
      <c r="D62" s="73">
        <v>0</v>
      </c>
      <c r="E62" s="8">
        <v>0.74075380518174927</v>
      </c>
    </row>
    <row r="63" spans="2:5" x14ac:dyDescent="0.25">
      <c r="D63" s="73"/>
    </row>
    <row r="64" spans="2:5" x14ac:dyDescent="0.25">
      <c r="D64" s="73"/>
    </row>
    <row r="65" spans="1:5" x14ac:dyDescent="0.25">
      <c r="A65" s="112">
        <f>SUMIF(Hygiene!B3:B8,"x",Hygiene!D3:D8)</f>
        <v>6.3845923208522199</v>
      </c>
      <c r="B65" s="8" t="str" cm="1">
        <f t="array" ref="B65:E75">_xlfn._xlws.FILTER(_xlfn.CHOOSECOLS( Hygiene!$D$1:$I$35,1,2,5,6),"x"=Hygiene!$B$1:$B$35)</f>
        <v xml:space="preserve"> </v>
      </c>
      <c r="C65" s="2" t="str">
        <v>Hygiene Group</v>
      </c>
      <c r="D65" s="73" t="str">
        <v xml:space="preserve"> </v>
      </c>
      <c r="E65" s="8" t="str">
        <v xml:space="preserve"> </v>
      </c>
    </row>
    <row r="66" spans="1:5" x14ac:dyDescent="0.25">
      <c r="A66" s="113" t="str">
        <f>_xlfn.CONCAT(TEXT(IF(A65="",0,INT(A65/16)),"#0")," lb ",TEXT(IF(A65="",0,MOD(A65,16)),"#0.0")," oz")</f>
        <v>0 lb 6.4 oz</v>
      </c>
      <c r="B66" s="8">
        <v>6.3845923208522199</v>
      </c>
      <c r="C66" t="str">
        <v>Bathroom kit</v>
      </c>
      <c r="D66" s="73">
        <v>0</v>
      </c>
      <c r="E66" s="8">
        <v>6.3845923208522199</v>
      </c>
    </row>
    <row r="67" spans="1:5" x14ac:dyDescent="0.25">
      <c r="B67" s="8" t="str">
        <v/>
      </c>
      <c r="C67" t="str">
        <v xml:space="preserve">  ---TP</v>
      </c>
      <c r="D67" s="73" t="str">
        <v/>
      </c>
      <c r="E67" s="8" t="str">
        <v/>
      </c>
    </row>
    <row r="68" spans="1:5" x14ac:dyDescent="0.25">
      <c r="B68" s="8" t="str">
        <v/>
      </c>
      <c r="C68" t="str">
        <v xml:space="preserve">  ---wet wipes</v>
      </c>
      <c r="D68" s="73" t="str">
        <v/>
      </c>
      <c r="E68" s="8" t="str">
        <v/>
      </c>
    </row>
    <row r="69" spans="1:5" x14ac:dyDescent="0.25">
      <c r="B69" s="8" t="str">
        <v/>
      </c>
      <c r="C69" t="str">
        <v xml:space="preserve">  --- hand sanitizer</v>
      </c>
      <c r="D69" s="73" t="str">
        <v/>
      </c>
      <c r="E69" s="8" t="str">
        <v/>
      </c>
    </row>
    <row r="70" spans="1:5" x14ac:dyDescent="0.25">
      <c r="B70" s="8" t="str">
        <v/>
      </c>
      <c r="C70" t="str">
        <v xml:space="preserve">  ---Gold Bond</v>
      </c>
      <c r="D70" s="73" t="str">
        <v/>
      </c>
      <c r="E70" s="8" t="str">
        <v/>
      </c>
    </row>
    <row r="71" spans="1:5" x14ac:dyDescent="0.25">
      <c r="B71" s="8">
        <v>0.95239774951939193</v>
      </c>
      <c r="C71" s="8" t="str">
        <v>Shovel Titanium</v>
      </c>
      <c r="D71" s="73">
        <v>0</v>
      </c>
      <c r="E71" s="8">
        <v>0.95239774951939193</v>
      </c>
    </row>
    <row r="72" spans="1:5" x14ac:dyDescent="0.25">
      <c r="B72" s="8">
        <v>0.9876717402423324</v>
      </c>
      <c r="C72" t="str">
        <v>water jug botom</v>
      </c>
      <c r="D72" s="73">
        <v>0</v>
      </c>
      <c r="E72" s="8">
        <v>0.9876717402423324</v>
      </c>
    </row>
    <row r="73" spans="1:5" x14ac:dyDescent="0.25">
      <c r="B73" s="8">
        <v>0.81130178662763019</v>
      </c>
      <c r="C73" t="str">
        <v>tooth brush</v>
      </c>
      <c r="D73" s="73">
        <v>0</v>
      </c>
      <c r="E73" s="8">
        <v>0.81130178662763019</v>
      </c>
    </row>
    <row r="74" spans="1:5" x14ac:dyDescent="0.25">
      <c r="B74" s="8">
        <v>0.77602779590468973</v>
      </c>
      <c r="C74" t="str">
        <v>tooth  dots / paste</v>
      </c>
      <c r="D74" s="73">
        <v>0</v>
      </c>
      <c r="E74" s="8">
        <v>0.77602779590468973</v>
      </c>
    </row>
    <row r="75" spans="1:5" x14ac:dyDescent="0.25">
      <c r="B75" s="8">
        <v>1.0582197216882132</v>
      </c>
      <c r="C75" t="str">
        <v>hand sanitizer on pack</v>
      </c>
      <c r="D75" s="73">
        <v>0</v>
      </c>
      <c r="E75" s="8">
        <v>1.0582197216882132</v>
      </c>
    </row>
    <row r="76" spans="1:5" x14ac:dyDescent="0.25">
      <c r="D76" s="73"/>
    </row>
    <row r="77" spans="1:5" x14ac:dyDescent="0.25">
      <c r="D77" s="73"/>
    </row>
    <row r="78" spans="1:5" x14ac:dyDescent="0.25">
      <c r="A78" s="112">
        <f>SUMIF(Navigation!B3:B8,"x",Navigation!D3:D8)</f>
        <v>9.6297994673627407</v>
      </c>
      <c r="B78" s="8" t="str" cm="1">
        <f t="array" ref="B78:E83">_xlfn._xlws.FILTER(_xlfn.CHOOSECOLS( Navigation!$D$1:$I$8,1,2,5,6),"x"=Navigation!$B$1:$B$8)</f>
        <v xml:space="preserve"> </v>
      </c>
      <c r="C78" s="110" t="str">
        <v>Navigation Group</v>
      </c>
      <c r="D78" s="73" t="str">
        <v xml:space="preserve"> </v>
      </c>
      <c r="E78" s="8" t="str">
        <v xml:space="preserve"> </v>
      </c>
    </row>
    <row r="79" spans="1:5" x14ac:dyDescent="0.25">
      <c r="A79" s="113" t="str">
        <f>_xlfn.CONCAT(TEXT(IF(A78="",0,INT(A78/16)),"#0")," lb ",TEXT(IF(A78="",0,MOD(A78,16)),"#0.0")," oz")</f>
        <v>0 lb 9.6 oz</v>
      </c>
      <c r="B79" s="8" t="str">
        <v/>
      </c>
      <c r="C79" t="str">
        <v>Maps</v>
      </c>
      <c r="D79" s="73" t="str">
        <v/>
      </c>
      <c r="E79" s="8" t="str">
        <v/>
      </c>
    </row>
    <row r="80" spans="1:5" x14ac:dyDescent="0.25">
      <c r="B80" s="8">
        <v>0.9876717402423324</v>
      </c>
      <c r="C80" s="8" t="str">
        <v>Compass</v>
      </c>
      <c r="D80" s="73">
        <v>0</v>
      </c>
      <c r="E80" s="8">
        <v>0.9876717402423324</v>
      </c>
    </row>
    <row r="81" spans="1:5" x14ac:dyDescent="0.25">
      <c r="B81" s="8" t="str">
        <v/>
      </c>
      <c r="C81" t="str">
        <v>Trail details</v>
      </c>
      <c r="D81" s="73" t="str">
        <v/>
      </c>
      <c r="E81" s="8" t="str">
        <v/>
      </c>
    </row>
    <row r="82" spans="1:5" x14ac:dyDescent="0.25">
      <c r="B82" s="8">
        <v>0.317465916506464</v>
      </c>
      <c r="C82" t="str">
        <v>pen / pencil</v>
      </c>
      <c r="D82" s="73">
        <v>0</v>
      </c>
      <c r="E82" s="8">
        <v>0.317465916506464</v>
      </c>
    </row>
    <row r="83" spans="1:5" x14ac:dyDescent="0.25">
      <c r="B83" s="8">
        <v>8.3246618106139447</v>
      </c>
      <c r="C83" t="str">
        <v>notepad / journal</v>
      </c>
      <c r="D83" s="73">
        <v>0</v>
      </c>
      <c r="E83" s="8">
        <v>8.3246618106139447</v>
      </c>
    </row>
    <row r="84" spans="1:5" x14ac:dyDescent="0.25">
      <c r="D84" s="73"/>
    </row>
    <row r="85" spans="1:5" x14ac:dyDescent="0.25">
      <c r="D85" s="73"/>
    </row>
    <row r="86" spans="1:5" x14ac:dyDescent="0.25">
      <c r="A86" s="112">
        <f>SUMIF(FirstAid!B3:B22,"x",FirstAid!D3:D22)</f>
        <v>5.6438385156704705</v>
      </c>
      <c r="B86" s="8" t="str" cm="1">
        <f t="array" ref="B86:E87">_xlfn._xlws.FILTER(_xlfn.CHOOSECOLS( FirstAid!$D$1:$I$22,1,2,5,6),"x"=FirstAid!$B$1:$B$22)</f>
        <v xml:space="preserve"> </v>
      </c>
      <c r="C86" s="110" t="str">
        <v>First Aid Group</v>
      </c>
      <c r="D86" s="73" t="str">
        <v xml:space="preserve"> </v>
      </c>
      <c r="E86" s="8" t="str">
        <v xml:space="preserve"> </v>
      </c>
    </row>
    <row r="87" spans="1:5" x14ac:dyDescent="0.25">
      <c r="A87" s="113" t="str">
        <f>_xlfn.CONCAT(TEXT(IF(A86="",0,INT(A86/16)),"#0")," lb ",TEXT(IF(A86="",0,MOD(A86,16)),"#0.0")," oz")</f>
        <v>0 lb 5.6 oz</v>
      </c>
      <c r="B87" s="8">
        <v>5.6438385156704705</v>
      </c>
      <c r="C87" t="str">
        <v>First aid kit</v>
      </c>
      <c r="D87" s="73">
        <v>0</v>
      </c>
      <c r="E87" s="8">
        <v>5.6438385156704705</v>
      </c>
    </row>
    <row r="88" spans="1:5" x14ac:dyDescent="0.25">
      <c r="D88" s="73"/>
    </row>
    <row r="89" spans="1:5" x14ac:dyDescent="0.25">
      <c r="D89" s="73"/>
    </row>
    <row r="90" spans="1:5" x14ac:dyDescent="0.25">
      <c r="A90" s="112">
        <f>SUMIF(Repair!B3:B6,"x",Repair!D3:D6)</f>
        <v>1.763699536147022</v>
      </c>
      <c r="B90" s="8" t="str" cm="1">
        <f t="array" ref="B90:E93">_xlfn._xlws.FILTER(_xlfn.CHOOSECOLS( Repair!$D$1:$I$6,1,2,5,6),"x"=Repair!$B$1:$B$6)</f>
        <v xml:space="preserve"> </v>
      </c>
      <c r="C90" s="2" t="str">
        <v>Repair Group</v>
      </c>
      <c r="D90" s="73" t="str">
        <v xml:space="preserve"> </v>
      </c>
      <c r="E90" s="8" t="str">
        <v xml:space="preserve"> </v>
      </c>
    </row>
    <row r="91" spans="1:5" x14ac:dyDescent="0.25">
      <c r="A91" s="113" t="str">
        <f>_xlfn.CONCAT(TEXT(IF(A90="",0,INT(A90/16)),"#0")," lb ",TEXT(IF(A90="",0,MOD(A90,16)),"#0.0")," oz")</f>
        <v>0 lb 1.8 oz</v>
      </c>
      <c r="B91" s="8">
        <v>0.42328788867528527</v>
      </c>
      <c r="C91" t="str">
        <v>Tenacious tape</v>
      </c>
      <c r="D91" s="73">
        <v>0</v>
      </c>
      <c r="E91" s="8">
        <v>0.42328788867528527</v>
      </c>
    </row>
    <row r="92" spans="1:5" x14ac:dyDescent="0.25">
      <c r="B92" s="8" t="str">
        <v/>
      </c>
      <c r="C92" t="str">
        <v>Duct tape on trekking poles</v>
      </c>
      <c r="D92" s="73" t="str">
        <v/>
      </c>
      <c r="E92" s="8" t="str">
        <v/>
      </c>
    </row>
    <row r="93" spans="1:5" x14ac:dyDescent="0.25">
      <c r="B93" s="8">
        <v>1.3404116474717367</v>
      </c>
      <c r="C93" t="str">
        <v>extra buckle</v>
      </c>
      <c r="D93" s="73">
        <v>0</v>
      </c>
      <c r="E93" s="8">
        <v>1.3404116474717367</v>
      </c>
    </row>
    <row r="94" spans="1:5" x14ac:dyDescent="0.25">
      <c r="D94" s="73"/>
    </row>
    <row r="95" spans="1:5" x14ac:dyDescent="0.25">
      <c r="D95" s="73"/>
    </row>
    <row r="96" spans="1:5" x14ac:dyDescent="0.25">
      <c r="A96" s="112">
        <f>SUMIF(Misc!B3:B23,"x",Misc!D3:D23)</f>
        <v>11.957882855076807</v>
      </c>
      <c r="B96" s="8" t="str" cm="1">
        <f t="array" ref="B96:E102">_xlfn._xlws.FILTER(_xlfn.CHOOSECOLS( Misc!$D$1:$I$23,1,2,5,6),"x"=Misc!$B$1:$B$23)</f>
        <v xml:space="preserve"> </v>
      </c>
      <c r="C96" s="110" t="str">
        <v>Misc Group</v>
      </c>
      <c r="D96" s="73" t="str">
        <v xml:space="preserve"> </v>
      </c>
      <c r="E96" s="8" t="str">
        <v xml:space="preserve"> </v>
      </c>
    </row>
    <row r="97" spans="1:5" x14ac:dyDescent="0.25">
      <c r="A97" s="113" t="str">
        <f>_xlfn.CONCAT(TEXT(IF(A96="",0,INT(A96/16)),"#0")," lb ",TEXT(IF(A96="",0,MOD(A96,16)),"#0.0")," oz")</f>
        <v>0 lb 12.0 oz</v>
      </c>
      <c r="B97" s="8">
        <v>4.7619887475969591</v>
      </c>
      <c r="C97" t="str">
        <v>phone battery 4,000mAh</v>
      </c>
      <c r="D97" s="73">
        <v>0</v>
      </c>
      <c r="E97" s="8">
        <v>4.7619887475969591</v>
      </c>
    </row>
    <row r="98" spans="1:5" x14ac:dyDescent="0.25">
      <c r="B98" s="8">
        <v>2.4339053598828904</v>
      </c>
      <c r="C98" t="str">
        <v>head lamp</v>
      </c>
      <c r="D98" s="73">
        <v>0</v>
      </c>
      <c r="E98" s="8">
        <v>2.4339053598828904</v>
      </c>
    </row>
    <row r="99" spans="1:5" x14ac:dyDescent="0.25">
      <c r="B99" s="8">
        <v>1.269863666025856</v>
      </c>
      <c r="C99" t="str">
        <v>spare batteries 3 AAA</v>
      </c>
      <c r="D99" s="73">
        <v>0</v>
      </c>
      <c r="E99" s="8">
        <v>1.269863666025856</v>
      </c>
    </row>
    <row r="100" spans="1:5" x14ac:dyDescent="0.25">
      <c r="B100" s="8">
        <v>1.0582197216882132</v>
      </c>
      <c r="C100" t="str">
        <v>rope pieces</v>
      </c>
      <c r="D100" s="73">
        <v>0</v>
      </c>
      <c r="E100" s="8">
        <v>1.0582197216882132</v>
      </c>
    </row>
    <row r="101" spans="1:5" x14ac:dyDescent="0.25">
      <c r="B101" s="8">
        <v>0.70547981445880881</v>
      </c>
      <c r="C101" t="str">
        <v>eye glass case - soft</v>
      </c>
      <c r="D101" s="73">
        <v>0</v>
      </c>
      <c r="E101" s="8">
        <v>0.70547981445880881</v>
      </c>
    </row>
    <row r="102" spans="1:5" x14ac:dyDescent="0.25">
      <c r="B102" s="8">
        <v>1.7284255454240816</v>
      </c>
      <c r="C102" t="str">
        <v>foam pad 12 x 18</v>
      </c>
      <c r="D102" s="73">
        <v>0</v>
      </c>
      <c r="E102" s="8">
        <v>1.7284255454240816</v>
      </c>
    </row>
    <row r="103" spans="1:5" x14ac:dyDescent="0.25">
      <c r="D103" s="73"/>
    </row>
    <row r="104" spans="1:5" x14ac:dyDescent="0.25">
      <c r="D104" s="73"/>
    </row>
    <row r="105" spans="1:5" x14ac:dyDescent="0.25">
      <c r="A105" s="112">
        <f>SUMIF(ClothingPacked!B3:B16,"x",ClothingPacked!D3:D16)</f>
        <v>35.485634667278084</v>
      </c>
      <c r="B105" s="8" t="str" cm="1">
        <f t="array" ref="B105:E113">_xlfn._xlws.FILTER(_xlfn.CHOOSECOLS( ClothingPacked!$D$1:$I$16,1,2,5,6),"x"=ClothingPacked!$B$1:$B$16)</f>
        <v xml:space="preserve"> </v>
      </c>
      <c r="C105" s="2" t="str">
        <v>Clothing in Pack Group</v>
      </c>
      <c r="D105" s="73" t="str">
        <v xml:space="preserve"> </v>
      </c>
      <c r="E105" s="8" t="str">
        <v xml:space="preserve"> </v>
      </c>
    </row>
    <row r="106" spans="1:5" x14ac:dyDescent="0.25">
      <c r="A106" s="113" t="str">
        <f>_xlfn.CONCAT(TEXT(IF(A105="",0,INT(A105/16)),"#0")," lb ",TEXT(IF(A105="",0,MOD(A105,16)),"#0.0")," oz")</f>
        <v>2 lb 3.5 oz</v>
      </c>
      <c r="B106" s="8">
        <v>11.358225012786821</v>
      </c>
      <c r="C106" s="8" t="str">
        <v>puffy</v>
      </c>
      <c r="D106" s="73">
        <v>0</v>
      </c>
      <c r="E106" s="8">
        <v>11.358225012786821</v>
      </c>
    </row>
    <row r="107" spans="1:5" x14ac:dyDescent="0.25">
      <c r="B107" s="8">
        <v>3.8095909980775677</v>
      </c>
      <c r="C107" t="str">
        <v>gloves/mittens</v>
      </c>
      <c r="D107" s="73">
        <v>0</v>
      </c>
      <c r="E107" s="8">
        <v>3.8095909980775677</v>
      </c>
    </row>
    <row r="108" spans="1:5" x14ac:dyDescent="0.25">
      <c r="B108" s="8">
        <v>1.763699536147022</v>
      </c>
      <c r="C108" t="str">
        <v>Liner socks</v>
      </c>
      <c r="D108" s="73">
        <v>0</v>
      </c>
      <c r="E108" s="8">
        <v>1.763699536147022</v>
      </c>
    </row>
    <row r="109" spans="1:5" x14ac:dyDescent="0.25">
      <c r="B109" s="8">
        <v>5.8202084692851725</v>
      </c>
      <c r="C109" t="str">
        <v>Wool socks</v>
      </c>
      <c r="D109" s="73">
        <v>0</v>
      </c>
      <c r="E109" s="8">
        <v>5.8202084692851725</v>
      </c>
    </row>
    <row r="110" spans="1:5" x14ac:dyDescent="0.25">
      <c r="B110" s="8">
        <v>5.2910986084410663</v>
      </c>
      <c r="C110" t="str">
        <v xml:space="preserve">long sleeve shirt </v>
      </c>
      <c r="D110" s="73">
        <v>0</v>
      </c>
      <c r="E110" s="8">
        <v>5.2910986084410663</v>
      </c>
    </row>
    <row r="111" spans="1:5" x14ac:dyDescent="0.25">
      <c r="B111" s="8">
        <v>2.6808232949434734</v>
      </c>
      <c r="C111" s="8" t="str">
        <v>underwear</v>
      </c>
      <c r="D111" s="73">
        <v>0</v>
      </c>
      <c r="E111" s="8">
        <v>2.6808232949434734</v>
      </c>
    </row>
    <row r="112" spans="1:5" x14ac:dyDescent="0.25">
      <c r="B112" s="8">
        <v>4.7619887475969591</v>
      </c>
      <c r="C112" t="str">
        <v>shorts</v>
      </c>
      <c r="D112" s="73">
        <v>0</v>
      </c>
      <c r="E112" s="8">
        <v>4.7619887475969591</v>
      </c>
    </row>
    <row r="113" spans="1:5" x14ac:dyDescent="0.25">
      <c r="B113" s="8">
        <v>0</v>
      </c>
      <c r="C113" t="str">
        <v>zip-offs</v>
      </c>
      <c r="D113" s="73">
        <v>0</v>
      </c>
      <c r="E113" s="8">
        <v>0</v>
      </c>
    </row>
    <row r="114" spans="1:5" x14ac:dyDescent="0.25">
      <c r="D114" s="73"/>
    </row>
    <row r="115" spans="1:5" x14ac:dyDescent="0.25">
      <c r="D115" s="73"/>
    </row>
    <row r="116" spans="1:5" x14ac:dyDescent="0.25">
      <c r="A116" s="112">
        <f>SUMIF(Consumables!B3:B26,"x",Consumables!D3:D26)</f>
        <v>205.08298206317573</v>
      </c>
      <c r="B116" s="8" t="str" cm="1">
        <f t="array" ref="B116:E119">_xlfn._xlws.FILTER(_xlfn.CHOOSECOLS( Consumables!$D$1:$I$26,1,2,5,6),"x"=Consumables!$B$1:$B$26)</f>
        <v xml:space="preserve"> </v>
      </c>
      <c r="C116" s="2" t="str">
        <v>Consumables Group</v>
      </c>
      <c r="D116" s="73" t="str">
        <v xml:space="preserve"> </v>
      </c>
      <c r="E116" s="8" t="str">
        <v xml:space="preserve"> </v>
      </c>
    </row>
    <row r="117" spans="1:5" x14ac:dyDescent="0.25">
      <c r="A117" s="113" t="str">
        <f>_xlfn.CONCAT(TEXT(IF(A116="",0,INT(A116/16)),"#0")," lb ",TEXT(IF(A116="",0,MOD(A116,16)),"#0.0")," oz")</f>
        <v>12 lb 13.1 oz</v>
      </c>
      <c r="B117" s="8" t="str">
        <v/>
      </c>
      <c r="C117" t="str">
        <v>Medication</v>
      </c>
      <c r="D117" s="73" t="str">
        <v/>
      </c>
      <c r="E117" s="8" t="str">
        <v/>
      </c>
    </row>
    <row r="118" spans="1:5" x14ac:dyDescent="0.25">
      <c r="B118" s="8">
        <v>141.09596289176176</v>
      </c>
      <c r="C118" t="str">
        <v>24-32 ounces food per day</v>
      </c>
      <c r="D118" s="73">
        <v>8</v>
      </c>
      <c r="E118" s="8">
        <v>13.095962891761758</v>
      </c>
    </row>
    <row r="119" spans="1:5" x14ac:dyDescent="0.25">
      <c r="B119" s="8">
        <v>63.987019171413962</v>
      </c>
      <c r="C119" t="str">
        <v>64 ounces water</v>
      </c>
      <c r="D119" s="73">
        <v>3</v>
      </c>
      <c r="E119" s="8">
        <v>15.987019171413962</v>
      </c>
    </row>
    <row r="120" spans="1:5" x14ac:dyDescent="0.25">
      <c r="D120" s="73"/>
    </row>
    <row r="121" spans="1:5" x14ac:dyDescent="0.25">
      <c r="D121" s="73"/>
    </row>
    <row r="122" spans="1:5" x14ac:dyDescent="0.25">
      <c r="A122" s="112">
        <f>SUMIF(ClothingWorn!B3:B20,"x",ClothingWorn!D3:D20)</f>
        <v>0</v>
      </c>
      <c r="B122" s="8" t="str" cm="1">
        <f t="array" ref="B122:E138">_xlfn._xlws.FILTER(_xlfn.CHOOSECOLS( ClothingWorn!$D$1:$I$20,1,2,5,6),"x"=ClothingWorn!$B$1:$B$20)</f>
        <v/>
      </c>
      <c r="C122" s="2" t="str">
        <v>Clothing Worn Group</v>
      </c>
      <c r="D122" s="115" t="str">
        <v/>
      </c>
      <c r="E122" s="8" t="str">
        <v/>
      </c>
    </row>
    <row r="123" spans="1:5" x14ac:dyDescent="0.25">
      <c r="A123" s="113" t="str">
        <f>_xlfn.CONCAT(TEXT(IF(A122="",0,INT(A122/16)),"#0")," lb ",TEXT(IF(A122="",0,MOD(A122,16)),"#0.0")," oz")</f>
        <v>0 lb 0.0 oz</v>
      </c>
      <c r="B123" s="8" t="str">
        <v/>
      </c>
      <c r="C123" s="2" t="str">
        <v>trekking poles</v>
      </c>
      <c r="D123" s="115" t="str">
        <v/>
      </c>
      <c r="E123" s="8" t="str">
        <v/>
      </c>
    </row>
    <row r="124" spans="1:5" x14ac:dyDescent="0.25">
      <c r="B124" s="8" t="str">
        <v/>
      </c>
      <c r="C124" t="str">
        <v>hiking boots</v>
      </c>
      <c r="D124" s="73" t="str">
        <v/>
      </c>
      <c r="E124" s="8" t="str">
        <v/>
      </c>
    </row>
    <row r="125" spans="1:5" x14ac:dyDescent="0.25">
      <c r="B125" s="8" t="str">
        <v/>
      </c>
      <c r="C125" t="str">
        <v>liner socks</v>
      </c>
      <c r="D125" s="73" t="str">
        <v/>
      </c>
      <c r="E125" s="8" t="str">
        <v/>
      </c>
    </row>
    <row r="126" spans="1:5" x14ac:dyDescent="0.25">
      <c r="B126" s="8" t="str">
        <v/>
      </c>
      <c r="C126" t="str">
        <v>wool socks</v>
      </c>
      <c r="D126" s="73" t="str">
        <v/>
      </c>
      <c r="E126" s="8" t="str">
        <v/>
      </c>
    </row>
    <row r="127" spans="1:5" x14ac:dyDescent="0.25">
      <c r="B127" s="8" t="str">
        <v/>
      </c>
      <c r="C127" t="str">
        <v>gators</v>
      </c>
      <c r="D127" s="73" t="str">
        <v/>
      </c>
      <c r="E127" s="8" t="str">
        <v/>
      </c>
    </row>
    <row r="128" spans="1:5" x14ac:dyDescent="0.25">
      <c r="B128" s="8" t="str">
        <v/>
      </c>
      <c r="C128" s="8" t="str">
        <v>tech shirt</v>
      </c>
      <c r="D128" s="73" t="str">
        <v/>
      </c>
      <c r="E128" s="8" t="str">
        <v/>
      </c>
    </row>
    <row r="129" spans="1:5" x14ac:dyDescent="0.25">
      <c r="B129" s="8" t="str">
        <v/>
      </c>
      <c r="C129" t="str">
        <v>underwear</v>
      </c>
      <c r="D129" t="str">
        <v/>
      </c>
      <c r="E129" s="8" t="str">
        <v/>
      </c>
    </row>
    <row r="130" spans="1:5" x14ac:dyDescent="0.25">
      <c r="B130" s="8" t="str">
        <v/>
      </c>
      <c r="C130" t="str">
        <v>Kilt / Zip-offs</v>
      </c>
      <c r="D130" t="str">
        <v/>
      </c>
      <c r="E130" s="8" t="str">
        <v/>
      </c>
    </row>
    <row r="131" spans="1:5" x14ac:dyDescent="0.25">
      <c r="B131" s="8" t="str">
        <v/>
      </c>
      <c r="C131" t="str">
        <v>runners cap</v>
      </c>
      <c r="D131" t="str">
        <v/>
      </c>
      <c r="E131" s="8" t="str">
        <v/>
      </c>
    </row>
    <row r="132" spans="1:5" x14ac:dyDescent="0.25">
      <c r="A132" s="114"/>
      <c r="B132" s="80" t="str">
        <v/>
      </c>
      <c r="C132" s="72" t="str">
        <v>pocket knife</v>
      </c>
      <c r="D132" s="72" t="str">
        <v/>
      </c>
      <c r="E132" s="108" t="str">
        <v/>
      </c>
    </row>
    <row r="133" spans="1:5" x14ac:dyDescent="0.25">
      <c r="A133" s="114"/>
      <c r="B133" s="80" t="str">
        <v/>
      </c>
      <c r="C133" s="8" t="str">
        <v>lip balm</v>
      </c>
      <c r="D133" t="str">
        <v/>
      </c>
      <c r="E133" s="8" t="str">
        <v/>
      </c>
    </row>
    <row r="134" spans="1:5" x14ac:dyDescent="0.25">
      <c r="A134" s="114"/>
      <c r="B134" s="80" t="str">
        <v/>
      </c>
      <c r="C134" t="str">
        <v>phone (in zip-loc)</v>
      </c>
      <c r="D134" t="str">
        <v/>
      </c>
      <c r="E134" s="8" t="str">
        <v/>
      </c>
    </row>
    <row r="135" spans="1:5" x14ac:dyDescent="0.25">
      <c r="B135" s="8" t="str">
        <v/>
      </c>
      <c r="C135" t="str">
        <v>license / money / credit card</v>
      </c>
      <c r="D135" t="str">
        <v/>
      </c>
      <c r="E135" s="8" t="str">
        <v/>
      </c>
    </row>
    <row r="136" spans="1:5" x14ac:dyDescent="0.25">
      <c r="B136" s="8" t="str">
        <v/>
      </c>
      <c r="C136" t="str">
        <v>bandana</v>
      </c>
      <c r="D136" t="str">
        <v/>
      </c>
      <c r="E136" s="8" t="str">
        <v/>
      </c>
    </row>
    <row r="137" spans="1:5" x14ac:dyDescent="0.25">
      <c r="B137" s="8" t="str">
        <v/>
      </c>
      <c r="C137" t="str">
        <v>belt</v>
      </c>
      <c r="D137" t="str">
        <v/>
      </c>
      <c r="E137" s="8" t="str">
        <v/>
      </c>
    </row>
    <row r="138" spans="1:5" x14ac:dyDescent="0.25">
      <c r="B138" s="8" t="str">
        <v/>
      </c>
      <c r="C138" t="str">
        <v>suspenders</v>
      </c>
      <c r="D138" t="str">
        <v/>
      </c>
      <c r="E138" s="8" t="str">
        <v/>
      </c>
    </row>
    <row r="142" spans="1:5" x14ac:dyDescent="0.25">
      <c r="A142" s="111" t="s">
        <v>254</v>
      </c>
      <c r="B142" s="83">
        <f>SUM(B2:B115)</f>
        <v>348.75394627771203</v>
      </c>
      <c r="C142" s="61" t="s">
        <v>176</v>
      </c>
    </row>
    <row r="143" spans="1:5" x14ac:dyDescent="0.25">
      <c r="B143" s="84">
        <f>TRUNC(B142/16)</f>
        <v>21</v>
      </c>
      <c r="C143" s="62" t="s">
        <v>163</v>
      </c>
    </row>
    <row r="144" spans="1:5" x14ac:dyDescent="0.25">
      <c r="B144" s="85">
        <f>MOD(B142,16)</f>
        <v>12.753946277712032</v>
      </c>
      <c r="C144" s="63" t="s">
        <v>164</v>
      </c>
    </row>
    <row r="145" spans="1:5" x14ac:dyDescent="0.25">
      <c r="B145" s="108" t="s">
        <v>164</v>
      </c>
      <c r="C145" s="12"/>
      <c r="D145" s="109" t="s">
        <v>212</v>
      </c>
      <c r="E145" s="82" t="s">
        <v>1</v>
      </c>
    </row>
    <row r="146" spans="1:5" x14ac:dyDescent="0.25">
      <c r="A146" s="111" t="s">
        <v>255</v>
      </c>
      <c r="B146" s="8" cm="1">
        <f t="array" ref="B146:E147">_xlfn._xlws.FILTER(_xlfn.CHOOSECOLS( Consumables!$D$5:$I$6,1,2,5,6),"x"=Consumables!$B$5:$B$6)</f>
        <v>141.09596289176176</v>
      </c>
      <c r="C146" t="str">
        <v>24-32 ounces food per day</v>
      </c>
      <c r="D146">
        <v>8</v>
      </c>
      <c r="E146" s="8">
        <v>13.095962891761758</v>
      </c>
    </row>
    <row r="147" spans="1:5" x14ac:dyDescent="0.25">
      <c r="A147" s="111" t="s">
        <v>256</v>
      </c>
      <c r="B147" s="8">
        <v>63.987019171413962</v>
      </c>
      <c r="C147" t="str">
        <v>64 ounces water</v>
      </c>
      <c r="D147">
        <v>3</v>
      </c>
      <c r="E147" s="8">
        <v>15.987019171413962</v>
      </c>
    </row>
    <row r="149" spans="1:5" ht="15.75" thickBot="1" x14ac:dyDescent="0.3">
      <c r="D149" s="116" t="s">
        <v>165</v>
      </c>
      <c r="E149" s="93" t="s">
        <v>1</v>
      </c>
    </row>
    <row r="150" spans="1:5" ht="15.75" thickBot="1" x14ac:dyDescent="0.3">
      <c r="C150" s="123" t="s">
        <v>28</v>
      </c>
      <c r="D150" s="121">
        <f>B143</f>
        <v>21</v>
      </c>
      <c r="E150" s="122">
        <f>B144</f>
        <v>12.753946277712032</v>
      </c>
    </row>
    <row r="151" spans="1:5" x14ac:dyDescent="0.25">
      <c r="C151" s="124" t="s">
        <v>32</v>
      </c>
      <c r="D151" s="117">
        <f>D146</f>
        <v>8</v>
      </c>
      <c r="E151" s="118">
        <f>E146</f>
        <v>13.095962891761758</v>
      </c>
    </row>
    <row r="152" spans="1:5" ht="15.75" thickBot="1" x14ac:dyDescent="0.3">
      <c r="C152" s="125" t="s">
        <v>34</v>
      </c>
      <c r="D152" s="119">
        <f>D147</f>
        <v>3</v>
      </c>
      <c r="E152" s="120">
        <f>E147</f>
        <v>15.987019171413962</v>
      </c>
    </row>
    <row r="153" spans="1:5" ht="15.75" thickBot="1" x14ac:dyDescent="0.3">
      <c r="C153" s="123" t="s">
        <v>37</v>
      </c>
      <c r="D153" s="24">
        <f>SUM(D150:D152)</f>
        <v>32</v>
      </c>
      <c r="E153" s="122">
        <f>SUM(E150:E152)</f>
        <v>41.836928340887752</v>
      </c>
    </row>
  </sheetData>
  <conditionalFormatting sqref="A132:B141 A142:A144 A2:B125 A145:B152">
    <cfRule type="containsText" dxfId="44" priority="14" operator="containsText" text="Group">
      <formula>NOT(ISERROR(SEARCH("Group",A2)))</formula>
    </cfRule>
  </conditionalFormatting>
  <conditionalFormatting sqref="C142:C144">
    <cfRule type="containsText" dxfId="43" priority="1" operator="containsText" text="Group">
      <formula>NOT(ISERROR(SEARCH("Group",C142)))</formula>
    </cfRule>
  </conditionalFormatting>
  <hyperlinks>
    <hyperlink ref="A1" location="Menu!A1" display="Menu!A1" xr:uid="{D0690CB9-0685-48A3-AA63-01C83B472730}"/>
  </hyperlinks>
  <pageMargins left="0.45" right="0.45" top="0.5" bottom="0.5" header="0.3" footer="0.3"/>
  <pageSetup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EC781-2E91-4D12-AF54-CE496269B0FE}">
  <sheetPr codeName="Sheet5"/>
  <dimension ref="A1:P45"/>
  <sheetViews>
    <sheetView workbookViewId="0"/>
  </sheetViews>
  <sheetFormatPr defaultRowHeight="15" x14ac:dyDescent="0.25"/>
  <cols>
    <col min="1" max="1" width="9.140625" style="8"/>
    <col min="2" max="2" width="31.85546875" customWidth="1"/>
    <col min="3" max="3" width="4.7109375" customWidth="1"/>
    <col min="4" max="4" width="7.140625" style="8" customWidth="1"/>
    <col min="5" max="5" width="25.42578125" customWidth="1"/>
    <col min="6" max="6" width="6.7109375" customWidth="1"/>
    <col min="7" max="7" width="9.28515625" customWidth="1"/>
    <col min="8" max="8" width="19.5703125" bestFit="1" customWidth="1"/>
    <col min="9" max="9" width="4.5703125" customWidth="1"/>
    <col min="10" max="10" width="6.5703125" customWidth="1"/>
  </cols>
  <sheetData>
    <row r="1" spans="1:14" ht="15.75" thickBot="1" x14ac:dyDescent="0.3">
      <c r="A1" s="136" t="s">
        <v>270</v>
      </c>
      <c r="B1" s="2" t="s">
        <v>221</v>
      </c>
      <c r="C1" t="s">
        <v>212</v>
      </c>
      <c r="D1" s="8" t="s">
        <v>1</v>
      </c>
      <c r="G1" s="9">
        <v>28.349499999999999</v>
      </c>
      <c r="H1" s="5" t="s">
        <v>31</v>
      </c>
    </row>
    <row r="2" spans="1:14" ht="15.75" thickBot="1" x14ac:dyDescent="0.3">
      <c r="A2" s="8" cm="1">
        <f t="array" ref="A2:D5">_xlfn._xlws.FILTER(_xlfn.CHOOSECOLS( Pack!D4:I20,1,2,5,6),"P"=Pack!A4:A20)</f>
        <v>45.50344803259317</v>
      </c>
      <c r="B2" t="str">
        <v>Blue Pack</v>
      </c>
      <c r="C2" s="73">
        <v>2</v>
      </c>
      <c r="D2" s="8">
        <v>13.50344803259317</v>
      </c>
      <c r="G2" s="9">
        <v>3.5274E-2</v>
      </c>
      <c r="H2" s="6" t="s">
        <v>35</v>
      </c>
    </row>
    <row r="3" spans="1:14" x14ac:dyDescent="0.25">
      <c r="A3" s="8">
        <v>0.95239774951939193</v>
      </c>
      <c r="B3" t="str">
        <v>Pack hip pockets</v>
      </c>
      <c r="C3" s="73">
        <v>0</v>
      </c>
      <c r="D3" s="8">
        <v>0.95239774951939193</v>
      </c>
      <c r="G3">
        <f>36*36</f>
        <v>1296</v>
      </c>
      <c r="H3" t="s">
        <v>225</v>
      </c>
    </row>
    <row r="4" spans="1:14" x14ac:dyDescent="0.25">
      <c r="A4" s="8">
        <v>5.0441806733804828</v>
      </c>
      <c r="B4" t="str">
        <v>Pack Liner/Garbage bag</v>
      </c>
      <c r="C4" s="73">
        <v>0</v>
      </c>
      <c r="D4" s="8">
        <v>5.0441806733804828</v>
      </c>
    </row>
    <row r="5" spans="1:14" x14ac:dyDescent="0.25">
      <c r="A5" s="8">
        <v>5.1500026455493044</v>
      </c>
      <c r="B5" t="str">
        <v>Orange Pack Cover</v>
      </c>
      <c r="C5" s="73">
        <v>0</v>
      </c>
      <c r="D5" s="8">
        <v>5.1500026455493044</v>
      </c>
    </row>
    <row r="6" spans="1:14" x14ac:dyDescent="0.25">
      <c r="A6" s="8">
        <f>SUM(A2:A5)</f>
        <v>56.65002910104235</v>
      </c>
      <c r="C6" s="73">
        <f>INT(A6/16)</f>
        <v>3</v>
      </c>
      <c r="D6" s="8">
        <f>A6-(C6*16)</f>
        <v>8.6500291010423496</v>
      </c>
    </row>
    <row r="7" spans="1:14" x14ac:dyDescent="0.25">
      <c r="C7" s="73"/>
    </row>
    <row r="8" spans="1:14" x14ac:dyDescent="0.25">
      <c r="B8" s="2" t="s">
        <v>218</v>
      </c>
      <c r="C8" s="73" t="s">
        <v>212</v>
      </c>
      <c r="D8" s="8" t="s">
        <v>1</v>
      </c>
      <c r="F8" s="86" t="s">
        <v>0</v>
      </c>
      <c r="G8" s="86" t="s">
        <v>1</v>
      </c>
      <c r="H8" s="72" t="s">
        <v>224</v>
      </c>
      <c r="I8" s="86" t="s">
        <v>212</v>
      </c>
      <c r="J8" s="86" t="s">
        <v>1</v>
      </c>
      <c r="L8" s="102" t="s">
        <v>251</v>
      </c>
    </row>
    <row r="9" spans="1:14" x14ac:dyDescent="0.25">
      <c r="A9" s="8" cm="1">
        <f t="array" ref="A9:D14">_xlfn._xlws.FILTER(_xlfn.CHOOSECOLS( Shelter!D4:I30,1,2,5,6),"H"=Shelter!A4:A30)</f>
        <v>8.2188398384451222</v>
      </c>
      <c r="B9" t="str">
        <v>Bridge Hammock; 1.2 Hexon Olive</v>
      </c>
      <c r="C9" s="73">
        <v>0</v>
      </c>
      <c r="D9" s="8">
        <v>8.2188398384451222</v>
      </c>
      <c r="F9">
        <v>724</v>
      </c>
      <c r="G9" s="8">
        <f>F9/$G$1</f>
        <v>25.53836928340888</v>
      </c>
      <c r="H9" t="s">
        <v>229</v>
      </c>
      <c r="I9">
        <f>INT(G9/16)</f>
        <v>1</v>
      </c>
      <c r="J9" s="8">
        <f>MOD(G9,16)</f>
        <v>9.5383692834088798</v>
      </c>
      <c r="L9">
        <f>((36*4)*60)/(36*36)</f>
        <v>6.666666666666667</v>
      </c>
      <c r="M9">
        <f>L9*1.6</f>
        <v>10.666666666666668</v>
      </c>
      <c r="N9" t="s">
        <v>252</v>
      </c>
    </row>
    <row r="10" spans="1:14" x14ac:dyDescent="0.25">
      <c r="A10" s="8">
        <v>7.3017160796486715</v>
      </c>
      <c r="B10" t="str">
        <v>Spreader Bars 28"</v>
      </c>
      <c r="C10" s="73">
        <v>0</v>
      </c>
      <c r="D10" s="8">
        <v>7.3017160796486715</v>
      </c>
      <c r="E10" t="s">
        <v>223</v>
      </c>
      <c r="F10">
        <v>193</v>
      </c>
      <c r="G10" s="8">
        <f>F10/$G$1</f>
        <v>6.8078802095275055</v>
      </c>
      <c r="H10" t="s">
        <v>226</v>
      </c>
      <c r="I10">
        <f>INT(G10/16)</f>
        <v>0</v>
      </c>
      <c r="J10" s="8">
        <f>MOD(G10,16)</f>
        <v>6.8078802095275055</v>
      </c>
      <c r="L10">
        <v>6</v>
      </c>
      <c r="M10">
        <f>L10*0.67</f>
        <v>4.0200000000000005</v>
      </c>
      <c r="N10" t="s">
        <v>253</v>
      </c>
    </row>
    <row r="11" spans="1:14" x14ac:dyDescent="0.25">
      <c r="A11" s="8">
        <v>2.8924672392811162</v>
      </c>
      <c r="B11" t="str">
        <v>Tree straps spider poly</v>
      </c>
      <c r="C11" s="73">
        <v>0</v>
      </c>
      <c r="D11" s="8">
        <v>2.8924672392811162</v>
      </c>
      <c r="F11">
        <v>303</v>
      </c>
      <c r="G11" s="8">
        <f>F11/$G$1</f>
        <v>10.688019189050953</v>
      </c>
      <c r="H11" t="s">
        <v>230</v>
      </c>
      <c r="I11">
        <f>INT(G11/16)</f>
        <v>0</v>
      </c>
      <c r="J11" s="8">
        <f>MOD(G11,16)</f>
        <v>10.688019189050953</v>
      </c>
      <c r="M11">
        <f>M10+M9</f>
        <v>14.686666666666667</v>
      </c>
    </row>
    <row r="12" spans="1:14" x14ac:dyDescent="0.25">
      <c r="A12" s="8">
        <v>1.4109596289176176</v>
      </c>
      <c r="B12" t="str">
        <v>UCR</v>
      </c>
      <c r="C12" s="73">
        <v>0</v>
      </c>
      <c r="D12" s="8">
        <v>1.4109596289176176</v>
      </c>
      <c r="F12">
        <v>10</v>
      </c>
      <c r="G12" s="8">
        <f>F12/$G$1</f>
        <v>0.3527399072294044</v>
      </c>
      <c r="H12" t="s">
        <v>228</v>
      </c>
      <c r="I12">
        <f>INT(G12/16)</f>
        <v>0</v>
      </c>
      <c r="J12" s="8">
        <f>MOD(G12,16)</f>
        <v>0.3527399072294044</v>
      </c>
    </row>
    <row r="13" spans="1:14" x14ac:dyDescent="0.25">
      <c r="A13" s="8">
        <v>10.970211114834477</v>
      </c>
      <c r="B13" t="str">
        <v>bug net original</v>
      </c>
      <c r="C13" s="73">
        <v>0</v>
      </c>
      <c r="D13" s="8">
        <v>10.970211114834477</v>
      </c>
      <c r="E13" t="s">
        <v>222</v>
      </c>
      <c r="F13">
        <v>37</v>
      </c>
      <c r="G13" s="8">
        <f>F13/$G$1</f>
        <v>1.3051376567487962</v>
      </c>
      <c r="H13" t="s">
        <v>227</v>
      </c>
      <c r="I13">
        <f>INT(G13/16)</f>
        <v>0</v>
      </c>
      <c r="J13" s="8">
        <f>MOD(G13,16)</f>
        <v>1.3051376567487962</v>
      </c>
    </row>
    <row r="14" spans="1:14" x14ac:dyDescent="0.25">
      <c r="A14" s="8">
        <v>0</v>
      </c>
      <c r="B14" t="str">
        <v>bug net new</v>
      </c>
      <c r="C14" s="73">
        <v>0</v>
      </c>
      <c r="D14" s="8">
        <v>0</v>
      </c>
      <c r="G14" s="8"/>
      <c r="J14" s="8"/>
    </row>
    <row r="15" spans="1:14" x14ac:dyDescent="0.25">
      <c r="A15" s="8">
        <f>SUM(A9:A14)</f>
        <v>30.794193901127006</v>
      </c>
      <c r="C15" s="73">
        <f>INT(A15/16)</f>
        <v>1</v>
      </c>
      <c r="D15" s="8">
        <f>A15-(C15*16)</f>
        <v>14.794193901127006</v>
      </c>
      <c r="G15" s="8"/>
      <c r="J15" s="8"/>
    </row>
    <row r="16" spans="1:14" x14ac:dyDescent="0.25">
      <c r="C16" s="73"/>
      <c r="G16" s="8"/>
      <c r="J16" s="8"/>
    </row>
    <row r="17" spans="1:16" x14ac:dyDescent="0.25">
      <c r="B17" s="2" t="s">
        <v>220</v>
      </c>
      <c r="C17" s="73" t="s">
        <v>212</v>
      </c>
      <c r="D17" s="8" t="s">
        <v>1</v>
      </c>
      <c r="G17" s="8"/>
      <c r="J17" s="8"/>
    </row>
    <row r="18" spans="1:16" x14ac:dyDescent="0.25">
      <c r="A18" s="8" cm="1">
        <f t="array" ref="A18:D19">_xlfn._xlws.FILTER(_xlfn.CHOOSECOLS(Shelter!D4:I30,1,2,5,6),"C"=Shelter!A4:A30)</f>
        <v>16.71987160267377</v>
      </c>
      <c r="B18" t="str">
        <v>Tarp Forest green &amp; lines</v>
      </c>
      <c r="C18" s="73">
        <v>1</v>
      </c>
      <c r="D18" s="8">
        <v>0.71987160267376993</v>
      </c>
      <c r="F18">
        <v>490</v>
      </c>
      <c r="G18" s="8">
        <f>F18/$G$1</f>
        <v>17.284255454240817</v>
      </c>
      <c r="H18" t="s">
        <v>220</v>
      </c>
      <c r="I18">
        <f>INT(G18/16)</f>
        <v>1</v>
      </c>
      <c r="J18" s="8">
        <f>MOD(G18,16)</f>
        <v>1.2842554542408173</v>
      </c>
    </row>
    <row r="19" spans="1:16" x14ac:dyDescent="0.25">
      <c r="A19" s="8">
        <v>2.8219192578352352</v>
      </c>
      <c r="B19" t="str">
        <v>stakes AL red</v>
      </c>
      <c r="C19" s="73">
        <v>0</v>
      </c>
      <c r="D19" s="8">
        <v>2.8219192578352352</v>
      </c>
      <c r="G19" s="8"/>
      <c r="J19" s="8"/>
    </row>
    <row r="20" spans="1:16" x14ac:dyDescent="0.25">
      <c r="A20" s="8">
        <f>SUM(A18:A19)</f>
        <v>19.541790860509003</v>
      </c>
      <c r="C20" s="73">
        <f>INT(A20/16)</f>
        <v>1</v>
      </c>
      <c r="D20" s="8">
        <f>A20-(C20*16)</f>
        <v>3.5417908605090034</v>
      </c>
      <c r="G20" s="8"/>
      <c r="J20" s="8"/>
    </row>
    <row r="21" spans="1:16" x14ac:dyDescent="0.25">
      <c r="F21">
        <f>SUM(F9:F18)</f>
        <v>1757</v>
      </c>
      <c r="G21" s="8">
        <f>F21/$G$1</f>
        <v>61.976401700206353</v>
      </c>
      <c r="I21">
        <f>INT(G21/16)</f>
        <v>3</v>
      </c>
      <c r="J21" s="8">
        <f>MOD(G21,16)</f>
        <v>13.976401700206353</v>
      </c>
    </row>
    <row r="22" spans="1:16" x14ac:dyDescent="0.25">
      <c r="B22" s="2" t="s">
        <v>219</v>
      </c>
      <c r="C22" s="73" t="s">
        <v>212</v>
      </c>
      <c r="D22" s="8" t="s">
        <v>1</v>
      </c>
      <c r="G22" s="8"/>
      <c r="J22" s="8"/>
    </row>
    <row r="23" spans="1:16" x14ac:dyDescent="0.25">
      <c r="A23" s="8" cm="1">
        <f t="array" ref="A23:D26">_xlfn._xlws.FILTER(_xlfn.CHOOSECOLS( Shelter!D4:I30,1,2,5,6),"T"=Shelter!A4:A30)</f>
        <v>4.4445228310904952</v>
      </c>
      <c r="B23" t="str">
        <v>stakes Ti</v>
      </c>
      <c r="C23">
        <v>0</v>
      </c>
      <c r="D23" s="8">
        <v>4.4445228310904952</v>
      </c>
      <c r="G23" s="8"/>
      <c r="J23" s="8"/>
    </row>
    <row r="24" spans="1:16" x14ac:dyDescent="0.25">
      <c r="A24" s="8">
        <v>19.224324944002539</v>
      </c>
      <c r="B24" t="str">
        <v>tent outside</v>
      </c>
      <c r="C24">
        <v>1</v>
      </c>
      <c r="D24" s="8">
        <v>3.2243249440025394</v>
      </c>
      <c r="G24" s="8"/>
      <c r="J24" s="8"/>
    </row>
    <row r="25" spans="1:16" x14ac:dyDescent="0.25">
      <c r="A25" s="8">
        <v>10.758567170496834</v>
      </c>
      <c r="B25" t="str">
        <v>tent inside</v>
      </c>
      <c r="C25">
        <v>0</v>
      </c>
      <c r="D25" s="8">
        <v>10.758567170496834</v>
      </c>
      <c r="G25" s="8"/>
      <c r="J25" s="8"/>
    </row>
    <row r="26" spans="1:16" x14ac:dyDescent="0.25">
      <c r="A26" s="8">
        <v>4.1976048960299126</v>
      </c>
      <c r="B26" t="str">
        <v>Tyvek 8x3 footprint</v>
      </c>
      <c r="C26">
        <v>0</v>
      </c>
      <c r="D26" s="8">
        <v>4.1976048960299126</v>
      </c>
      <c r="G26" s="8"/>
      <c r="J26" s="8"/>
    </row>
    <row r="27" spans="1:16" x14ac:dyDescent="0.25">
      <c r="G27" s="8"/>
      <c r="J27" s="8"/>
    </row>
    <row r="28" spans="1:16" x14ac:dyDescent="0.25">
      <c r="A28" s="8">
        <f>SUM(A23:A26)</f>
        <v>38.625019841619782</v>
      </c>
      <c r="C28" s="73">
        <f>INT(A28/16)</f>
        <v>2</v>
      </c>
      <c r="D28" s="8">
        <f>A28-(C28*16)</f>
        <v>6.6250198416197819</v>
      </c>
      <c r="J28" s="8"/>
    </row>
    <row r="29" spans="1:16" x14ac:dyDescent="0.25">
      <c r="M29" t="s">
        <v>243</v>
      </c>
    </row>
    <row r="30" spans="1:16" x14ac:dyDescent="0.25">
      <c r="B30" s="2" t="s">
        <v>239</v>
      </c>
      <c r="F30" t="s">
        <v>0</v>
      </c>
      <c r="G30" t="s">
        <v>1</v>
      </c>
      <c r="I30" s="86" t="s">
        <v>212</v>
      </c>
      <c r="J30" s="86" t="s">
        <v>1</v>
      </c>
      <c r="M30" t="s">
        <v>244</v>
      </c>
      <c r="O30" t="s">
        <v>245</v>
      </c>
    </row>
    <row r="31" spans="1:16" x14ac:dyDescent="0.25">
      <c r="A31" s="8" cm="1">
        <f t="array" ref="A31:D43">_xlfn.CHOOSECOLS( SleepingGear!D4:I16,1,2,5,6)</f>
        <v>38.378101906559202</v>
      </c>
      <c r="B31" t="str">
        <v>30° sleeping bag</v>
      </c>
      <c r="C31">
        <v>2</v>
      </c>
      <c r="D31" s="8">
        <v>6.378101906559202</v>
      </c>
      <c r="J31" s="8"/>
      <c r="L31" t="s">
        <v>235</v>
      </c>
      <c r="M31">
        <v>0.9</v>
      </c>
      <c r="N31">
        <v>0.67</v>
      </c>
      <c r="O31">
        <v>6</v>
      </c>
      <c r="P31">
        <v>3.6</v>
      </c>
    </row>
    <row r="32" spans="1:16" x14ac:dyDescent="0.25">
      <c r="A32" s="94">
        <v>44.797968218134358</v>
      </c>
      <c r="B32" s="95" t="str">
        <v>15° sleeping bag - Katahdin</v>
      </c>
      <c r="C32" s="95">
        <v>2</v>
      </c>
      <c r="D32" s="94">
        <v>12.797968218134358</v>
      </c>
      <c r="F32">
        <f>(O32+M32)*$G$1</f>
        <v>798.51091666666662</v>
      </c>
      <c r="G32" s="8">
        <f>F32/$G$1</f>
        <v>28.166666666666664</v>
      </c>
      <c r="H32" t="s">
        <v>217</v>
      </c>
      <c r="I32">
        <f t="shared" ref="I32:I33" si="0">INT(G32/16)</f>
        <v>1</v>
      </c>
      <c r="J32" s="8">
        <f t="shared" ref="J32:J33" si="1">MOD(G32,16)</f>
        <v>12.166666666666664</v>
      </c>
      <c r="L32" s="8">
        <f>(78*60)/(36*36)</f>
        <v>3.6111111111111112</v>
      </c>
      <c r="M32" s="8">
        <f>L32*2*M31</f>
        <v>6.5</v>
      </c>
      <c r="N32" s="8">
        <f>L32*2*N31</f>
        <v>4.8388888888888895</v>
      </c>
      <c r="O32" s="8">
        <f>L32*O31</f>
        <v>21.666666666666668</v>
      </c>
      <c r="P32" s="8">
        <f>L32*P31</f>
        <v>13</v>
      </c>
    </row>
    <row r="33" spans="1:16" x14ac:dyDescent="0.25">
      <c r="A33" s="8">
        <v>55.203795481401791</v>
      </c>
      <c r="B33" t="str">
        <v>0° sleeping bag - Antero</v>
      </c>
      <c r="C33">
        <v>3</v>
      </c>
      <c r="D33" s="8">
        <v>7.2037954814017908</v>
      </c>
      <c r="F33">
        <f>(O33+M33)*$G$1</f>
        <v>737.08699999999999</v>
      </c>
      <c r="G33" s="8">
        <f t="shared" ref="G33:G34" si="2">F33/$G$1</f>
        <v>26</v>
      </c>
      <c r="H33" t="s">
        <v>236</v>
      </c>
      <c r="I33">
        <f t="shared" si="0"/>
        <v>1</v>
      </c>
      <c r="J33" s="8">
        <f t="shared" si="1"/>
        <v>10</v>
      </c>
      <c r="L33" s="8">
        <f>(72*60)/(36*36)</f>
        <v>3.3333333333333335</v>
      </c>
      <c r="M33" s="8">
        <f>L33*2*0.9</f>
        <v>6</v>
      </c>
      <c r="N33" s="8">
        <f>L33*2*N31</f>
        <v>4.4666666666666668</v>
      </c>
      <c r="O33" s="8">
        <f>L33*O31</f>
        <v>20</v>
      </c>
      <c r="P33" s="8">
        <f>L33*P31</f>
        <v>12</v>
      </c>
    </row>
    <row r="34" spans="1:16" x14ac:dyDescent="0.25">
      <c r="A34" s="8">
        <v>38.413375897282137</v>
      </c>
      <c r="B34" t="str">
        <v>Fleece sleeping bag</v>
      </c>
      <c r="C34">
        <v>2</v>
      </c>
      <c r="D34" s="8">
        <v>6.4133758972821369</v>
      </c>
      <c r="F34" s="95">
        <f>SUM(F32:F33)</f>
        <v>1535.5979166666666</v>
      </c>
      <c r="G34" s="94">
        <f t="shared" si="2"/>
        <v>54.166666666666664</v>
      </c>
      <c r="H34" s="95" t="s">
        <v>241</v>
      </c>
      <c r="I34" s="95">
        <f>SUM(I32:I33)</f>
        <v>2</v>
      </c>
      <c r="J34" s="94">
        <f>SUM(J32:J33)</f>
        <v>22.166666666666664</v>
      </c>
    </row>
    <row r="35" spans="1:16" x14ac:dyDescent="0.25">
      <c r="A35" s="97">
        <v>6.2082223672375179</v>
      </c>
      <c r="B35" s="96" t="str">
        <v>sleeping bag liner blue</v>
      </c>
      <c r="C35" s="96">
        <v>0</v>
      </c>
      <c r="D35" s="97">
        <v>6.2082223672375179</v>
      </c>
      <c r="F35" s="96">
        <v>128</v>
      </c>
      <c r="G35" s="97">
        <f>F35/$G$1</f>
        <v>4.5150708125363765</v>
      </c>
      <c r="H35" s="96" t="s">
        <v>237</v>
      </c>
      <c r="I35" s="96">
        <f>INT(G35/16)</f>
        <v>0</v>
      </c>
      <c r="J35" s="97">
        <f>MOD(G35,16)</f>
        <v>4.5150708125363765</v>
      </c>
      <c r="K35" t="s">
        <v>238</v>
      </c>
    </row>
    <row r="36" spans="1:16" x14ac:dyDescent="0.25">
      <c r="A36" s="8">
        <v>0</v>
      </c>
      <c r="B36" t="str">
        <v>sleeping bag liner NatureHike 4.5oz</v>
      </c>
      <c r="C36">
        <v>0</v>
      </c>
      <c r="D36" s="8">
        <v>0</v>
      </c>
      <c r="F36" s="8"/>
      <c r="G36" s="98">
        <f>A35-G35</f>
        <v>1.6931515547011413</v>
      </c>
      <c r="H36" s="99" t="s">
        <v>242</v>
      </c>
      <c r="I36" s="99">
        <f>INT(G36/16)</f>
        <v>0</v>
      </c>
      <c r="J36" s="98">
        <f>MOD(G36,16)</f>
        <v>1.6931515547011413</v>
      </c>
    </row>
    <row r="37" spans="1:16" x14ac:dyDescent="0.25">
      <c r="A37" s="8">
        <v>3.033563202172878</v>
      </c>
      <c r="B37" t="str">
        <v>pillow orange/gray</v>
      </c>
      <c r="C37">
        <v>0</v>
      </c>
      <c r="D37" s="8">
        <v>3.033563202172878</v>
      </c>
    </row>
    <row r="38" spans="1:16" x14ac:dyDescent="0.25">
      <c r="A38" s="8">
        <v>3.1746591650646399</v>
      </c>
      <c r="B38" t="str">
        <v>pillow black (Outdoor Vitals)</v>
      </c>
      <c r="C38">
        <v>0</v>
      </c>
      <c r="D38" s="8">
        <v>3.1746591650646399</v>
      </c>
      <c r="F38" s="8"/>
      <c r="G38" s="100">
        <f>A45-G34</f>
        <v>22.313333333333325</v>
      </c>
      <c r="H38" s="101" t="s">
        <v>242</v>
      </c>
      <c r="I38" s="101">
        <f t="shared" ref="I38" si="3">INT(G38/16)</f>
        <v>1</v>
      </c>
      <c r="J38" s="100">
        <f t="shared" ref="J38" si="4">MOD(G38,16)</f>
        <v>6.3133333333333255</v>
      </c>
      <c r="L38" t="s">
        <v>246</v>
      </c>
    </row>
    <row r="39" spans="1:16" x14ac:dyDescent="0.25">
      <c r="A39" s="8">
        <v>25.079807404010655</v>
      </c>
      <c r="B39" t="str">
        <v>Air matress Big Birtha</v>
      </c>
      <c r="C39">
        <v>1</v>
      </c>
      <c r="D39" s="8">
        <v>9.0798074040106549</v>
      </c>
      <c r="L39">
        <v>2</v>
      </c>
      <c r="M39" t="s">
        <v>262</v>
      </c>
    </row>
    <row r="40" spans="1:16" x14ac:dyDescent="0.25">
      <c r="A40" s="8">
        <v>17.213707472794937</v>
      </c>
      <c r="B40" t="str">
        <v>Air matress blue</v>
      </c>
      <c r="C40">
        <v>1</v>
      </c>
      <c r="D40" s="8">
        <v>1.2137074727949368</v>
      </c>
      <c r="L40">
        <v>3.6</v>
      </c>
      <c r="M40" t="s">
        <v>247</v>
      </c>
    </row>
    <row r="41" spans="1:16" x14ac:dyDescent="0.25">
      <c r="A41" s="8">
        <v>0</v>
      </c>
      <c r="B41" t="str">
        <v>Top Quilt</v>
      </c>
      <c r="C41" t="str">
        <v/>
      </c>
      <c r="D41" s="8">
        <v>0</v>
      </c>
      <c r="L41">
        <v>5</v>
      </c>
      <c r="M41" t="s">
        <v>248</v>
      </c>
    </row>
    <row r="42" spans="1:16" x14ac:dyDescent="0.25">
      <c r="A42" s="94">
        <v>31.676043669200517</v>
      </c>
      <c r="B42" s="95" t="str">
        <v>Under Quilt</v>
      </c>
      <c r="C42" s="95">
        <v>1</v>
      </c>
      <c r="D42" s="94">
        <v>15.676043669200517</v>
      </c>
      <c r="L42">
        <v>6</v>
      </c>
      <c r="M42" t="s">
        <v>249</v>
      </c>
    </row>
    <row r="43" spans="1:16" x14ac:dyDescent="0.25">
      <c r="A43" s="8" t="str">
        <v/>
      </c>
      <c r="B43" t="str">
        <v>New Under Quilt</v>
      </c>
      <c r="C43" t="str">
        <v/>
      </c>
      <c r="D43" s="8" t="str">
        <v/>
      </c>
      <c r="L43">
        <v>7.5</v>
      </c>
      <c r="M43" t="s">
        <v>250</v>
      </c>
    </row>
    <row r="45" spans="1:16" x14ac:dyDescent="0.25">
      <c r="A45" s="94">
        <f>44.8+31.68</f>
        <v>76.47999999999999</v>
      </c>
      <c r="B45" s="95" t="s">
        <v>240</v>
      </c>
      <c r="C45" s="95">
        <f t="shared" ref="C45" si="5">INT(A45/16)</f>
        <v>4</v>
      </c>
      <c r="D45" s="94">
        <f t="shared" ref="D45" si="6">MOD(A45,16)</f>
        <v>12.47999999999999</v>
      </c>
    </row>
  </sheetData>
  <hyperlinks>
    <hyperlink ref="A1" location="Menu!A1" display="Menu!A1" xr:uid="{BBD6AD2B-24CF-4315-BDE1-5669825BA21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4BF0-6061-445A-B05B-06B1BF10096D}">
  <sheetPr codeName="Sheet6"/>
  <dimension ref="A1:T48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7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32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36" t="s">
        <v>270</v>
      </c>
      <c r="B1" s="67">
        <f>COUNTIFS(B3:B20,"=x",C3:C20,"=0")</f>
        <v>0</v>
      </c>
      <c r="C1" s="67">
        <f>COUNTIF(C3:C20,"=0")</f>
        <v>3</v>
      </c>
      <c r="D1" s="21" t="s">
        <v>184</v>
      </c>
      <c r="F1" s="34" t="s">
        <v>78</v>
      </c>
    </row>
    <row r="2" spans="1:20" ht="15" x14ac:dyDescent="0.25">
      <c r="B2" s="16" t="s">
        <v>42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133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A3" s="139" t="s">
        <v>41</v>
      </c>
      <c r="B3" s="16" t="s">
        <v>42</v>
      </c>
      <c r="C3" s="104" t="s">
        <v>41</v>
      </c>
      <c r="D3" s="105" t="s">
        <v>41</v>
      </c>
      <c r="E3" s="38" t="s">
        <v>54</v>
      </c>
      <c r="F3" s="106" t="s">
        <v>41</v>
      </c>
      <c r="G3" s="105" t="s">
        <v>41</v>
      </c>
      <c r="H3" s="107" t="s">
        <v>41</v>
      </c>
      <c r="I3" s="105" t="s">
        <v>41</v>
      </c>
      <c r="J3" s="173"/>
      <c r="K3" s="134" t="s">
        <v>41</v>
      </c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A4" s="137" t="s">
        <v>213</v>
      </c>
      <c r="B4" s="16" t="s">
        <v>42</v>
      </c>
      <c r="C4" s="65">
        <v>1290</v>
      </c>
      <c r="D4" s="19">
        <f t="shared" ref="D4:D20" si="0">IF(ISBLANK(C4),"", C4/$D$24)</f>
        <v>45.50344803259317</v>
      </c>
      <c r="E4" s="25" t="s">
        <v>38</v>
      </c>
      <c r="F4" s="18">
        <f>IF(B4="x",IF(C4=0,"",C4),"")</f>
        <v>1290</v>
      </c>
      <c r="G4" s="19">
        <f>IF(B4="x",D4,"")</f>
        <v>45.50344803259317</v>
      </c>
      <c r="H4" s="76">
        <f>IF(C4="","",INT(D4/16))</f>
        <v>2</v>
      </c>
      <c r="I4" s="19">
        <f>IF(D4="","",MOD(D4,16))</f>
        <v>13.50344803259317</v>
      </c>
      <c r="J4" s="88"/>
      <c r="K4" s="138" t="s">
        <v>41</v>
      </c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A5" s="137" t="s">
        <v>41</v>
      </c>
      <c r="B5" s="16"/>
      <c r="C5" s="49">
        <v>1175</v>
      </c>
      <c r="D5" s="19">
        <f t="shared" si="0"/>
        <v>41.446939099455015</v>
      </c>
      <c r="E5" s="26" t="s">
        <v>55</v>
      </c>
      <c r="F5" s="18" t="str">
        <f t="shared" ref="F5:F13" si="1">IF(B5="x",IF(C5=0,"",C5),"")</f>
        <v/>
      </c>
      <c r="G5" s="19" t="str">
        <f t="shared" ref="G5:G13" si="2">IF(B5="x",D5,"")</f>
        <v/>
      </c>
      <c r="H5" s="76">
        <f t="shared" ref="H5:H13" si="3">IF(C5="","",INT(D5/16))</f>
        <v>2</v>
      </c>
      <c r="I5" s="19">
        <f t="shared" ref="I5:I13" si="4">IF(D5="","",MOD(D5,16))</f>
        <v>9.4469390994550153</v>
      </c>
      <c r="J5" s="88"/>
      <c r="K5" s="138" t="s">
        <v>41</v>
      </c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A6" s="137" t="s">
        <v>41</v>
      </c>
      <c r="C6" s="49">
        <v>0</v>
      </c>
      <c r="D6" s="19">
        <f t="shared" si="0"/>
        <v>0</v>
      </c>
      <c r="E6" s="27" t="s">
        <v>56</v>
      </c>
      <c r="F6" s="18" t="str">
        <f t="shared" si="1"/>
        <v/>
      </c>
      <c r="G6" s="19" t="str">
        <f t="shared" si="2"/>
        <v/>
      </c>
      <c r="H6" s="76">
        <f t="shared" si="3"/>
        <v>0</v>
      </c>
      <c r="I6" s="19">
        <f t="shared" si="4"/>
        <v>0</v>
      </c>
      <c r="J6" s="88"/>
      <c r="K6" s="135" t="s">
        <v>42</v>
      </c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A7" s="137" t="s">
        <v>41</v>
      </c>
      <c r="C7" s="49">
        <v>0</v>
      </c>
      <c r="D7" s="19">
        <f t="shared" si="0"/>
        <v>0</v>
      </c>
      <c r="E7" s="26" t="s">
        <v>39</v>
      </c>
      <c r="F7" s="18" t="str">
        <f t="shared" si="1"/>
        <v/>
      </c>
      <c r="G7" s="19" t="str">
        <f t="shared" si="2"/>
        <v/>
      </c>
      <c r="H7" s="76">
        <f t="shared" si="3"/>
        <v>0</v>
      </c>
      <c r="I7" s="19">
        <f t="shared" si="4"/>
        <v>0</v>
      </c>
      <c r="J7" s="88"/>
      <c r="K7" s="138" t="s">
        <v>41</v>
      </c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A8" s="137" t="s">
        <v>41</v>
      </c>
      <c r="C8" s="49">
        <v>0</v>
      </c>
      <c r="D8" s="19">
        <f t="shared" si="0"/>
        <v>0</v>
      </c>
      <c r="E8" s="26" t="s">
        <v>40</v>
      </c>
      <c r="F8" s="18" t="str">
        <f t="shared" si="1"/>
        <v/>
      </c>
      <c r="G8" s="19" t="str">
        <f t="shared" si="2"/>
        <v/>
      </c>
      <c r="H8" s="76">
        <f t="shared" si="3"/>
        <v>0</v>
      </c>
      <c r="I8" s="19">
        <f t="shared" si="4"/>
        <v>0</v>
      </c>
      <c r="J8" s="88"/>
      <c r="K8" s="138" t="s">
        <v>41</v>
      </c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A9" s="137" t="s">
        <v>213</v>
      </c>
      <c r="B9" s="16" t="s">
        <v>42</v>
      </c>
      <c r="C9" s="52">
        <v>27</v>
      </c>
      <c r="D9" s="19">
        <f t="shared" si="0"/>
        <v>0.95239774951939193</v>
      </c>
      <c r="E9" s="21" t="s">
        <v>59</v>
      </c>
      <c r="F9" s="18">
        <f t="shared" si="1"/>
        <v>27</v>
      </c>
      <c r="G9" s="19">
        <f t="shared" si="2"/>
        <v>0.95239774951939193</v>
      </c>
      <c r="H9" s="76">
        <f t="shared" si="3"/>
        <v>0</v>
      </c>
      <c r="I9" s="19">
        <f t="shared" si="4"/>
        <v>0.95239774951939193</v>
      </c>
      <c r="J9" s="88"/>
      <c r="K9" s="138" t="s">
        <v>41</v>
      </c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A10" s="137" t="s">
        <v>213</v>
      </c>
      <c r="B10" s="16" t="s">
        <v>42</v>
      </c>
      <c r="C10" s="49">
        <v>143</v>
      </c>
      <c r="D10" s="19">
        <f t="shared" si="0"/>
        <v>5.0441806733804828</v>
      </c>
      <c r="E10" s="21" t="s">
        <v>60</v>
      </c>
      <c r="F10" s="18">
        <f t="shared" si="1"/>
        <v>143</v>
      </c>
      <c r="G10" s="19">
        <f t="shared" si="2"/>
        <v>5.0441806733804828</v>
      </c>
      <c r="H10" s="76">
        <f t="shared" si="3"/>
        <v>0</v>
      </c>
      <c r="I10" s="19">
        <f t="shared" si="4"/>
        <v>5.0441806733804828</v>
      </c>
      <c r="J10" s="88"/>
      <c r="K10" s="138" t="s">
        <v>41</v>
      </c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A11" s="137" t="s">
        <v>41</v>
      </c>
      <c r="B11" s="16"/>
      <c r="C11" s="49">
        <v>200</v>
      </c>
      <c r="D11" s="19">
        <f t="shared" si="0"/>
        <v>7.0547981445880881</v>
      </c>
      <c r="E11" s="26" t="s">
        <v>57</v>
      </c>
      <c r="F11" s="18" t="str">
        <f t="shared" si="1"/>
        <v/>
      </c>
      <c r="G11" s="19" t="str">
        <f t="shared" si="2"/>
        <v/>
      </c>
      <c r="H11" s="76">
        <f t="shared" si="3"/>
        <v>0</v>
      </c>
      <c r="I11" s="19">
        <f t="shared" si="4"/>
        <v>7.0547981445880881</v>
      </c>
      <c r="J11" s="88"/>
      <c r="K11" s="138" t="s">
        <v>41</v>
      </c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A12" s="137" t="s">
        <v>213</v>
      </c>
      <c r="B12" s="16" t="s">
        <v>42</v>
      </c>
      <c r="C12" s="49">
        <v>146</v>
      </c>
      <c r="D12" s="19">
        <f t="shared" si="0"/>
        <v>5.1500026455493044</v>
      </c>
      <c r="E12" s="26" t="s">
        <v>58</v>
      </c>
      <c r="F12" s="18">
        <f t="shared" si="1"/>
        <v>146</v>
      </c>
      <c r="G12" s="19">
        <f t="shared" si="2"/>
        <v>5.1500026455493044</v>
      </c>
      <c r="H12" s="76">
        <f t="shared" si="3"/>
        <v>0</v>
      </c>
      <c r="I12" s="19">
        <f t="shared" si="4"/>
        <v>5.1500026455493044</v>
      </c>
      <c r="J12" s="88"/>
      <c r="K12" s="138" t="s">
        <v>41</v>
      </c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A13" s="137" t="s">
        <v>41</v>
      </c>
      <c r="B13" s="16"/>
      <c r="C13" s="49"/>
      <c r="D13" s="19" t="str">
        <f t="shared" si="0"/>
        <v/>
      </c>
      <c r="E13" s="27" t="s">
        <v>263</v>
      </c>
      <c r="F13" s="18" t="str">
        <f t="shared" si="1"/>
        <v/>
      </c>
      <c r="G13" s="19" t="str">
        <f t="shared" si="2"/>
        <v/>
      </c>
      <c r="H13" s="76" t="str">
        <f t="shared" si="3"/>
        <v/>
      </c>
      <c r="I13" s="19" t="str">
        <f t="shared" si="4"/>
        <v/>
      </c>
      <c r="J13" s="88"/>
      <c r="K13" s="135" t="s">
        <v>42</v>
      </c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B14" s="16"/>
      <c r="C14" s="49"/>
      <c r="D14" s="19" t="str">
        <f t="shared" si="0"/>
        <v/>
      </c>
      <c r="E14" s="136"/>
      <c r="F14" s="18" t="str">
        <f t="shared" ref="F14:F20" si="5">IF(B14="x",IF(C14=0,"",C14),"")</f>
        <v/>
      </c>
      <c r="G14" s="19" t="str">
        <f t="shared" ref="G14:G20" si="6">IF(B14="x",D14,"")</f>
        <v/>
      </c>
      <c r="H14" s="76" t="str">
        <f t="shared" ref="H14:H20" si="7">IF(C14="","",INT(D14/16))</f>
        <v/>
      </c>
      <c r="I14" s="19" t="str">
        <f t="shared" ref="I14:I20" si="8">IF(D14="","",MOD(D14,16))</f>
        <v/>
      </c>
      <c r="J14" s="88"/>
      <c r="K14" s="135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B15" s="16"/>
      <c r="C15" s="49"/>
      <c r="D15" s="19" t="str">
        <f t="shared" si="0"/>
        <v/>
      </c>
      <c r="E15" s="35"/>
      <c r="F15" s="18" t="str">
        <f t="shared" si="5"/>
        <v/>
      </c>
      <c r="G15" s="19" t="str">
        <f t="shared" si="6"/>
        <v/>
      </c>
      <c r="H15" s="76" t="str">
        <f t="shared" si="7"/>
        <v/>
      </c>
      <c r="I15" s="19" t="str">
        <f t="shared" si="8"/>
        <v/>
      </c>
      <c r="J15" s="88"/>
      <c r="K15" s="135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B16" s="16"/>
      <c r="C16" s="49"/>
      <c r="D16" s="19" t="str">
        <f t="shared" si="0"/>
        <v/>
      </c>
      <c r="E16" s="35"/>
      <c r="F16" s="18" t="str">
        <f t="shared" si="5"/>
        <v/>
      </c>
      <c r="G16" s="19" t="str">
        <f t="shared" si="6"/>
        <v/>
      </c>
      <c r="H16" s="76" t="str">
        <f t="shared" si="7"/>
        <v/>
      </c>
      <c r="I16" s="19" t="str">
        <f t="shared" si="8"/>
        <v/>
      </c>
      <c r="J16" s="88"/>
      <c r="K16" s="135"/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B17" s="16"/>
      <c r="C17" s="49"/>
      <c r="D17" s="19" t="str">
        <f t="shared" si="0"/>
        <v/>
      </c>
      <c r="E17" s="35"/>
      <c r="F17" s="18" t="str">
        <f t="shared" si="5"/>
        <v/>
      </c>
      <c r="G17" s="19" t="str">
        <f t="shared" si="6"/>
        <v/>
      </c>
      <c r="H17" s="76" t="str">
        <f t="shared" si="7"/>
        <v/>
      </c>
      <c r="I17" s="19" t="str">
        <f t="shared" si="8"/>
        <v/>
      </c>
      <c r="J17" s="88"/>
      <c r="K17" s="135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x14ac:dyDescent="0.25">
      <c r="B18" s="16"/>
      <c r="C18" s="49"/>
      <c r="D18" s="19" t="str">
        <f t="shared" si="0"/>
        <v/>
      </c>
      <c r="E18" s="35"/>
      <c r="F18" s="18" t="str">
        <f t="shared" si="5"/>
        <v/>
      </c>
      <c r="G18" s="19" t="str">
        <f t="shared" si="6"/>
        <v/>
      </c>
      <c r="H18" s="76" t="str">
        <f t="shared" si="7"/>
        <v/>
      </c>
      <c r="I18" s="19" t="str">
        <f t="shared" si="8"/>
        <v/>
      </c>
      <c r="J18" s="88"/>
      <c r="K18" s="135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B19" s="16"/>
      <c r="C19" s="49"/>
      <c r="D19" s="19" t="str">
        <f t="shared" si="0"/>
        <v/>
      </c>
      <c r="E19" s="35"/>
      <c r="F19" s="18" t="str">
        <f t="shared" si="5"/>
        <v/>
      </c>
      <c r="G19" s="19" t="str">
        <f t="shared" si="6"/>
        <v/>
      </c>
      <c r="H19" s="76" t="str">
        <f t="shared" si="7"/>
        <v/>
      </c>
      <c r="I19" s="19" t="str">
        <f t="shared" si="8"/>
        <v/>
      </c>
      <c r="J19" s="88"/>
      <c r="K19" s="135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A20" s="137" t="s">
        <v>41</v>
      </c>
      <c r="B20" s="16"/>
      <c r="C20" s="49"/>
      <c r="D20" s="19" t="str">
        <f t="shared" si="0"/>
        <v/>
      </c>
      <c r="E20" s="49"/>
      <c r="F20" s="18" t="str">
        <f t="shared" si="5"/>
        <v/>
      </c>
      <c r="G20" s="19" t="str">
        <f t="shared" si="6"/>
        <v/>
      </c>
      <c r="H20" s="76" t="str">
        <f t="shared" si="7"/>
        <v/>
      </c>
      <c r="I20" s="19" t="str">
        <f t="shared" si="8"/>
        <v/>
      </c>
      <c r="J20" s="18"/>
      <c r="K20" s="138" t="s">
        <v>41</v>
      </c>
      <c r="L20" s="19"/>
      <c r="M20" s="21"/>
      <c r="N20" s="21"/>
      <c r="O20" s="21"/>
      <c r="P20" s="21"/>
      <c r="Q20" s="21"/>
      <c r="R20" s="21"/>
      <c r="S20" s="21"/>
      <c r="T20" s="13"/>
    </row>
    <row r="21" spans="1:20" ht="15.75" thickBot="1" x14ac:dyDescent="0.3">
      <c r="B21" s="145" t="s">
        <v>261</v>
      </c>
      <c r="C21" s="49"/>
      <c r="D21" s="19"/>
      <c r="E21" s="21"/>
      <c r="F21" s="21"/>
      <c r="G21" s="21"/>
      <c r="H21" s="78"/>
      <c r="I21" s="21"/>
      <c r="J21" s="18"/>
      <c r="K21" s="135"/>
      <c r="L21" s="19"/>
      <c r="M21" s="21"/>
      <c r="N21" s="21"/>
      <c r="O21" s="21"/>
      <c r="P21" s="21"/>
      <c r="Q21" s="21"/>
      <c r="R21" s="21"/>
      <c r="S21" s="21"/>
      <c r="T21" s="13"/>
    </row>
    <row r="22" spans="1:20" s="17" customFormat="1" ht="16.5" thickTop="1" thickBot="1" x14ac:dyDescent="0.3">
      <c r="A22" s="137"/>
      <c r="B22" s="16"/>
      <c r="C22" s="66">
        <f>SUM(F2:F20)</f>
        <v>1606</v>
      </c>
      <c r="D22" s="33">
        <f>IF(ISBLANK(C22),"", C22/$D$24)</f>
        <v>56.65002910104235</v>
      </c>
      <c r="E22" s="58" t="s">
        <v>166</v>
      </c>
      <c r="F22" s="56" t="s">
        <v>165</v>
      </c>
      <c r="G22" s="57" t="s">
        <v>1</v>
      </c>
      <c r="H22" s="79"/>
      <c r="I22" s="57"/>
      <c r="J22" s="21"/>
      <c r="K22" s="132"/>
      <c r="M22" s="32"/>
    </row>
    <row r="23" spans="1:20" s="17" customFormat="1" ht="16.5" thickTop="1" thickBot="1" x14ac:dyDescent="0.3">
      <c r="A23" s="137"/>
      <c r="B23" s="16"/>
      <c r="C23" s="65"/>
      <c r="D23" s="7">
        <f>C22</f>
        <v>1606</v>
      </c>
      <c r="E23" s="30" t="s">
        <v>27</v>
      </c>
      <c r="F23" s="5">
        <f>TRUNC(D23/D24/16)</f>
        <v>3</v>
      </c>
      <c r="G23" s="24">
        <f>(D23/D24/16-TRUNC(D23/D24/16))*16</f>
        <v>8.6500291010423496</v>
      </c>
      <c r="J23" s="32"/>
      <c r="K23" s="132"/>
    </row>
    <row r="24" spans="1:20" s="17" customFormat="1" ht="15.75" thickBot="1" x14ac:dyDescent="0.3">
      <c r="A24" s="137"/>
      <c r="B24" s="16"/>
      <c r="C24" s="65"/>
      <c r="D24" s="9">
        <v>28.349499999999999</v>
      </c>
      <c r="E24" s="5" t="s">
        <v>31</v>
      </c>
      <c r="H24" s="32"/>
      <c r="K24" s="132"/>
    </row>
    <row r="25" spans="1:20" s="17" customFormat="1" ht="15.75" thickBot="1" x14ac:dyDescent="0.3">
      <c r="A25" s="137"/>
      <c r="B25" s="16"/>
      <c r="C25" s="65"/>
      <c r="D25" s="9">
        <v>3.5274E-2</v>
      </c>
      <c r="E25" s="6" t="s">
        <v>35</v>
      </c>
      <c r="H25" s="32"/>
      <c r="K25" s="132"/>
    </row>
    <row r="26" spans="1:20" s="17" customFormat="1" ht="15" x14ac:dyDescent="0.25">
      <c r="A26" s="137"/>
      <c r="B26" s="16"/>
      <c r="C26" s="65"/>
      <c r="D26" s="18"/>
      <c r="E26" s="1" t="s">
        <v>36</v>
      </c>
      <c r="H26" s="32"/>
      <c r="K26" s="132"/>
    </row>
    <row r="27" spans="1:20" s="17" customFormat="1" ht="15" x14ac:dyDescent="0.25">
      <c r="A27" s="137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K27" s="132"/>
      <c r="M27" s="32"/>
    </row>
    <row r="28" spans="1:20" s="17" customFormat="1" ht="15" x14ac:dyDescent="0.25">
      <c r="A28" s="137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K28" s="132"/>
      <c r="M28" s="32"/>
    </row>
    <row r="29" spans="1:20" s="17" customFormat="1" ht="15" x14ac:dyDescent="0.25">
      <c r="A29" s="137"/>
      <c r="B29" s="13"/>
      <c r="C29" s="65"/>
      <c r="D29" s="18"/>
      <c r="E29" s="18"/>
      <c r="F29" s="18"/>
      <c r="G29" s="18"/>
      <c r="H29" s="76"/>
      <c r="I29" s="18"/>
      <c r="J29" s="18"/>
      <c r="K29" s="132"/>
      <c r="M29" s="32"/>
    </row>
    <row r="30" spans="1:20" s="17" customFormat="1" ht="15" x14ac:dyDescent="0.25">
      <c r="A30" s="137"/>
      <c r="B30" s="13"/>
      <c r="C30" s="65"/>
      <c r="D30" s="18"/>
      <c r="E30" s="18"/>
      <c r="F30" s="18"/>
      <c r="G30" s="18"/>
      <c r="H30" s="76"/>
      <c r="I30" s="18"/>
      <c r="J30" s="18"/>
      <c r="K30" s="132"/>
      <c r="M30" s="32"/>
    </row>
    <row r="31" spans="1:20" s="17" customFormat="1" ht="15" x14ac:dyDescent="0.25">
      <c r="A31" s="137"/>
      <c r="B31" s="13"/>
      <c r="C31" s="65"/>
      <c r="D31" s="18"/>
      <c r="E31" s="18"/>
      <c r="F31" s="18"/>
      <c r="G31" s="18"/>
      <c r="H31" s="76"/>
      <c r="I31" s="18"/>
      <c r="J31" s="18"/>
      <c r="K31" s="132"/>
      <c r="M31" s="32"/>
    </row>
    <row r="32" spans="1:20" s="17" customFormat="1" x14ac:dyDescent="0.2">
      <c r="A32" s="137"/>
      <c r="B32" s="13"/>
      <c r="C32" s="52"/>
      <c r="H32" s="74"/>
      <c r="K32" s="132"/>
      <c r="M32" s="32"/>
    </row>
    <row r="34" spans="1:13" x14ac:dyDescent="0.2">
      <c r="E34" s="13"/>
    </row>
    <row r="35" spans="1:13" s="17" customFormat="1" x14ac:dyDescent="0.2">
      <c r="A35" s="137"/>
      <c r="B35" s="13"/>
      <c r="C35" s="52"/>
      <c r="E35" s="13"/>
      <c r="H35" s="74"/>
      <c r="K35" s="132"/>
      <c r="M35" s="32"/>
    </row>
    <row r="36" spans="1:13" s="17" customFormat="1" x14ac:dyDescent="0.2">
      <c r="A36" s="137"/>
      <c r="B36" s="13"/>
      <c r="C36" s="52"/>
      <c r="E36" s="13"/>
      <c r="H36" s="74"/>
      <c r="K36" s="132"/>
      <c r="M36" s="32"/>
    </row>
    <row r="37" spans="1:13" s="17" customFormat="1" x14ac:dyDescent="0.2">
      <c r="A37" s="137"/>
      <c r="B37" s="13"/>
      <c r="C37" s="52"/>
      <c r="E37" s="13"/>
      <c r="H37" s="74"/>
      <c r="K37" s="132"/>
      <c r="M37" s="32"/>
    </row>
    <row r="38" spans="1:13" s="17" customFormat="1" x14ac:dyDescent="0.2">
      <c r="A38" s="137"/>
      <c r="B38" s="13"/>
      <c r="C38" s="52"/>
      <c r="E38" s="13"/>
      <c r="H38" s="74"/>
      <c r="K38" s="132"/>
      <c r="M38" s="32"/>
    </row>
    <row r="39" spans="1:13" s="17" customFormat="1" x14ac:dyDescent="0.2">
      <c r="A39" s="137"/>
      <c r="B39" s="13"/>
      <c r="C39" s="52"/>
      <c r="E39" s="13"/>
      <c r="H39" s="74"/>
      <c r="K39" s="132"/>
      <c r="M39" s="32"/>
    </row>
    <row r="40" spans="1:13" s="17" customFormat="1" x14ac:dyDescent="0.2">
      <c r="A40" s="137"/>
      <c r="B40" s="13"/>
      <c r="C40" s="52"/>
      <c r="E40" s="13"/>
      <c r="H40" s="74"/>
      <c r="K40" s="132"/>
      <c r="M40" s="32"/>
    </row>
    <row r="41" spans="1:13" s="17" customFormat="1" x14ac:dyDescent="0.2">
      <c r="A41" s="137"/>
      <c r="B41" s="13"/>
      <c r="C41" s="52"/>
      <c r="E41" s="13"/>
      <c r="H41" s="74"/>
      <c r="K41" s="132"/>
      <c r="M41" s="32"/>
    </row>
    <row r="42" spans="1:13" s="17" customFormat="1" x14ac:dyDescent="0.2">
      <c r="A42" s="137"/>
      <c r="B42" s="13"/>
      <c r="C42" s="52"/>
      <c r="E42" s="13"/>
      <c r="H42" s="74"/>
      <c r="K42" s="132"/>
      <c r="M42" s="32"/>
    </row>
    <row r="43" spans="1:13" s="17" customFormat="1" x14ac:dyDescent="0.2">
      <c r="A43" s="137"/>
      <c r="B43" s="13"/>
      <c r="C43" s="52"/>
      <c r="E43" s="13"/>
      <c r="H43" s="74"/>
      <c r="K43" s="132"/>
      <c r="M43" s="32"/>
    </row>
    <row r="44" spans="1:13" s="17" customFormat="1" x14ac:dyDescent="0.2">
      <c r="A44" s="137"/>
      <c r="B44" s="13"/>
      <c r="C44" s="52"/>
      <c r="E44" s="13"/>
      <c r="H44" s="74"/>
      <c r="K44" s="132"/>
      <c r="M44" s="32"/>
    </row>
    <row r="45" spans="1:13" s="17" customFormat="1" x14ac:dyDescent="0.2">
      <c r="A45" s="137"/>
      <c r="B45" s="13"/>
      <c r="C45" s="52"/>
      <c r="E45" s="13"/>
      <c r="H45" s="74"/>
      <c r="K45" s="132"/>
      <c r="M45" s="32"/>
    </row>
    <row r="46" spans="1:13" s="17" customFormat="1" x14ac:dyDescent="0.2">
      <c r="A46" s="137"/>
      <c r="B46" s="13"/>
      <c r="C46" s="52"/>
      <c r="E46" s="13"/>
      <c r="H46" s="74"/>
      <c r="K46" s="132"/>
      <c r="M46" s="32"/>
    </row>
    <row r="47" spans="1:13" s="17" customFormat="1" x14ac:dyDescent="0.2">
      <c r="A47" s="137"/>
      <c r="B47" s="13"/>
      <c r="C47" s="52"/>
      <c r="E47" s="13"/>
      <c r="H47" s="74"/>
      <c r="K47" s="132"/>
      <c r="M47" s="32"/>
    </row>
    <row r="48" spans="1:13" s="17" customFormat="1" x14ac:dyDescent="0.2">
      <c r="A48" s="137"/>
      <c r="B48" s="13"/>
      <c r="C48" s="52"/>
      <c r="H48" s="74"/>
      <c r="K48" s="132"/>
      <c r="M48" s="32"/>
    </row>
  </sheetData>
  <conditionalFormatting sqref="B3">
    <cfRule type="expression" dxfId="42" priority="5">
      <formula>AND(COUNTBLANK($C$3)=0,$C$3=0)</formula>
    </cfRule>
  </conditionalFormatting>
  <conditionalFormatting sqref="B3:B20">
    <cfRule type="expression" dxfId="41" priority="4">
      <formula>AND($B3="x",AND(COUNTBLANK($C3)=0,$C3=0))</formula>
    </cfRule>
  </conditionalFormatting>
  <conditionalFormatting sqref="C4:C20">
    <cfRule type="expression" dxfId="40" priority="3">
      <formula>AND(COUNTBLANK($C4)=0,$C4=0)</formula>
    </cfRule>
  </conditionalFormatting>
  <conditionalFormatting sqref="E3:E13 E15:E20">
    <cfRule type="containsText" priority="1" stopIfTrue="1" operator="containsText" text="~*~*">
      <formula>NOT(ISERROR(SEARCH("~*~*",E3)))</formula>
    </cfRule>
    <cfRule type="containsText" dxfId="39" priority="2" operator="containsText" text="~*">
      <formula>NOT(ISERROR(SEARCH("~*",E3)))</formula>
    </cfRule>
  </conditionalFormatting>
  <dataValidations disablePrompts="1" count="6">
    <dataValidation type="list" allowBlank="1" showInputMessage="1" showErrorMessage="1" sqref="N9" xr:uid="{C0054BAF-6B37-41A5-B1ED-203F77C052A4}">
      <formula1>SleepingBagLiners</formula1>
    </dataValidation>
    <dataValidation type="list" allowBlank="1" showInputMessage="1" showErrorMessage="1" sqref="N8" xr:uid="{21376378-DEAA-45F6-BE27-55670B2F08A2}">
      <formula1>SleepingBags</formula1>
    </dataValidation>
    <dataValidation type="list" allowBlank="1" showInputMessage="1" showErrorMessage="1" sqref="N7" xr:uid="{C7869C74-5D70-4D16-8177-271AA0A0E9BD}">
      <formula1>AirMatresses</formula1>
    </dataValidation>
    <dataValidation type="list" allowBlank="1" showInputMessage="1" showErrorMessage="1" sqref="N6" xr:uid="{E2CFD83A-3205-4659-B14C-A533DBB9EEE5}">
      <formula1>Hammocks</formula1>
    </dataValidation>
    <dataValidation type="list" allowBlank="1" showInputMessage="1" showErrorMessage="1" sqref="N5" xr:uid="{3ED426A5-9474-4C7A-B643-9F2D16082EEF}">
      <formula1>PackCover</formula1>
    </dataValidation>
    <dataValidation type="list" allowBlank="1" showInputMessage="1" showErrorMessage="1" sqref="N4" xr:uid="{3CEB3346-D79D-4C15-8B48-271138DEA1FA}">
      <formula1>Backpacks</formula1>
    </dataValidation>
  </dataValidations>
  <hyperlinks>
    <hyperlink ref="A1" location="Menu!A1" display="Menu!A1" xr:uid="{1D1005C7-8522-4886-BC02-E597A6F127BD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6A037-3697-4940-8892-7233DBE13C47}">
  <sheetPr codeName="Sheet7"/>
  <dimension ref="A1:T57"/>
  <sheetViews>
    <sheetView zoomScaleNormal="100" workbookViewId="0">
      <pane ySplit="2" topLeftCell="A3" activePane="bottomLeft" state="frozen"/>
      <selection activeCell="E1" sqref="E1"/>
      <selection pane="bottomLeft" activeCell="J26" sqref="J26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COUNTIFS(B3:B27,"=x",C3:C27,"=0")</f>
        <v>0</v>
      </c>
      <c r="C1" s="67">
        <f>COUNTIF(C3:C27,"=0")</f>
        <v>2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A3" s="16"/>
      <c r="B3" s="16" t="s">
        <v>42</v>
      </c>
      <c r="C3" s="49" t="s">
        <v>41</v>
      </c>
      <c r="D3" s="69" t="s">
        <v>41</v>
      </c>
      <c r="E3" s="38" t="s">
        <v>61</v>
      </c>
      <c r="F3" s="18" t="s">
        <v>41</v>
      </c>
      <c r="G3" s="19" t="s">
        <v>41</v>
      </c>
      <c r="H3" s="76" t="s">
        <v>41</v>
      </c>
      <c r="I3" s="19" t="s">
        <v>41</v>
      </c>
      <c r="J3" s="131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/>
      <c r="C4" s="49">
        <v>384</v>
      </c>
      <c r="D4" s="19">
        <f t="shared" ref="D4:D30" si="0">IF(ISBLANK(C4),"", C4/$D$34)</f>
        <v>13.545212437609129</v>
      </c>
      <c r="E4" s="26" t="s">
        <v>189</v>
      </c>
      <c r="F4" s="18" t="str">
        <f t="shared" ref="F4:F27" si="1">IF(B4="x",IF(C4=0,"",C4),"")</f>
        <v/>
      </c>
      <c r="G4" s="19" t="str">
        <f t="shared" ref="G4:G27" si="2">IF(B4="x",D4,"")</f>
        <v/>
      </c>
      <c r="H4" s="76">
        <f t="shared" ref="H4:H27" si="3">IF(C4="","",INT(D4/16))</f>
        <v>0</v>
      </c>
      <c r="I4" s="19">
        <f t="shared" ref="I4:I27" si="4">IF(D4="","",MOD(D4,16))</f>
        <v>13.545212437609129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A5" s="16" t="s">
        <v>215</v>
      </c>
      <c r="B5" s="13" t="s">
        <v>42</v>
      </c>
      <c r="C5" s="49">
        <v>233</v>
      </c>
      <c r="D5" s="19">
        <f t="shared" si="0"/>
        <v>8.2188398384451222</v>
      </c>
      <c r="E5" s="68" t="s">
        <v>194</v>
      </c>
      <c r="F5" s="18">
        <f t="shared" si="1"/>
        <v>233</v>
      </c>
      <c r="G5" s="19">
        <f t="shared" si="2"/>
        <v>8.2188398384451222</v>
      </c>
      <c r="H5" s="76">
        <f t="shared" si="3"/>
        <v>0</v>
      </c>
      <c r="I5" s="19">
        <f t="shared" si="4"/>
        <v>8.2188398384451222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customHeight="1" x14ac:dyDescent="0.25">
      <c r="A6" s="16"/>
      <c r="C6" s="49"/>
      <c r="D6" s="19" t="str">
        <f t="shared" si="0"/>
        <v/>
      </c>
      <c r="E6" s="87" t="s">
        <v>231</v>
      </c>
      <c r="F6" s="18" t="str">
        <f t="shared" si="1"/>
        <v/>
      </c>
      <c r="G6" s="19" t="str">
        <f t="shared" si="2"/>
        <v/>
      </c>
      <c r="H6" s="76" t="str">
        <f t="shared" si="3"/>
        <v/>
      </c>
      <c r="I6" s="19" t="str">
        <f t="shared" si="4"/>
        <v/>
      </c>
      <c r="J6" s="88"/>
      <c r="K6" s="18" t="s">
        <v>42</v>
      </c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/>
      <c r="D7" s="19" t="str">
        <f t="shared" si="0"/>
        <v/>
      </c>
      <c r="E7" s="71" t="s">
        <v>205</v>
      </c>
      <c r="F7" s="18" t="str">
        <f t="shared" si="1"/>
        <v/>
      </c>
      <c r="G7" s="19" t="str">
        <f t="shared" si="2"/>
        <v/>
      </c>
      <c r="H7" s="76" t="str">
        <f t="shared" si="3"/>
        <v/>
      </c>
      <c r="I7" s="19" t="str">
        <f t="shared" si="4"/>
        <v/>
      </c>
      <c r="J7" s="88"/>
      <c r="K7" s="18" t="s">
        <v>42</v>
      </c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A8" s="13" t="s">
        <v>215</v>
      </c>
      <c r="B8" s="16" t="s">
        <v>42</v>
      </c>
      <c r="C8" s="49">
        <v>207</v>
      </c>
      <c r="D8" s="19">
        <f t="shared" si="0"/>
        <v>7.3017160796486715</v>
      </c>
      <c r="E8" s="68" t="s">
        <v>206</v>
      </c>
      <c r="F8" s="18">
        <f t="shared" si="1"/>
        <v>207</v>
      </c>
      <c r="G8" s="19">
        <f t="shared" si="2"/>
        <v>7.3017160796486715</v>
      </c>
      <c r="H8" s="76">
        <f t="shared" si="3"/>
        <v>0</v>
      </c>
      <c r="I8" s="19">
        <f t="shared" si="4"/>
        <v>7.3017160796486715</v>
      </c>
      <c r="J8" s="88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C9" s="49">
        <v>226</v>
      </c>
      <c r="D9" s="19">
        <f t="shared" si="0"/>
        <v>7.9719219033845397</v>
      </c>
      <c r="E9" s="68" t="s">
        <v>207</v>
      </c>
      <c r="F9" s="18" t="str">
        <f t="shared" si="1"/>
        <v/>
      </c>
      <c r="G9" s="19" t="str">
        <f t="shared" si="2"/>
        <v/>
      </c>
      <c r="H9" s="76">
        <f t="shared" si="3"/>
        <v>0</v>
      </c>
      <c r="I9" s="19">
        <f t="shared" si="4"/>
        <v>7.9719219033845397</v>
      </c>
      <c r="J9" s="88"/>
      <c r="K9" s="18"/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97</v>
      </c>
      <c r="D10" s="19">
        <f t="shared" si="0"/>
        <v>3.4215771001252229</v>
      </c>
      <c r="E10" s="39" t="s">
        <v>62</v>
      </c>
      <c r="F10" s="18" t="str">
        <f t="shared" si="1"/>
        <v/>
      </c>
      <c r="G10" s="19" t="str">
        <f t="shared" si="2"/>
        <v/>
      </c>
      <c r="H10" s="76">
        <f t="shared" si="3"/>
        <v>0</v>
      </c>
      <c r="I10" s="19">
        <f t="shared" si="4"/>
        <v>3.4215771001252229</v>
      </c>
      <c r="J10" s="88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A11" s="13" t="s">
        <v>215</v>
      </c>
      <c r="B11" s="16" t="s">
        <v>42</v>
      </c>
      <c r="C11" s="49">
        <v>82</v>
      </c>
      <c r="D11" s="19">
        <f t="shared" si="0"/>
        <v>2.8924672392811162</v>
      </c>
      <c r="E11" s="39" t="s">
        <v>195</v>
      </c>
      <c r="F11" s="18">
        <f t="shared" si="1"/>
        <v>82</v>
      </c>
      <c r="G11" s="19">
        <f t="shared" si="2"/>
        <v>2.8924672392811162</v>
      </c>
      <c r="H11" s="76">
        <f t="shared" si="3"/>
        <v>0</v>
      </c>
      <c r="I11" s="19">
        <f t="shared" si="4"/>
        <v>2.8924672392811162</v>
      </c>
      <c r="J11" s="88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B12" s="16"/>
      <c r="C12" s="49">
        <v>40</v>
      </c>
      <c r="D12" s="19">
        <f t="shared" si="0"/>
        <v>1.4109596289176176</v>
      </c>
      <c r="E12" s="26" t="s">
        <v>63</v>
      </c>
      <c r="F12" s="18" t="str">
        <f t="shared" si="1"/>
        <v/>
      </c>
      <c r="G12" s="19" t="str">
        <f t="shared" si="2"/>
        <v/>
      </c>
      <c r="H12" s="76">
        <f t="shared" si="3"/>
        <v>0</v>
      </c>
      <c r="I12" s="19">
        <f t="shared" si="4"/>
        <v>1.4109596289176176</v>
      </c>
      <c r="J12" s="88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A13" s="13" t="s">
        <v>215</v>
      </c>
      <c r="B13" s="16" t="s">
        <v>42</v>
      </c>
      <c r="C13" s="49">
        <v>40</v>
      </c>
      <c r="D13" s="19">
        <f t="shared" si="0"/>
        <v>1.4109596289176176</v>
      </c>
      <c r="E13" s="26" t="s">
        <v>196</v>
      </c>
      <c r="F13" s="18">
        <f t="shared" si="1"/>
        <v>40</v>
      </c>
      <c r="G13" s="19">
        <f t="shared" si="2"/>
        <v>1.4109596289176176</v>
      </c>
      <c r="H13" s="76">
        <f t="shared" si="3"/>
        <v>0</v>
      </c>
      <c r="I13" s="19">
        <f t="shared" si="4"/>
        <v>1.4109596289176176</v>
      </c>
      <c r="J13" s="88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B14" s="16"/>
      <c r="C14" s="49">
        <v>750</v>
      </c>
      <c r="D14" s="19">
        <f t="shared" si="0"/>
        <v>26.45549304220533</v>
      </c>
      <c r="E14" s="39" t="s">
        <v>64</v>
      </c>
      <c r="F14" s="18" t="str">
        <f t="shared" si="1"/>
        <v/>
      </c>
      <c r="G14" s="19" t="str">
        <f t="shared" si="2"/>
        <v/>
      </c>
      <c r="H14" s="76">
        <f t="shared" si="3"/>
        <v>1</v>
      </c>
      <c r="I14" s="19">
        <f t="shared" si="4"/>
        <v>10.45549304220533</v>
      </c>
      <c r="J14" s="88"/>
      <c r="K14" s="18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30" x14ac:dyDescent="0.25">
      <c r="A15" s="13" t="s">
        <v>214</v>
      </c>
      <c r="B15" s="13" t="s">
        <v>42</v>
      </c>
      <c r="C15" s="49">
        <v>474</v>
      </c>
      <c r="D15" s="19">
        <f t="shared" si="0"/>
        <v>16.71987160267377</v>
      </c>
      <c r="E15" s="39" t="s">
        <v>191</v>
      </c>
      <c r="F15" s="18">
        <v>300</v>
      </c>
      <c r="G15" s="19">
        <f t="shared" si="2"/>
        <v>16.71987160267377</v>
      </c>
      <c r="H15" s="76">
        <f t="shared" si="3"/>
        <v>1</v>
      </c>
      <c r="I15" s="19">
        <f t="shared" si="4"/>
        <v>0.71987160267376993</v>
      </c>
      <c r="J15" s="89" t="s">
        <v>181</v>
      </c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A16" s="13" t="s">
        <v>214</v>
      </c>
      <c r="B16" s="13" t="s">
        <v>42</v>
      </c>
      <c r="C16" s="49">
        <v>80</v>
      </c>
      <c r="D16" s="19">
        <f t="shared" si="0"/>
        <v>2.8219192578352352</v>
      </c>
      <c r="E16" s="26" t="s">
        <v>67</v>
      </c>
      <c r="F16" s="18">
        <f t="shared" si="1"/>
        <v>80</v>
      </c>
      <c r="G16" s="19">
        <f t="shared" si="2"/>
        <v>2.8219192578352352</v>
      </c>
      <c r="H16" s="76">
        <f t="shared" si="3"/>
        <v>0</v>
      </c>
      <c r="I16" s="19">
        <f t="shared" si="4"/>
        <v>2.8219192578352352</v>
      </c>
      <c r="J16" s="88"/>
      <c r="K16" s="18"/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B17" s="16"/>
      <c r="C17" s="49">
        <v>115</v>
      </c>
      <c r="D17" s="19">
        <f t="shared" si="0"/>
        <v>4.0565089331381508</v>
      </c>
      <c r="E17" s="26" t="s">
        <v>68</v>
      </c>
      <c r="F17" s="18" t="str">
        <f t="shared" si="1"/>
        <v/>
      </c>
      <c r="G17" s="19" t="str">
        <f t="shared" si="2"/>
        <v/>
      </c>
      <c r="H17" s="76">
        <f t="shared" si="3"/>
        <v>0</v>
      </c>
      <c r="I17" s="19">
        <f t="shared" si="4"/>
        <v>4.0565089331381508</v>
      </c>
      <c r="J17" s="49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customHeight="1" x14ac:dyDescent="0.25">
      <c r="A18" s="13" t="s">
        <v>216</v>
      </c>
      <c r="C18" s="49">
        <v>126</v>
      </c>
      <c r="D18" s="19">
        <f t="shared" si="0"/>
        <v>4.4445228310904952</v>
      </c>
      <c r="E18" s="26" t="s">
        <v>69</v>
      </c>
      <c r="F18" s="18" t="str">
        <f t="shared" si="1"/>
        <v/>
      </c>
      <c r="G18" s="19" t="str">
        <f t="shared" si="2"/>
        <v/>
      </c>
      <c r="H18" s="76">
        <f t="shared" si="3"/>
        <v>0</v>
      </c>
      <c r="I18" s="19">
        <f t="shared" si="4"/>
        <v>4.4445228310904952</v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A19" s="13" t="s">
        <v>215</v>
      </c>
      <c r="C19" s="49">
        <v>311</v>
      </c>
      <c r="D19" s="19">
        <f t="shared" si="0"/>
        <v>10.970211114834477</v>
      </c>
      <c r="E19" s="39" t="s">
        <v>65</v>
      </c>
      <c r="F19" s="18" t="str">
        <f t="shared" si="1"/>
        <v/>
      </c>
      <c r="G19" s="19" t="str">
        <f t="shared" si="2"/>
        <v/>
      </c>
      <c r="H19" s="76">
        <f t="shared" si="3"/>
        <v>0</v>
      </c>
      <c r="I19" s="19">
        <f t="shared" si="4"/>
        <v>10.970211114834477</v>
      </c>
      <c r="J19" s="21"/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A20" s="13" t="s">
        <v>215</v>
      </c>
      <c r="C20" s="49">
        <v>0</v>
      </c>
      <c r="D20" s="19">
        <f t="shared" si="0"/>
        <v>0</v>
      </c>
      <c r="E20" s="40" t="s">
        <v>66</v>
      </c>
      <c r="F20" s="18" t="str">
        <f t="shared" si="1"/>
        <v/>
      </c>
      <c r="G20" s="19" t="str">
        <f t="shared" si="2"/>
        <v/>
      </c>
      <c r="H20" s="76">
        <f t="shared" si="3"/>
        <v>0</v>
      </c>
      <c r="I20" s="19">
        <f t="shared" si="4"/>
        <v>0</v>
      </c>
      <c r="J20" s="21" t="s">
        <v>177</v>
      </c>
      <c r="K20" s="18" t="s">
        <v>42</v>
      </c>
      <c r="L20" s="18"/>
      <c r="M20" s="19"/>
      <c r="N20" s="21"/>
      <c r="O20" s="21"/>
      <c r="P20" s="21"/>
      <c r="Q20" s="21"/>
      <c r="R20" s="21"/>
      <c r="S20" s="21"/>
      <c r="T20" s="21"/>
    </row>
    <row r="21" spans="1:20" ht="15" x14ac:dyDescent="0.25">
      <c r="A21" s="13" t="s">
        <v>216</v>
      </c>
      <c r="C21" s="49">
        <v>545</v>
      </c>
      <c r="D21" s="19">
        <f t="shared" si="0"/>
        <v>19.224324944002539</v>
      </c>
      <c r="E21" s="26" t="s">
        <v>70</v>
      </c>
      <c r="F21" s="18" t="str">
        <f t="shared" si="1"/>
        <v/>
      </c>
      <c r="G21" s="19" t="str">
        <f t="shared" si="2"/>
        <v/>
      </c>
      <c r="H21" s="76">
        <f t="shared" si="3"/>
        <v>1</v>
      </c>
      <c r="I21" s="19">
        <f t="shared" si="4"/>
        <v>3.2243249440025394</v>
      </c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1:20" ht="15" x14ac:dyDescent="0.25">
      <c r="A22" s="13" t="s">
        <v>216</v>
      </c>
      <c r="C22" s="49">
        <v>305</v>
      </c>
      <c r="D22" s="19">
        <f t="shared" si="0"/>
        <v>10.758567170496834</v>
      </c>
      <c r="E22" s="26" t="s">
        <v>71</v>
      </c>
      <c r="F22" s="18" t="str">
        <f t="shared" si="1"/>
        <v/>
      </c>
      <c r="G22" s="19" t="str">
        <f t="shared" si="2"/>
        <v/>
      </c>
      <c r="H22" s="76">
        <f t="shared" si="3"/>
        <v>0</v>
      </c>
      <c r="I22" s="19">
        <f t="shared" si="4"/>
        <v>10.758567170496834</v>
      </c>
      <c r="J22" s="21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1:20" ht="15" x14ac:dyDescent="0.25">
      <c r="B23" s="16" t="s">
        <v>42</v>
      </c>
      <c r="C23" s="49">
        <v>71</v>
      </c>
      <c r="D23" s="19">
        <f t="shared" si="0"/>
        <v>2.5044533413287713</v>
      </c>
      <c r="E23" s="21" t="s">
        <v>74</v>
      </c>
      <c r="F23" s="18">
        <f t="shared" si="1"/>
        <v>71</v>
      </c>
      <c r="G23" s="19">
        <f t="shared" si="2"/>
        <v>2.5044533413287713</v>
      </c>
      <c r="H23" s="76">
        <f t="shared" si="3"/>
        <v>0</v>
      </c>
      <c r="I23" s="19">
        <f t="shared" si="4"/>
        <v>2.5044533413287713</v>
      </c>
      <c r="J23" s="21"/>
      <c r="K23" s="18"/>
      <c r="L23" s="18"/>
      <c r="M23" s="19"/>
      <c r="N23" s="21"/>
      <c r="O23" s="21"/>
      <c r="P23" s="21"/>
      <c r="Q23" s="21"/>
      <c r="R23" s="21"/>
      <c r="S23" s="21"/>
      <c r="T23" s="21"/>
    </row>
    <row r="24" spans="1:20" ht="15" x14ac:dyDescent="0.25">
      <c r="A24" s="13" t="s">
        <v>216</v>
      </c>
      <c r="B24" s="16"/>
      <c r="C24" s="49">
        <v>119</v>
      </c>
      <c r="D24" s="19">
        <f t="shared" si="0"/>
        <v>4.1976048960299126</v>
      </c>
      <c r="E24" s="21" t="s">
        <v>204</v>
      </c>
      <c r="F24" s="18" t="str">
        <f t="shared" si="1"/>
        <v/>
      </c>
      <c r="G24" s="19" t="str">
        <f t="shared" si="2"/>
        <v/>
      </c>
      <c r="H24" s="76">
        <f t="shared" si="3"/>
        <v>0</v>
      </c>
      <c r="I24" s="19">
        <f t="shared" si="4"/>
        <v>4.1976048960299126</v>
      </c>
      <c r="J24" s="21"/>
      <c r="K24" s="18"/>
      <c r="L24" s="18"/>
      <c r="M24" s="19"/>
      <c r="N24" s="21"/>
      <c r="O24" s="21"/>
      <c r="P24" s="21"/>
      <c r="Q24" s="21"/>
      <c r="R24" s="21"/>
      <c r="S24" s="21"/>
      <c r="T24" s="21"/>
    </row>
    <row r="25" spans="1:20" ht="15" x14ac:dyDescent="0.25">
      <c r="B25" s="16"/>
      <c r="C25" s="49">
        <v>195</v>
      </c>
      <c r="D25" s="19">
        <f t="shared" si="0"/>
        <v>6.878428190973386</v>
      </c>
      <c r="E25" s="21" t="s">
        <v>203</v>
      </c>
      <c r="F25" s="12" t="str">
        <f t="shared" si="1"/>
        <v/>
      </c>
      <c r="G25" s="19" t="str">
        <f t="shared" si="2"/>
        <v/>
      </c>
      <c r="H25" s="76">
        <f t="shared" si="3"/>
        <v>0</v>
      </c>
      <c r="I25" s="19">
        <f t="shared" si="4"/>
        <v>6.878428190973386</v>
      </c>
      <c r="J25" s="21"/>
      <c r="K25" s="18"/>
      <c r="L25" s="18"/>
      <c r="M25" s="19"/>
      <c r="N25" s="21"/>
      <c r="O25" s="21"/>
      <c r="P25" s="21"/>
      <c r="Q25" s="21"/>
      <c r="R25" s="21"/>
      <c r="S25" s="21"/>
      <c r="T25" s="21"/>
    </row>
    <row r="26" spans="1:20" ht="15" x14ac:dyDescent="0.25">
      <c r="C26" s="49">
        <v>0</v>
      </c>
      <c r="D26" s="19">
        <f t="shared" si="0"/>
        <v>0</v>
      </c>
      <c r="E26" s="21" t="s">
        <v>75</v>
      </c>
      <c r="F26" s="18" t="str">
        <f t="shared" si="1"/>
        <v/>
      </c>
      <c r="G26" s="19" t="str">
        <f t="shared" si="2"/>
        <v/>
      </c>
      <c r="H26" s="76">
        <f t="shared" si="3"/>
        <v>0</v>
      </c>
      <c r="I26" s="19">
        <f t="shared" si="4"/>
        <v>0</v>
      </c>
      <c r="J26" s="21"/>
      <c r="K26" s="18"/>
      <c r="L26" s="18"/>
      <c r="M26" s="19"/>
      <c r="N26" s="21"/>
      <c r="O26" s="21"/>
      <c r="P26" s="21"/>
      <c r="Q26" s="21"/>
      <c r="R26" s="21"/>
      <c r="S26" s="21"/>
      <c r="T26" s="21"/>
    </row>
    <row r="27" spans="1:20" ht="15" x14ac:dyDescent="0.25">
      <c r="B27" s="16" t="s">
        <v>42</v>
      </c>
      <c r="C27" s="49">
        <v>39</v>
      </c>
      <c r="D27" s="19">
        <f t="shared" si="0"/>
        <v>1.3756856381946772</v>
      </c>
      <c r="E27" s="21" t="s">
        <v>80</v>
      </c>
      <c r="F27" s="18">
        <f t="shared" si="1"/>
        <v>39</v>
      </c>
      <c r="G27" s="19">
        <f t="shared" si="2"/>
        <v>1.3756856381946772</v>
      </c>
      <c r="H27" s="76">
        <f t="shared" si="3"/>
        <v>0</v>
      </c>
      <c r="I27" s="19">
        <f t="shared" si="4"/>
        <v>1.3756856381946772</v>
      </c>
      <c r="K27" s="18"/>
      <c r="L27" s="18"/>
      <c r="M27" s="19"/>
      <c r="N27" s="21"/>
      <c r="O27" s="21"/>
      <c r="P27" s="21"/>
      <c r="Q27" s="21"/>
      <c r="R27" s="21"/>
      <c r="S27" s="21"/>
      <c r="T27" s="21"/>
    </row>
    <row r="28" spans="1:20" ht="15" x14ac:dyDescent="0.25">
      <c r="B28" s="16"/>
      <c r="C28" s="49"/>
      <c r="D28" s="19" t="str">
        <f t="shared" si="0"/>
        <v/>
      </c>
      <c r="E28" s="21"/>
      <c r="F28" s="18" t="str">
        <f t="shared" ref="F28:F30" si="5">IF(B28="x",IF(C28=0,"",C28),"")</f>
        <v/>
      </c>
      <c r="G28" s="19" t="str">
        <f t="shared" ref="G28:G30" si="6">IF(B28="x",D28,"")</f>
        <v/>
      </c>
      <c r="H28" s="76" t="str">
        <f t="shared" ref="H28:H30" si="7">IF(C28="","",INT(D28/16))</f>
        <v/>
      </c>
      <c r="I28" s="19" t="str">
        <f t="shared" ref="I28:I30" si="8">IF(D28="","",MOD(D28,16))</f>
        <v/>
      </c>
      <c r="K28" s="18"/>
      <c r="L28" s="18"/>
      <c r="M28" s="19"/>
      <c r="N28" s="21"/>
      <c r="O28" s="21"/>
      <c r="P28" s="21"/>
      <c r="Q28" s="21"/>
      <c r="R28" s="21"/>
      <c r="S28" s="21"/>
      <c r="T28" s="21"/>
    </row>
    <row r="29" spans="1:20" ht="15" x14ac:dyDescent="0.25">
      <c r="B29" s="16"/>
      <c r="C29" s="49"/>
      <c r="D29" s="19" t="str">
        <f t="shared" si="0"/>
        <v/>
      </c>
      <c r="E29" s="21"/>
      <c r="F29" s="18" t="str">
        <f t="shared" si="5"/>
        <v/>
      </c>
      <c r="G29" s="19" t="str">
        <f t="shared" si="6"/>
        <v/>
      </c>
      <c r="H29" s="76" t="str">
        <f t="shared" si="7"/>
        <v/>
      </c>
      <c r="I29" s="19" t="str">
        <f t="shared" si="8"/>
        <v/>
      </c>
      <c r="K29" s="18"/>
      <c r="L29" s="18"/>
      <c r="M29" s="19"/>
      <c r="N29" s="21"/>
      <c r="O29" s="21"/>
      <c r="P29" s="21"/>
      <c r="Q29" s="21"/>
      <c r="R29" s="21"/>
      <c r="S29" s="21"/>
      <c r="T29" s="21"/>
    </row>
    <row r="30" spans="1:20" s="17" customFormat="1" ht="15" x14ac:dyDescent="0.25">
      <c r="A30" s="13"/>
      <c r="B30" s="13"/>
      <c r="C30" s="49"/>
      <c r="D30" s="19" t="str">
        <f t="shared" si="0"/>
        <v/>
      </c>
      <c r="E30" s="13"/>
      <c r="F30" s="18" t="str">
        <f t="shared" si="5"/>
        <v/>
      </c>
      <c r="G30" s="19" t="str">
        <f t="shared" si="6"/>
        <v/>
      </c>
      <c r="H30" s="76" t="str">
        <f t="shared" si="7"/>
        <v/>
      </c>
      <c r="I30" s="19" t="str">
        <f t="shared" si="8"/>
        <v/>
      </c>
      <c r="J30" s="21"/>
      <c r="M30" s="32"/>
    </row>
    <row r="31" spans="1:20" s="17" customFormat="1" ht="15.75" thickBot="1" x14ac:dyDescent="0.3">
      <c r="A31" s="13"/>
      <c r="B31" s="16" t="s">
        <v>79</v>
      </c>
      <c r="C31" s="49"/>
      <c r="D31" s="19"/>
      <c r="E31" s="21"/>
      <c r="F31" s="21"/>
      <c r="G31" s="21"/>
      <c r="H31" s="78"/>
      <c r="I31" s="21"/>
      <c r="J31" s="21"/>
      <c r="M31" s="32"/>
    </row>
    <row r="32" spans="1:20" s="17" customFormat="1" ht="16.5" thickTop="1" thickBot="1" x14ac:dyDescent="0.3">
      <c r="A32" s="13"/>
      <c r="B32" s="16"/>
      <c r="C32" s="66">
        <f>SUM(F3:F30)</f>
        <v>1052</v>
      </c>
      <c r="D32" s="33">
        <f>IF(ISBLANK(C32),"", C32/$D$34)</f>
        <v>37.108238240533346</v>
      </c>
      <c r="E32" s="58" t="s">
        <v>166</v>
      </c>
      <c r="F32" s="56" t="s">
        <v>165</v>
      </c>
      <c r="G32" s="57" t="s">
        <v>1</v>
      </c>
      <c r="H32" s="79"/>
      <c r="I32" s="57"/>
      <c r="J32" s="29"/>
      <c r="M32" s="32"/>
    </row>
    <row r="33" spans="1:13" s="17" customFormat="1" ht="16.5" thickTop="1" thickBot="1" x14ac:dyDescent="0.3">
      <c r="A33" s="13"/>
      <c r="B33" s="16"/>
      <c r="C33" s="65"/>
      <c r="D33" s="7">
        <f>C32</f>
        <v>1052</v>
      </c>
      <c r="E33" s="30" t="s">
        <v>27</v>
      </c>
      <c r="F33" s="5">
        <f>TRUNC(D33/D34/16)</f>
        <v>2</v>
      </c>
      <c r="G33" s="24">
        <f>(D33/D34/16-TRUNC(D33/D34/16))*16</f>
        <v>5.1082382405333462</v>
      </c>
      <c r="J33" s="32"/>
    </row>
    <row r="34" spans="1:13" s="17" customFormat="1" ht="15.75" thickBot="1" x14ac:dyDescent="0.3">
      <c r="A34" s="13"/>
      <c r="B34" s="16"/>
      <c r="C34" s="65"/>
      <c r="D34" s="9">
        <v>28.349499999999999</v>
      </c>
      <c r="E34" s="5" t="s">
        <v>31</v>
      </c>
      <c r="H34" s="32"/>
    </row>
    <row r="35" spans="1:13" s="17" customFormat="1" ht="15.75" thickBot="1" x14ac:dyDescent="0.3">
      <c r="A35" s="13"/>
      <c r="B35" s="16"/>
      <c r="C35" s="65"/>
      <c r="D35" s="9">
        <v>3.5274E-2</v>
      </c>
      <c r="E35" s="6" t="s">
        <v>35</v>
      </c>
      <c r="H35" s="32"/>
    </row>
    <row r="36" spans="1:13" s="17" customFormat="1" ht="15" x14ac:dyDescent="0.25">
      <c r="A36" s="13"/>
      <c r="B36" s="16"/>
      <c r="C36" s="65"/>
      <c r="D36" s="18"/>
      <c r="E36" s="1" t="s">
        <v>36</v>
      </c>
      <c r="H36" s="32"/>
    </row>
    <row r="37" spans="1:13" s="17" customFormat="1" ht="15" x14ac:dyDescent="0.25">
      <c r="A37" s="13"/>
      <c r="B37" s="16"/>
      <c r="C37" s="65"/>
      <c r="D37" s="18"/>
      <c r="E37" s="11" t="s">
        <v>33</v>
      </c>
      <c r="H37" s="32"/>
    </row>
    <row r="38" spans="1:13" s="17" customFormat="1" ht="15" x14ac:dyDescent="0.25">
      <c r="A38" s="13"/>
      <c r="B38" s="16"/>
      <c r="C38" s="65"/>
      <c r="D38" s="18" t="s">
        <v>29</v>
      </c>
      <c r="E38" s="18" t="s">
        <v>30</v>
      </c>
      <c r="G38" s="18"/>
      <c r="H38" s="76"/>
      <c r="I38" s="18"/>
      <c r="J38" s="18"/>
      <c r="M38" s="32"/>
    </row>
    <row r="39" spans="1:13" s="17" customFormat="1" ht="15" x14ac:dyDescent="0.25">
      <c r="A39" s="13"/>
      <c r="B39" s="13"/>
      <c r="C39" s="65"/>
      <c r="D39" s="18"/>
      <c r="E39" s="18"/>
      <c r="F39" s="18"/>
      <c r="G39" s="18"/>
      <c r="H39" s="76"/>
      <c r="I39" s="18"/>
      <c r="J39" s="18"/>
      <c r="M39" s="32"/>
    </row>
    <row r="40" spans="1:13" s="17" customFormat="1" ht="15" x14ac:dyDescent="0.25">
      <c r="A40" s="13" t="s">
        <v>272</v>
      </c>
      <c r="B40" s="13"/>
      <c r="C40" s="65"/>
      <c r="D40" s="18"/>
      <c r="E40" s="18"/>
      <c r="F40" s="18"/>
      <c r="G40" s="18"/>
      <c r="H40" s="76"/>
      <c r="I40" s="18"/>
      <c r="J40" s="18"/>
      <c r="M40" s="32"/>
    </row>
    <row r="41" spans="1:13" s="17" customFormat="1" ht="15" x14ac:dyDescent="0.25">
      <c r="A41" s="13" t="s">
        <v>273</v>
      </c>
      <c r="B41" s="13"/>
      <c r="C41" s="65"/>
      <c r="D41" s="18"/>
      <c r="E41" s="18"/>
      <c r="F41" s="18"/>
      <c r="G41" s="18"/>
      <c r="H41" s="76"/>
      <c r="I41" s="18"/>
      <c r="J41" s="18"/>
      <c r="M41" s="32"/>
    </row>
    <row r="42" spans="1:13" s="17" customFormat="1" x14ac:dyDescent="0.2">
      <c r="A42" s="13" t="s">
        <v>274</v>
      </c>
      <c r="B42" s="13"/>
      <c r="C42" s="52"/>
      <c r="H42" s="74"/>
      <c r="M42" s="32"/>
    </row>
    <row r="43" spans="1:13" s="17" customFormat="1" x14ac:dyDescent="0.2">
      <c r="A43" s="13"/>
      <c r="B43" s="13"/>
      <c r="C43" s="52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E48" s="13"/>
      <c r="H48" s="74"/>
      <c r="M48" s="32"/>
    </row>
    <row r="49" spans="1:13" s="17" customFormat="1" x14ac:dyDescent="0.2">
      <c r="A49" s="13"/>
      <c r="B49" s="13"/>
      <c r="C49" s="52"/>
      <c r="E49" s="13"/>
      <c r="H49" s="74"/>
      <c r="M49" s="32"/>
    </row>
    <row r="50" spans="1:13" s="17" customFormat="1" x14ac:dyDescent="0.2">
      <c r="A50" s="13"/>
      <c r="B50" s="13"/>
      <c r="C50" s="52"/>
      <c r="E50" s="13"/>
      <c r="H50" s="74"/>
      <c r="M50" s="32"/>
    </row>
    <row r="51" spans="1:13" s="17" customFormat="1" x14ac:dyDescent="0.2">
      <c r="A51" s="13"/>
      <c r="B51" s="13"/>
      <c r="C51" s="52"/>
      <c r="E51" s="13"/>
      <c r="H51" s="74"/>
      <c r="M51" s="32"/>
    </row>
    <row r="52" spans="1:13" s="17" customFormat="1" x14ac:dyDescent="0.2">
      <c r="A52" s="13"/>
      <c r="B52" s="13"/>
      <c r="C52" s="52"/>
      <c r="E52" s="13"/>
      <c r="H52" s="74"/>
      <c r="M52" s="32"/>
    </row>
    <row r="53" spans="1:13" s="17" customFormat="1" x14ac:dyDescent="0.2">
      <c r="A53" s="13"/>
      <c r="B53" s="13"/>
      <c r="C53" s="52"/>
      <c r="E53" s="13"/>
      <c r="H53" s="74"/>
      <c r="M53" s="32"/>
    </row>
    <row r="54" spans="1:13" x14ac:dyDescent="0.2">
      <c r="E54" s="13"/>
    </row>
    <row r="55" spans="1:13" x14ac:dyDescent="0.2">
      <c r="E55" s="13"/>
    </row>
    <row r="56" spans="1:13" s="17" customFormat="1" x14ac:dyDescent="0.2">
      <c r="A56" s="13"/>
      <c r="B56" s="13"/>
      <c r="C56" s="52"/>
      <c r="E56" s="13"/>
      <c r="H56" s="74"/>
      <c r="M56" s="32"/>
    </row>
    <row r="57" spans="1:13" s="17" customFormat="1" x14ac:dyDescent="0.2">
      <c r="A57" s="13"/>
      <c r="B57" s="13"/>
      <c r="C57" s="52"/>
      <c r="E57" s="13"/>
      <c r="H57" s="74"/>
      <c r="M57" s="32"/>
    </row>
  </sheetData>
  <conditionalFormatting sqref="B3:B29">
    <cfRule type="expression" dxfId="38" priority="4">
      <formula>AND($B3="x",AND(COUNTBLANK($C3)=0,$C3=0))</formula>
    </cfRule>
  </conditionalFormatting>
  <conditionalFormatting sqref="C3:C29">
    <cfRule type="expression" dxfId="37" priority="3">
      <formula>AND(COUNTBLANK($C3)=0,$C3=0)</formula>
    </cfRule>
  </conditionalFormatting>
  <conditionalFormatting sqref="E3:E29">
    <cfRule type="containsText" priority="1" stopIfTrue="1" operator="containsText" text="~*~*">
      <formula>NOT(ISERROR(SEARCH("~*~*",E3)))</formula>
    </cfRule>
    <cfRule type="containsText" dxfId="36" priority="2" operator="containsText" text="~*">
      <formula>NOT(ISERROR(SEARCH("~*",E3)))</formula>
    </cfRule>
  </conditionalFormatting>
  <dataValidations count="6">
    <dataValidation type="list" allowBlank="1" showInputMessage="1" showErrorMessage="1" sqref="N4" xr:uid="{706EEF97-BF2D-489A-9D65-60AD60DAB984}">
      <formula1>Backpacks</formula1>
    </dataValidation>
    <dataValidation type="list" allowBlank="1" showInputMessage="1" showErrorMessage="1" sqref="N5" xr:uid="{D0727826-7296-43D5-87A6-5227EFED9A97}">
      <formula1>PackCover</formula1>
    </dataValidation>
    <dataValidation type="list" allowBlank="1" showInputMessage="1" showErrorMessage="1" sqref="N6" xr:uid="{985D3887-338D-4ABF-BEFC-836A6C18259A}">
      <formula1>Hammocks</formula1>
    </dataValidation>
    <dataValidation type="list" allowBlank="1" showInputMessage="1" showErrorMessage="1" sqref="N7" xr:uid="{2A55C374-FB6B-47E4-A953-70633EE2A68E}">
      <formula1>AirMatresses</formula1>
    </dataValidation>
    <dataValidation type="list" allowBlank="1" showInputMessage="1" showErrorMessage="1" sqref="N8" xr:uid="{07E86741-826F-450B-A5C4-A5868524786E}">
      <formula1>SleepingBags</formula1>
    </dataValidation>
    <dataValidation type="list" allowBlank="1" showInputMessage="1" showErrorMessage="1" sqref="N9" xr:uid="{2CCA3C3B-1C36-4B29-BF5B-ADE43A1DAC09}">
      <formula1>SleepingBagLiners</formula1>
    </dataValidation>
  </dataValidations>
  <hyperlinks>
    <hyperlink ref="A1" location="Menu!A1" display="Menu!A1" xr:uid="{78C19C70-FD5B-409F-B90A-9D5DB3B780FD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53934-02C0-4509-9507-25DBAF26695E}">
  <sheetPr codeName="Sheet8"/>
  <dimension ref="A1:T55"/>
  <sheetViews>
    <sheetView zoomScaleNormal="100" workbookViewId="0">
      <pane ySplit="2" topLeftCell="A1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COUNTIFS(B3:B16,"=x",C3:C16,"=0")</f>
        <v>0</v>
      </c>
      <c r="C1" s="67">
        <f>COUNTIF(C3:C16,"=0")</f>
        <v>1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76</v>
      </c>
      <c r="F3" s="12" t="s">
        <v>264</v>
      </c>
      <c r="G3" s="69" t="s">
        <v>41</v>
      </c>
      <c r="H3" s="77" t="s">
        <v>41</v>
      </c>
      <c r="I3" s="69" t="s">
        <v>41</v>
      </c>
      <c r="J3" s="131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41</v>
      </c>
      <c r="C4" s="49">
        <v>1088</v>
      </c>
      <c r="D4" s="19">
        <f t="shared" ref="D4:D13" si="0">IF(ISBLANK(C4),"", C4/$D$24)</f>
        <v>38.378101906559202</v>
      </c>
      <c r="E4" s="26" t="s">
        <v>77</v>
      </c>
      <c r="F4" s="18" t="str">
        <f t="shared" ref="F4:F15" si="1">IF(B4="x",IF(C4=0,"",C4),"")</f>
        <v/>
      </c>
      <c r="G4" s="19" t="str">
        <f t="shared" ref="G4:G15" si="2">IF(B4="x",D4,"")</f>
        <v/>
      </c>
      <c r="H4" s="76">
        <f t="shared" ref="H4:H15" si="3">IF(C4="","",INT(D4/16))</f>
        <v>2</v>
      </c>
      <c r="I4" s="19">
        <f t="shared" ref="I4:I15" si="4">IF(D4="","",MOD(D4,16))</f>
        <v>6.378101906559202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3" t="s">
        <v>42</v>
      </c>
      <c r="C5" s="49">
        <v>1270</v>
      </c>
      <c r="D5" s="19">
        <f t="shared" si="0"/>
        <v>44.797968218134358</v>
      </c>
      <c r="E5" s="26" t="s">
        <v>188</v>
      </c>
      <c r="F5" s="18">
        <f t="shared" si="1"/>
        <v>1270</v>
      </c>
      <c r="G5" s="19">
        <f t="shared" si="2"/>
        <v>44.797968218134358</v>
      </c>
      <c r="H5" s="76">
        <f t="shared" si="3"/>
        <v>2</v>
      </c>
      <c r="I5" s="19">
        <f t="shared" si="4"/>
        <v>12.797968218134358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/>
      <c r="C6" s="49">
        <v>1565</v>
      </c>
      <c r="D6" s="19">
        <f t="shared" si="0"/>
        <v>55.203795481401791</v>
      </c>
      <c r="E6" s="26" t="s">
        <v>187</v>
      </c>
      <c r="F6" s="18" t="str">
        <f t="shared" si="1"/>
        <v/>
      </c>
      <c r="G6" s="19" t="str">
        <f t="shared" si="2"/>
        <v/>
      </c>
      <c r="H6" s="76">
        <f t="shared" si="3"/>
        <v>3</v>
      </c>
      <c r="I6" s="19">
        <f t="shared" si="4"/>
        <v>7.2037954814017908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>
        <v>1089</v>
      </c>
      <c r="D7" s="19">
        <f t="shared" si="0"/>
        <v>38.413375897282137</v>
      </c>
      <c r="E7" s="26" t="s">
        <v>101</v>
      </c>
      <c r="F7" s="18" t="str">
        <f t="shared" si="1"/>
        <v/>
      </c>
      <c r="G7" s="19" t="str">
        <f t="shared" si="2"/>
        <v/>
      </c>
      <c r="H7" s="76">
        <f t="shared" si="3"/>
        <v>2</v>
      </c>
      <c r="I7" s="19">
        <f t="shared" si="4"/>
        <v>6.4133758972821369</v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3" t="s">
        <v>42</v>
      </c>
      <c r="C8" s="49">
        <v>176</v>
      </c>
      <c r="D8" s="19">
        <f t="shared" si="0"/>
        <v>6.2082223672375179</v>
      </c>
      <c r="E8" s="39" t="s">
        <v>102</v>
      </c>
      <c r="F8" s="18">
        <f t="shared" si="1"/>
        <v>176</v>
      </c>
      <c r="G8" s="19">
        <f t="shared" si="2"/>
        <v>6.2082223672375179</v>
      </c>
      <c r="H8" s="76">
        <f t="shared" si="3"/>
        <v>0</v>
      </c>
      <c r="I8" s="19">
        <f t="shared" si="4"/>
        <v>6.2082223672375179</v>
      </c>
      <c r="J8" s="88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C9" s="49">
        <v>0</v>
      </c>
      <c r="D9" s="19">
        <f t="shared" si="0"/>
        <v>0</v>
      </c>
      <c r="E9" s="40" t="s">
        <v>271</v>
      </c>
      <c r="F9" s="18" t="str">
        <f t="shared" si="1"/>
        <v/>
      </c>
      <c r="G9" s="19" t="str">
        <f t="shared" si="2"/>
        <v/>
      </c>
      <c r="H9" s="76">
        <f t="shared" si="3"/>
        <v>0</v>
      </c>
      <c r="I9" s="19">
        <f t="shared" si="4"/>
        <v>0</v>
      </c>
      <c r="J9" s="21" t="s">
        <v>175</v>
      </c>
      <c r="K9" s="18" t="s">
        <v>42</v>
      </c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86</v>
      </c>
      <c r="D10" s="19">
        <f t="shared" si="0"/>
        <v>3.033563202172878</v>
      </c>
      <c r="E10" s="21" t="s">
        <v>103</v>
      </c>
      <c r="F10" s="18" t="str">
        <f t="shared" si="1"/>
        <v/>
      </c>
      <c r="G10" s="19" t="str">
        <f t="shared" si="2"/>
        <v/>
      </c>
      <c r="H10" s="76">
        <f t="shared" si="3"/>
        <v>0</v>
      </c>
      <c r="I10" s="19">
        <f t="shared" si="4"/>
        <v>3.033563202172878</v>
      </c>
      <c r="J10" s="21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B11" s="16" t="s">
        <v>42</v>
      </c>
      <c r="C11" s="49">
        <v>90</v>
      </c>
      <c r="D11" s="19">
        <f t="shared" si="0"/>
        <v>3.1746591650646399</v>
      </c>
      <c r="E11" s="21" t="s">
        <v>169</v>
      </c>
      <c r="F11" s="18">
        <f t="shared" si="1"/>
        <v>90</v>
      </c>
      <c r="G11" s="19">
        <f t="shared" si="2"/>
        <v>3.1746591650646399</v>
      </c>
      <c r="H11" s="76">
        <f t="shared" si="3"/>
        <v>0</v>
      </c>
      <c r="I11" s="19">
        <f t="shared" si="4"/>
        <v>3.1746591650646399</v>
      </c>
      <c r="J11" s="21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C12" s="49">
        <v>711</v>
      </c>
      <c r="D12" s="19">
        <f t="shared" si="0"/>
        <v>25.079807404010655</v>
      </c>
      <c r="E12" s="26" t="s">
        <v>72</v>
      </c>
      <c r="F12" s="18" t="str">
        <f t="shared" si="1"/>
        <v/>
      </c>
      <c r="G12" s="19" t="str">
        <f t="shared" si="2"/>
        <v/>
      </c>
      <c r="H12" s="76">
        <f t="shared" si="3"/>
        <v>1</v>
      </c>
      <c r="I12" s="19">
        <f t="shared" si="4"/>
        <v>9.0798074040106549</v>
      </c>
      <c r="J12" s="21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A13" s="16" t="s">
        <v>216</v>
      </c>
      <c r="B13" s="16"/>
      <c r="C13" s="49">
        <v>488</v>
      </c>
      <c r="D13" s="19">
        <f t="shared" si="0"/>
        <v>17.213707472794937</v>
      </c>
      <c r="E13" s="26" t="s">
        <v>73</v>
      </c>
      <c r="F13" s="18" t="str">
        <f t="shared" si="1"/>
        <v/>
      </c>
      <c r="G13" s="19" t="str">
        <f t="shared" si="2"/>
        <v/>
      </c>
      <c r="H13" s="76">
        <f t="shared" si="3"/>
        <v>1</v>
      </c>
      <c r="I13" s="19">
        <f t="shared" si="4"/>
        <v>1.2137074727949368</v>
      </c>
      <c r="J13" s="21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C14" s="49"/>
      <c r="D14" s="19">
        <v>0</v>
      </c>
      <c r="E14" s="26" t="s">
        <v>202</v>
      </c>
      <c r="F14" s="18" t="str">
        <f t="shared" si="1"/>
        <v/>
      </c>
      <c r="G14" s="19" t="str">
        <f t="shared" si="2"/>
        <v/>
      </c>
      <c r="H14" s="76" t="str">
        <f t="shared" si="3"/>
        <v/>
      </c>
      <c r="I14" s="19">
        <f t="shared" si="4"/>
        <v>0</v>
      </c>
      <c r="J14" s="21"/>
      <c r="K14" s="18" t="s">
        <v>42</v>
      </c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B15" s="13" t="s">
        <v>42</v>
      </c>
      <c r="C15" s="49">
        <v>898</v>
      </c>
      <c r="D15" s="19">
        <f>IF(ISBLANK(C15),"", C15/$D$24)</f>
        <v>31.676043669200517</v>
      </c>
      <c r="E15" s="21" t="s">
        <v>82</v>
      </c>
      <c r="F15" s="18">
        <f t="shared" si="1"/>
        <v>898</v>
      </c>
      <c r="G15" s="19">
        <f t="shared" si="2"/>
        <v>31.676043669200517</v>
      </c>
      <c r="H15" s="76">
        <f t="shared" si="3"/>
        <v>1</v>
      </c>
      <c r="I15" s="19">
        <f t="shared" si="4"/>
        <v>15.676043669200517</v>
      </c>
      <c r="J15" s="21"/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C16" s="49"/>
      <c r="D16" s="19" t="str">
        <f t="shared" ref="D16:D20" si="5">IF(ISBLANK(C16),"", C16/$D$24)</f>
        <v/>
      </c>
      <c r="E16" s="21" t="s">
        <v>217</v>
      </c>
      <c r="F16" s="18" t="str">
        <f t="shared" ref="F16:F20" si="6">IF(B16="x",IF(C16=0,"",C16),"")</f>
        <v/>
      </c>
      <c r="G16" s="19" t="str">
        <f t="shared" ref="G16:G20" si="7">IF(B16="x",D16,"")</f>
        <v/>
      </c>
      <c r="H16" s="76" t="str">
        <f t="shared" ref="H16:H20" si="8">IF(C16="","",INT(D16/16))</f>
        <v/>
      </c>
      <c r="I16" s="19" t="str">
        <f t="shared" ref="I16:I20" si="9">IF(D16="","",MOD(D16,16))</f>
        <v/>
      </c>
      <c r="J16" s="21"/>
      <c r="K16" s="18" t="s">
        <v>42</v>
      </c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C17" s="49"/>
      <c r="D17" s="19" t="str">
        <f t="shared" si="5"/>
        <v/>
      </c>
      <c r="E17" s="21"/>
      <c r="F17" s="18" t="str">
        <f t="shared" si="6"/>
        <v/>
      </c>
      <c r="G17" s="19" t="str">
        <f t="shared" si="7"/>
        <v/>
      </c>
      <c r="H17" s="76" t="str">
        <f t="shared" si="8"/>
        <v/>
      </c>
      <c r="I17" s="19" t="str">
        <f t="shared" si="9"/>
        <v/>
      </c>
      <c r="J17" s="21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x14ac:dyDescent="0.25">
      <c r="C18" s="49"/>
      <c r="D18" s="19" t="str">
        <f t="shared" si="5"/>
        <v/>
      </c>
      <c r="E18" s="21"/>
      <c r="F18" s="18" t="str">
        <f t="shared" si="6"/>
        <v/>
      </c>
      <c r="G18" s="19" t="str">
        <f t="shared" si="7"/>
        <v/>
      </c>
      <c r="H18" s="76" t="str">
        <f t="shared" si="8"/>
        <v/>
      </c>
      <c r="I18" s="19" t="str">
        <f t="shared" si="9"/>
        <v/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C19" s="49"/>
      <c r="D19" s="19" t="str">
        <f t="shared" si="5"/>
        <v/>
      </c>
      <c r="E19" s="21"/>
      <c r="F19" s="18" t="str">
        <f t="shared" si="6"/>
        <v/>
      </c>
      <c r="G19" s="19" t="str">
        <f t="shared" si="7"/>
        <v/>
      </c>
      <c r="H19" s="76" t="str">
        <f t="shared" si="8"/>
        <v/>
      </c>
      <c r="I19" s="19" t="str">
        <f t="shared" si="9"/>
        <v/>
      </c>
      <c r="J19" s="21"/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C20" s="49"/>
      <c r="D20" s="19" t="str">
        <f t="shared" si="5"/>
        <v/>
      </c>
      <c r="E20" s="13"/>
      <c r="F20" s="18" t="str">
        <f t="shared" si="6"/>
        <v/>
      </c>
      <c r="G20" s="19" t="str">
        <f t="shared" si="7"/>
        <v/>
      </c>
      <c r="H20" s="76" t="str">
        <f t="shared" si="8"/>
        <v/>
      </c>
      <c r="I20" s="19" t="str">
        <f t="shared" si="9"/>
        <v/>
      </c>
      <c r="J20" s="21"/>
      <c r="K20" s="12"/>
      <c r="L20" s="12"/>
      <c r="M20" s="19"/>
      <c r="N20" s="21"/>
      <c r="O20" s="21"/>
      <c r="P20" s="21"/>
      <c r="Q20" s="21"/>
      <c r="R20" s="21"/>
      <c r="S20" s="21"/>
      <c r="T20" s="21"/>
    </row>
    <row r="21" spans="1:20" ht="15.75" thickBot="1" x14ac:dyDescent="0.3"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1:20" ht="16.5" thickTop="1" thickBot="1" x14ac:dyDescent="0.3">
      <c r="B22" s="16"/>
      <c r="C22" s="66">
        <f>SUM(F3:F20)</f>
        <v>2434</v>
      </c>
      <c r="D22" s="33">
        <f>IF(ISBLANK(C22),"", C22/$D$24)</f>
        <v>85.856893419637032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1:20" ht="16.5" thickTop="1" thickBot="1" x14ac:dyDescent="0.3">
      <c r="B23" s="16"/>
      <c r="C23" s="65"/>
      <c r="D23" s="7">
        <f>C22</f>
        <v>2434</v>
      </c>
      <c r="E23" s="30" t="s">
        <v>27</v>
      </c>
      <c r="F23" s="5">
        <f>TRUNC(D23/D24/16)</f>
        <v>5</v>
      </c>
      <c r="G23" s="24">
        <f>(D23/D24/16-TRUNC(D23/D24/16))*16</f>
        <v>5.8568934196370321</v>
      </c>
      <c r="H23" s="18"/>
      <c r="I23" s="18"/>
      <c r="J23" s="19"/>
      <c r="K23" s="21"/>
      <c r="L23" s="21"/>
      <c r="M23" s="21"/>
      <c r="N23" s="21"/>
      <c r="O23" s="21"/>
      <c r="P23" s="21"/>
      <c r="Q23" s="21"/>
      <c r="R23" s="13"/>
      <c r="S23" s="13"/>
      <c r="T23" s="13"/>
    </row>
    <row r="24" spans="1:20" ht="15.75" thickBot="1" x14ac:dyDescent="0.3">
      <c r="B24" s="16"/>
      <c r="C24" s="65"/>
      <c r="D24" s="9">
        <v>28.349499999999999</v>
      </c>
      <c r="E24" s="5" t="s">
        <v>31</v>
      </c>
      <c r="F24" s="18"/>
      <c r="G24" s="18"/>
      <c r="H24" s="19"/>
      <c r="I24" s="21"/>
      <c r="J24" s="21"/>
      <c r="K24" s="21"/>
      <c r="L24" s="21"/>
      <c r="M24" s="21"/>
      <c r="N24" s="21"/>
      <c r="O24" s="21"/>
      <c r="P24" s="13"/>
      <c r="Q24" s="13"/>
      <c r="R24" s="13"/>
      <c r="S24" s="13"/>
      <c r="T24" s="13"/>
    </row>
    <row r="25" spans="1:20" ht="15.75" thickBot="1" x14ac:dyDescent="0.3">
      <c r="B25" s="16"/>
      <c r="C25" s="65"/>
      <c r="D25" s="9">
        <v>3.5274E-2</v>
      </c>
      <c r="E25" s="6" t="s">
        <v>35</v>
      </c>
      <c r="F25" s="12"/>
      <c r="G25" s="18"/>
      <c r="H25" s="19"/>
      <c r="I25" s="21"/>
      <c r="J25" s="21"/>
      <c r="K25" s="21"/>
      <c r="L25" s="21"/>
      <c r="M25" s="21"/>
      <c r="N25" s="21"/>
      <c r="O25" s="21"/>
      <c r="P25" s="13"/>
      <c r="Q25" s="13"/>
      <c r="R25" s="13"/>
      <c r="S25" s="13"/>
      <c r="T25" s="13"/>
    </row>
    <row r="26" spans="1:20" ht="15" x14ac:dyDescent="0.25">
      <c r="B26" s="16"/>
      <c r="C26" s="65"/>
      <c r="D26" s="18"/>
      <c r="E26" s="1" t="s">
        <v>36</v>
      </c>
      <c r="F26" s="18"/>
      <c r="G26" s="18"/>
      <c r="H26" s="19"/>
      <c r="I26" s="21"/>
      <c r="J26" s="21"/>
      <c r="K26" s="21"/>
      <c r="L26" s="21"/>
      <c r="M26" s="21"/>
      <c r="N26" s="21"/>
      <c r="O26" s="21"/>
      <c r="P26" s="13"/>
      <c r="Q26" s="13"/>
      <c r="R26" s="13"/>
      <c r="S26" s="13"/>
      <c r="T26" s="13"/>
    </row>
    <row r="27" spans="1:20" ht="15" x14ac:dyDescent="0.25"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K27" s="12"/>
      <c r="L27" s="18"/>
      <c r="M27" s="19"/>
      <c r="N27" s="21"/>
      <c r="O27" s="21"/>
      <c r="P27" s="21"/>
      <c r="Q27" s="21"/>
      <c r="R27" s="21"/>
      <c r="S27" s="21"/>
      <c r="T27" s="21"/>
    </row>
    <row r="28" spans="1:20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20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20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20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20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x14ac:dyDescent="0.2">
      <c r="E40" s="13"/>
    </row>
    <row r="41" spans="1:13" x14ac:dyDescent="0.2">
      <c r="E41" s="13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  <row r="53" spans="1:13" s="17" customFormat="1" x14ac:dyDescent="0.2">
      <c r="A53" s="13"/>
      <c r="B53" s="13"/>
      <c r="C53" s="52"/>
      <c r="H53" s="74"/>
      <c r="M53" s="32"/>
    </row>
    <row r="54" spans="1:13" s="17" customFormat="1" x14ac:dyDescent="0.2">
      <c r="A54" s="13"/>
      <c r="B54" s="13"/>
      <c r="C54" s="52"/>
      <c r="H54" s="74"/>
      <c r="M54" s="32"/>
    </row>
    <row r="55" spans="1:13" s="17" customFormat="1" x14ac:dyDescent="0.2">
      <c r="A55" s="13"/>
      <c r="B55" s="13"/>
      <c r="C55" s="52"/>
      <c r="H55" s="74"/>
      <c r="M55" s="32"/>
    </row>
  </sheetData>
  <conditionalFormatting sqref="B3:B19">
    <cfRule type="expression" dxfId="35" priority="4">
      <formula>AND($B3="x",AND(COUNTBLANK($C3)=0,$C3=0))</formula>
    </cfRule>
  </conditionalFormatting>
  <conditionalFormatting sqref="C3:C19">
    <cfRule type="expression" dxfId="34" priority="3">
      <formula>AND(COUNTBLANK($C3)=0,$C3=0)</formula>
    </cfRule>
  </conditionalFormatting>
  <conditionalFormatting sqref="E3:E19">
    <cfRule type="containsText" priority="1" stopIfTrue="1" operator="containsText" text="~*~*">
      <formula>NOT(ISERROR(SEARCH("~*~*",E3)))</formula>
    </cfRule>
    <cfRule type="containsText" dxfId="33" priority="2" operator="containsText" text="~*">
      <formula>NOT(ISERROR(SEARCH("~*",E3)))</formula>
    </cfRule>
  </conditionalFormatting>
  <dataValidations count="6">
    <dataValidation type="list" allowBlank="1" showInputMessage="1" showErrorMessage="1" sqref="N9" xr:uid="{47387B25-D28C-4986-AE79-A36F8DB96A3A}">
      <formula1>SleepingBagLiners</formula1>
    </dataValidation>
    <dataValidation type="list" allowBlank="1" showInputMessage="1" showErrorMessage="1" sqref="N8" xr:uid="{0AF3E68A-FDB7-45BF-8002-C015181BA4ED}">
      <formula1>SleepingBags</formula1>
    </dataValidation>
    <dataValidation type="list" allowBlank="1" showInputMessage="1" showErrorMessage="1" sqref="N7" xr:uid="{FAC639CE-98DB-4B9C-8670-009A56465E73}">
      <formula1>AirMatresses</formula1>
    </dataValidation>
    <dataValidation type="list" allowBlank="1" showInputMessage="1" showErrorMessage="1" sqref="N6" xr:uid="{490CE21B-2B3F-41C8-BD26-27723C8113C8}">
      <formula1>Hammocks</formula1>
    </dataValidation>
    <dataValidation type="list" allowBlank="1" showInputMessage="1" showErrorMessage="1" sqref="N5" xr:uid="{B1CD5EC0-7531-4970-A43A-B30658FEFE74}">
      <formula1>PackCover</formula1>
    </dataValidation>
    <dataValidation type="list" allowBlank="1" showInputMessage="1" showErrorMessage="1" sqref="N4" xr:uid="{8B63D161-90A5-4192-A422-2570EFA30E4B}">
      <formula1>Backpacks</formula1>
    </dataValidation>
  </dataValidations>
  <hyperlinks>
    <hyperlink ref="A1" location="Menu!A1" display="Menu!A1" xr:uid="{98A0036C-4B0C-4178-9494-B1615AAC98DC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EB1E-9F3B-4672-A7E6-F9799C11BCDD}">
  <sheetPr codeName="Sheet9"/>
  <dimension ref="A1:T54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COUNTIFS(B3:B16,"=x",C3:C16,"=0")</f>
        <v>0</v>
      </c>
      <c r="C1" s="67">
        <f>COUNTIF(C3:C16,"=0")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23" t="s">
        <v>155</v>
      </c>
      <c r="F3" s="12" t="s">
        <v>41</v>
      </c>
      <c r="G3" s="69" t="s">
        <v>41</v>
      </c>
      <c r="H3" s="77" t="s">
        <v>41</v>
      </c>
      <c r="I3" s="69" t="s">
        <v>41</v>
      </c>
      <c r="J3" s="131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>
        <v>84</v>
      </c>
      <c r="D4" s="19">
        <f t="shared" ref="D4:D20" si="0">IF(ISBLANK(C4),"", C4/$D$24)</f>
        <v>2.9630152207269971</v>
      </c>
      <c r="E4" s="21" t="s">
        <v>98</v>
      </c>
      <c r="F4" s="18">
        <f t="shared" ref="F4" si="1">IF(B4="x",IF(C4=0,"",C4),"")</f>
        <v>84</v>
      </c>
      <c r="G4" s="19">
        <f t="shared" ref="G4" si="2">IF(B4="x",D4,"")</f>
        <v>2.9630152207269971</v>
      </c>
      <c r="H4" s="76">
        <f t="shared" ref="H4:H16" si="3">IF(C4="","",INT(D4/16))</f>
        <v>0</v>
      </c>
      <c r="I4" s="19">
        <f t="shared" ref="I4:I16" si="4">IF(D4="","",MOD(D4,16))</f>
        <v>2.9630152207269971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>
        <v>93</v>
      </c>
      <c r="D5" s="19">
        <f t="shared" si="0"/>
        <v>3.280481137233461</v>
      </c>
      <c r="E5" s="21" t="s">
        <v>81</v>
      </c>
      <c r="F5" s="18">
        <f t="shared" ref="F5:F16" si="5">IF(B5="x",IF(C5=0,"",C5),"")</f>
        <v>93</v>
      </c>
      <c r="G5" s="19">
        <f t="shared" ref="G5:G16" si="6">IF(B5="x",D5,"")</f>
        <v>3.280481137233461</v>
      </c>
      <c r="H5" s="76">
        <f t="shared" si="3"/>
        <v>0</v>
      </c>
      <c r="I5" s="19">
        <f t="shared" si="4"/>
        <v>3.280481137233461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C6" s="49">
        <v>31</v>
      </c>
      <c r="D6" s="19">
        <f t="shared" si="0"/>
        <v>1.0934937124111537</v>
      </c>
      <c r="E6" s="21" t="s">
        <v>95</v>
      </c>
      <c r="F6" s="18" t="str">
        <f t="shared" si="5"/>
        <v/>
      </c>
      <c r="G6" s="19" t="str">
        <f t="shared" si="6"/>
        <v/>
      </c>
      <c r="H6" s="76">
        <f t="shared" si="3"/>
        <v>0</v>
      </c>
      <c r="I6" s="19">
        <f t="shared" si="4"/>
        <v>1.0934937124111537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C7" s="49">
        <v>122</v>
      </c>
      <c r="D7" s="19">
        <f t="shared" si="0"/>
        <v>4.3034268681987342</v>
      </c>
      <c r="E7" s="21" t="s">
        <v>96</v>
      </c>
      <c r="F7" s="18" t="str">
        <f t="shared" si="5"/>
        <v/>
      </c>
      <c r="G7" s="19" t="str">
        <f t="shared" si="6"/>
        <v/>
      </c>
      <c r="H7" s="76">
        <f t="shared" si="3"/>
        <v>0</v>
      </c>
      <c r="I7" s="19">
        <f t="shared" si="4"/>
        <v>4.3034268681987342</v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6" t="s">
        <v>42</v>
      </c>
      <c r="C8" s="49">
        <v>148</v>
      </c>
      <c r="D8" s="19">
        <f t="shared" si="0"/>
        <v>5.2205506269951849</v>
      </c>
      <c r="E8" s="21" t="s">
        <v>97</v>
      </c>
      <c r="F8" s="18">
        <f t="shared" si="5"/>
        <v>148</v>
      </c>
      <c r="G8" s="19">
        <f t="shared" si="6"/>
        <v>5.2205506269951849</v>
      </c>
      <c r="H8" s="76">
        <f t="shared" si="3"/>
        <v>0</v>
      </c>
      <c r="I8" s="19">
        <f t="shared" si="4"/>
        <v>5.2205506269951849</v>
      </c>
      <c r="J8" s="88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C9" s="49">
        <v>132</v>
      </c>
      <c r="D9" s="19">
        <f t="shared" si="0"/>
        <v>4.6561667754281384</v>
      </c>
      <c r="E9" s="21" t="s">
        <v>18</v>
      </c>
      <c r="F9" s="18" t="str">
        <f t="shared" si="5"/>
        <v/>
      </c>
      <c r="G9" s="19" t="str">
        <f t="shared" si="6"/>
        <v/>
      </c>
      <c r="H9" s="76">
        <f t="shared" si="3"/>
        <v>0</v>
      </c>
      <c r="I9" s="19">
        <f t="shared" si="4"/>
        <v>4.6561667754281384</v>
      </c>
      <c r="J9" s="88"/>
      <c r="K9" s="18"/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 t="s">
        <v>42</v>
      </c>
      <c r="C10" s="49">
        <v>76</v>
      </c>
      <c r="D10" s="19">
        <f t="shared" si="0"/>
        <v>2.6808232949434734</v>
      </c>
      <c r="E10" s="21" t="s">
        <v>6</v>
      </c>
      <c r="F10" s="18">
        <f t="shared" si="5"/>
        <v>76</v>
      </c>
      <c r="G10" s="19">
        <f t="shared" si="6"/>
        <v>2.6808232949434734</v>
      </c>
      <c r="H10" s="76">
        <f t="shared" si="3"/>
        <v>0</v>
      </c>
      <c r="I10" s="19">
        <f t="shared" si="4"/>
        <v>2.6808232949434734</v>
      </c>
      <c r="J10" s="21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B11" s="16" t="s">
        <v>42</v>
      </c>
      <c r="C11" s="49">
        <v>166</v>
      </c>
      <c r="D11" s="19">
        <f t="shared" si="0"/>
        <v>5.8554824600081128</v>
      </c>
      <c r="E11" s="21" t="s">
        <v>99</v>
      </c>
      <c r="F11" s="12">
        <f t="shared" si="5"/>
        <v>166</v>
      </c>
      <c r="G11" s="69">
        <f t="shared" si="6"/>
        <v>5.8554824600081128</v>
      </c>
      <c r="H11" s="76">
        <f t="shared" si="3"/>
        <v>0</v>
      </c>
      <c r="I11" s="19">
        <f t="shared" si="4"/>
        <v>5.8554824600081128</v>
      </c>
      <c r="J11" s="21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B12" s="16" t="s">
        <v>42</v>
      </c>
      <c r="C12" s="49">
        <v>47</v>
      </c>
      <c r="D12" s="19">
        <f t="shared" si="0"/>
        <v>1.6578775639782006</v>
      </c>
      <c r="E12" s="21" t="s">
        <v>154</v>
      </c>
      <c r="F12" s="12">
        <f t="shared" si="5"/>
        <v>47</v>
      </c>
      <c r="G12" s="69">
        <f t="shared" si="6"/>
        <v>1.6578775639782006</v>
      </c>
      <c r="H12" s="76">
        <f t="shared" si="3"/>
        <v>0</v>
      </c>
      <c r="I12" s="19">
        <f t="shared" si="4"/>
        <v>1.6578775639782006</v>
      </c>
      <c r="J12" s="21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B13" s="16" t="s">
        <v>42</v>
      </c>
      <c r="C13" s="49">
        <v>188</v>
      </c>
      <c r="D13" s="19">
        <f t="shared" si="0"/>
        <v>6.6315102559128025</v>
      </c>
      <c r="E13" s="21" t="s">
        <v>21</v>
      </c>
      <c r="F13" s="12">
        <f t="shared" si="5"/>
        <v>188</v>
      </c>
      <c r="G13" s="69">
        <f t="shared" si="6"/>
        <v>6.6315102559128025</v>
      </c>
      <c r="H13" s="76">
        <f t="shared" si="3"/>
        <v>0</v>
      </c>
      <c r="I13" s="19">
        <f t="shared" si="4"/>
        <v>6.6315102559128025</v>
      </c>
      <c r="J13" s="21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C14" s="49">
        <v>125</v>
      </c>
      <c r="D14" s="19">
        <f t="shared" si="0"/>
        <v>4.4092488403675549</v>
      </c>
      <c r="E14" s="21" t="s">
        <v>23</v>
      </c>
      <c r="F14" s="12" t="str">
        <f t="shared" si="5"/>
        <v/>
      </c>
      <c r="G14" s="69" t="str">
        <f t="shared" si="6"/>
        <v/>
      </c>
      <c r="H14" s="76">
        <f t="shared" si="3"/>
        <v>0</v>
      </c>
      <c r="I14" s="19">
        <f t="shared" si="4"/>
        <v>4.4092488403675549</v>
      </c>
      <c r="J14" s="21"/>
      <c r="K14" s="18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C15" s="49">
        <v>46</v>
      </c>
      <c r="D15" s="19">
        <f t="shared" si="0"/>
        <v>1.6226035732552604</v>
      </c>
      <c r="E15" s="21" t="s">
        <v>25</v>
      </c>
      <c r="F15" s="12" t="str">
        <f t="shared" si="5"/>
        <v/>
      </c>
      <c r="G15" s="69" t="str">
        <f t="shared" si="6"/>
        <v/>
      </c>
      <c r="H15" s="76">
        <f t="shared" si="3"/>
        <v>0</v>
      </c>
      <c r="I15" s="19">
        <f t="shared" si="4"/>
        <v>1.6226035732552604</v>
      </c>
      <c r="J15" s="21"/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B16" s="16" t="s">
        <v>42</v>
      </c>
      <c r="C16" s="49">
        <v>385</v>
      </c>
      <c r="D16" s="19">
        <f t="shared" si="0"/>
        <v>13.580486428332069</v>
      </c>
      <c r="E16" s="21" t="s">
        <v>100</v>
      </c>
      <c r="F16" s="12">
        <f t="shared" si="5"/>
        <v>385</v>
      </c>
      <c r="G16" s="69">
        <f t="shared" si="6"/>
        <v>13.580486428332069</v>
      </c>
      <c r="H16" s="76">
        <f t="shared" si="3"/>
        <v>0</v>
      </c>
      <c r="I16" s="19">
        <f t="shared" si="4"/>
        <v>13.580486428332069</v>
      </c>
      <c r="J16" s="21"/>
      <c r="K16" s="18"/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B17" s="16"/>
      <c r="C17" s="49"/>
      <c r="D17" s="19" t="str">
        <f t="shared" si="0"/>
        <v/>
      </c>
      <c r="E17" s="21"/>
      <c r="F17" s="12" t="str">
        <f t="shared" ref="F17:F20" si="7">IF(B17="x",IF(C17=0,"",C17),"")</f>
        <v/>
      </c>
      <c r="G17" s="69" t="str">
        <f t="shared" ref="G17:G20" si="8">IF(B17="x",D17,"")</f>
        <v/>
      </c>
      <c r="H17" s="76" t="str">
        <f t="shared" ref="H17:H20" si="9">IF(C17="","",INT(D17/16))</f>
        <v/>
      </c>
      <c r="I17" s="19" t="str">
        <f t="shared" ref="I17:I20" si="10">IF(D17="","",MOD(D17,16))</f>
        <v/>
      </c>
      <c r="J17" s="21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x14ac:dyDescent="0.25">
      <c r="B18" s="16"/>
      <c r="C18" s="49"/>
      <c r="D18" s="19" t="str">
        <f t="shared" si="0"/>
        <v/>
      </c>
      <c r="E18" s="21"/>
      <c r="F18" s="12" t="str">
        <f t="shared" si="7"/>
        <v/>
      </c>
      <c r="G18" s="69" t="str">
        <f t="shared" si="8"/>
        <v/>
      </c>
      <c r="H18" s="76" t="str">
        <f t="shared" si="9"/>
        <v/>
      </c>
      <c r="I18" s="19" t="str">
        <f t="shared" si="10"/>
        <v/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B19" s="16"/>
      <c r="C19" s="49"/>
      <c r="D19" s="19" t="str">
        <f t="shared" si="0"/>
        <v/>
      </c>
      <c r="E19" s="21"/>
      <c r="F19" s="12" t="str">
        <f t="shared" si="7"/>
        <v/>
      </c>
      <c r="G19" s="69" t="str">
        <f t="shared" si="8"/>
        <v/>
      </c>
      <c r="H19" s="76" t="str">
        <f t="shared" si="9"/>
        <v/>
      </c>
      <c r="I19" s="19" t="str">
        <f t="shared" si="10"/>
        <v/>
      </c>
      <c r="J19" s="21"/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C20" s="49"/>
      <c r="D20" s="19" t="str">
        <f t="shared" si="0"/>
        <v/>
      </c>
      <c r="E20" s="13"/>
      <c r="F20" s="12" t="str">
        <f t="shared" si="7"/>
        <v/>
      </c>
      <c r="G20" s="69" t="str">
        <f t="shared" si="8"/>
        <v/>
      </c>
      <c r="H20" s="76" t="str">
        <f t="shared" si="9"/>
        <v/>
      </c>
      <c r="I20" s="19" t="str">
        <f t="shared" si="10"/>
        <v/>
      </c>
      <c r="J20" s="21"/>
      <c r="K20" s="18"/>
      <c r="L20" s="18"/>
      <c r="M20" s="19"/>
      <c r="N20" s="21"/>
      <c r="O20" s="21"/>
      <c r="P20" s="21"/>
      <c r="Q20" s="21"/>
      <c r="R20" s="21"/>
      <c r="S20" s="21"/>
      <c r="T20" s="21"/>
    </row>
    <row r="21" spans="1:20" ht="15.75" thickBot="1" x14ac:dyDescent="0.3"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1:20" ht="16.5" thickTop="1" thickBot="1" x14ac:dyDescent="0.3">
      <c r="B22" s="16"/>
      <c r="C22" s="66">
        <f>SUM(F3:F20)</f>
        <v>1187</v>
      </c>
      <c r="D22" s="33">
        <f>IF(ISBLANK(C22),"", C22/$D$24)</f>
        <v>41.870226988130305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1:20" ht="16.5" thickTop="1" thickBot="1" x14ac:dyDescent="0.3">
      <c r="B23" s="16"/>
      <c r="C23" s="65"/>
      <c r="D23" s="7">
        <f>C22</f>
        <v>1187</v>
      </c>
      <c r="E23" s="30" t="s">
        <v>27</v>
      </c>
      <c r="F23" s="5">
        <f>TRUNC(D23/D24/16)</f>
        <v>2</v>
      </c>
      <c r="G23" s="24">
        <f>(D23/D24/16-TRUNC(D23/D24/16))*16</f>
        <v>9.8702269881303053</v>
      </c>
      <c r="H23" s="18"/>
      <c r="I23" s="18"/>
      <c r="J23" s="19"/>
      <c r="K23" s="21"/>
      <c r="L23" s="21"/>
      <c r="M23" s="21"/>
      <c r="N23" s="21"/>
      <c r="O23" s="21"/>
      <c r="P23" s="21"/>
      <c r="Q23" s="21"/>
      <c r="R23" s="13"/>
      <c r="S23" s="13"/>
      <c r="T23" s="13"/>
    </row>
    <row r="24" spans="1:20" ht="15.75" thickBot="1" x14ac:dyDescent="0.3">
      <c r="B24" s="16"/>
      <c r="C24" s="65"/>
      <c r="D24" s="9">
        <v>28.349499999999999</v>
      </c>
      <c r="E24" s="5" t="s">
        <v>31</v>
      </c>
      <c r="F24" s="18"/>
      <c r="G24" s="18"/>
      <c r="H24" s="19"/>
      <c r="I24" s="21"/>
      <c r="J24" s="21"/>
      <c r="K24" s="21"/>
      <c r="L24" s="21"/>
      <c r="M24" s="21"/>
      <c r="N24" s="21"/>
      <c r="O24" s="21"/>
      <c r="P24" s="13"/>
      <c r="Q24" s="13"/>
      <c r="R24" s="13"/>
      <c r="S24" s="13"/>
      <c r="T24" s="13"/>
    </row>
    <row r="25" spans="1:20" ht="15.75" thickBot="1" x14ac:dyDescent="0.3">
      <c r="B25" s="16"/>
      <c r="C25" s="65"/>
      <c r="D25" s="9">
        <v>3.5274E-2</v>
      </c>
      <c r="E25" s="6" t="s">
        <v>35</v>
      </c>
      <c r="F25" s="18"/>
      <c r="G25" s="18"/>
      <c r="H25" s="19"/>
      <c r="I25" s="21"/>
      <c r="J25" s="21"/>
      <c r="K25" s="21"/>
      <c r="L25" s="21"/>
      <c r="M25" s="21"/>
      <c r="N25" s="21"/>
      <c r="O25" s="21"/>
      <c r="P25" s="13"/>
      <c r="Q25" s="13"/>
      <c r="R25" s="13"/>
      <c r="S25" s="13"/>
      <c r="T25" s="13"/>
    </row>
    <row r="26" spans="1:20" ht="15" x14ac:dyDescent="0.25">
      <c r="B26" s="16"/>
      <c r="C26" s="65"/>
      <c r="D26" s="18"/>
      <c r="E26" s="1" t="s">
        <v>36</v>
      </c>
      <c r="F26" s="18"/>
      <c r="G26" s="18"/>
      <c r="H26" s="19"/>
      <c r="I26" s="21"/>
      <c r="J26" s="21"/>
      <c r="K26" s="21"/>
      <c r="L26" s="21"/>
      <c r="M26" s="21"/>
      <c r="N26" s="21"/>
      <c r="O26" s="21"/>
      <c r="P26" s="13"/>
      <c r="Q26" s="13"/>
      <c r="R26" s="13"/>
      <c r="S26" s="13"/>
      <c r="T26" s="13"/>
    </row>
    <row r="27" spans="1:20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20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20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20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20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20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x14ac:dyDescent="0.2">
      <c r="E39" s="13"/>
    </row>
    <row r="40" spans="1:13" x14ac:dyDescent="0.2">
      <c r="E40" s="13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  <row r="53" spans="1:13" s="17" customFormat="1" x14ac:dyDescent="0.2">
      <c r="A53" s="13"/>
      <c r="B53" s="13"/>
      <c r="C53" s="52"/>
      <c r="H53" s="74"/>
      <c r="M53" s="32"/>
    </row>
    <row r="54" spans="1:13" s="17" customFormat="1" x14ac:dyDescent="0.2">
      <c r="A54" s="13"/>
      <c r="B54" s="13"/>
      <c r="C54" s="52"/>
      <c r="H54" s="74"/>
      <c r="M54" s="32"/>
    </row>
  </sheetData>
  <conditionalFormatting sqref="B3:B19">
    <cfRule type="expression" dxfId="32" priority="4">
      <formula>AND($B3="x",AND(COUNTBLANK($C3)=0,$C3=0))</formula>
    </cfRule>
  </conditionalFormatting>
  <conditionalFormatting sqref="C3:C19">
    <cfRule type="expression" dxfId="31" priority="3">
      <formula>AND(COUNTBLANK($C3)=0,$C3=0)</formula>
    </cfRule>
  </conditionalFormatting>
  <conditionalFormatting sqref="E3:E19">
    <cfRule type="containsText" priority="1" stopIfTrue="1" operator="containsText" text="~*~*">
      <formula>NOT(ISERROR(SEARCH("~*~*",E3)))</formula>
    </cfRule>
    <cfRule type="containsText" dxfId="30" priority="2" operator="containsText" text="~*">
      <formula>NOT(ISERROR(SEARCH("~*",E3)))</formula>
    </cfRule>
  </conditionalFormatting>
  <dataValidations count="6">
    <dataValidation type="list" allowBlank="1" showInputMessage="1" showErrorMessage="1" sqref="N4" xr:uid="{48A8EF5A-3BA7-447C-98D7-267F63975F45}">
      <formula1>Backpacks</formula1>
    </dataValidation>
    <dataValidation type="list" allowBlank="1" showInputMessage="1" showErrorMessage="1" sqref="N5" xr:uid="{9D5847DF-2FEA-4741-9A23-3CD67C53B2CB}">
      <formula1>PackCover</formula1>
    </dataValidation>
    <dataValidation type="list" allowBlank="1" showInputMessage="1" showErrorMessage="1" sqref="N6" xr:uid="{2432FA41-322B-491E-96B5-F9AB213488AB}">
      <formula1>Hammocks</formula1>
    </dataValidation>
    <dataValidation type="list" allowBlank="1" showInputMessage="1" showErrorMessage="1" sqref="N7" xr:uid="{87E13304-4484-4A8B-9C86-E8D2DEFD1942}">
      <formula1>AirMatresses</formula1>
    </dataValidation>
    <dataValidation type="list" allowBlank="1" showInputMessage="1" showErrorMessage="1" sqref="N8" xr:uid="{4CB91CB0-5CA6-411F-8D47-E3C5C054B711}">
      <formula1>SleepingBags</formula1>
    </dataValidation>
    <dataValidation type="list" allowBlank="1" showInputMessage="1" showErrorMessage="1" sqref="N9" xr:uid="{FB44431E-37BA-47A7-A905-91FF26E422E7}">
      <formula1>SleepingBagLiners</formula1>
    </dataValidation>
  </dataValidations>
  <hyperlinks>
    <hyperlink ref="A1" location="Menu!A1" display="Menu!A1" xr:uid="{99FF4C98-0CE2-449A-916A-919889BF7B84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F6061-6F80-41E6-9587-B595EF06E5BB}">
  <sheetPr codeName="Sheet10"/>
  <dimension ref="A1:T49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COUNTIFS(B3:B10,"=x",C3:C10,"=0")</f>
        <v>0</v>
      </c>
      <c r="C1" s="67">
        <f>COUNTIF(C3:C10,"=0")</f>
        <v>1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3" t="s">
        <v>42</v>
      </c>
      <c r="C3" s="49" t="s">
        <v>41</v>
      </c>
      <c r="D3" s="69" t="s">
        <v>41</v>
      </c>
      <c r="E3" s="38" t="s">
        <v>88</v>
      </c>
      <c r="F3" s="12" t="s">
        <v>41</v>
      </c>
      <c r="G3" s="69" t="s">
        <v>41</v>
      </c>
      <c r="H3" s="77" t="s">
        <v>41</v>
      </c>
      <c r="I3" s="69" t="s">
        <v>41</v>
      </c>
      <c r="J3" s="88"/>
      <c r="K3" s="18"/>
      <c r="L3" s="18"/>
      <c r="M3" s="19"/>
      <c r="N3" s="21"/>
      <c r="O3" s="21"/>
      <c r="P3" s="21"/>
      <c r="Q3" s="21"/>
      <c r="R3" s="21"/>
      <c r="S3" s="21"/>
      <c r="T3" s="21"/>
    </row>
    <row r="4" spans="1:20" ht="15" x14ac:dyDescent="0.25">
      <c r="B4" s="16" t="s">
        <v>42</v>
      </c>
      <c r="C4" s="49">
        <v>244</v>
      </c>
      <c r="D4" s="19">
        <f t="shared" ref="D4:D20" si="0">IF(ISBLANK(C4),"", C4/$D$24)</f>
        <v>8.6068537363974684</v>
      </c>
      <c r="E4" s="26" t="s">
        <v>183</v>
      </c>
      <c r="F4" s="12">
        <f t="shared" ref="F4:F10" si="1">IF(B4="x",IF(C4=0,"",C4),"")</f>
        <v>244</v>
      </c>
      <c r="G4" s="69">
        <f t="shared" ref="G4:G10" si="2">IF(B4="x",D4,"")</f>
        <v>8.6068537363974684</v>
      </c>
      <c r="H4" s="76">
        <f t="shared" ref="H4:H10" si="3">IF(C4="","",INT(D4/16))</f>
        <v>0</v>
      </c>
      <c r="I4" s="19">
        <f t="shared" ref="I4:I10" si="4">IF(D4="","",MOD(D4,16))</f>
        <v>8.6068537363974684</v>
      </c>
      <c r="J4" s="88"/>
      <c r="K4" s="18"/>
      <c r="L4" s="18"/>
      <c r="M4" s="19"/>
      <c r="N4" s="21"/>
      <c r="O4" s="21"/>
      <c r="P4" s="21"/>
      <c r="Q4" s="21"/>
      <c r="R4" s="21"/>
      <c r="S4" s="21"/>
      <c r="T4" s="21"/>
    </row>
    <row r="5" spans="1:20" ht="15" x14ac:dyDescent="0.25">
      <c r="B5" s="16"/>
      <c r="C5" s="49">
        <v>444</v>
      </c>
      <c r="D5" s="19">
        <f t="shared" si="0"/>
        <v>15.661651880985556</v>
      </c>
      <c r="E5" s="26" t="s">
        <v>105</v>
      </c>
      <c r="F5" s="12" t="str">
        <f t="shared" si="1"/>
        <v/>
      </c>
      <c r="G5" s="69" t="str">
        <f t="shared" si="2"/>
        <v/>
      </c>
      <c r="H5" s="76">
        <f t="shared" si="3"/>
        <v>0</v>
      </c>
      <c r="I5" s="19">
        <f t="shared" si="4"/>
        <v>15.661651880985556</v>
      </c>
      <c r="J5" s="21" t="s">
        <v>201</v>
      </c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/>
      <c r="C6" s="49">
        <v>300</v>
      </c>
      <c r="D6" s="19">
        <f t="shared" si="0"/>
        <v>10.582197216882133</v>
      </c>
      <c r="E6" s="39" t="s">
        <v>104</v>
      </c>
      <c r="F6" s="12" t="str">
        <f t="shared" si="1"/>
        <v/>
      </c>
      <c r="G6" s="69" t="str">
        <f t="shared" si="2"/>
        <v/>
      </c>
      <c r="H6" s="76">
        <f t="shared" si="3"/>
        <v>0</v>
      </c>
      <c r="I6" s="19">
        <f t="shared" si="4"/>
        <v>10.582197216882133</v>
      </c>
      <c r="J6" s="21" t="s">
        <v>201</v>
      </c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>
        <v>0</v>
      </c>
      <c r="D7" s="19">
        <f t="shared" si="0"/>
        <v>0</v>
      </c>
      <c r="E7" s="39" t="s">
        <v>197</v>
      </c>
      <c r="F7" s="12" t="str">
        <f t="shared" si="1"/>
        <v/>
      </c>
      <c r="G7" s="69" t="str">
        <f t="shared" si="2"/>
        <v/>
      </c>
      <c r="H7" s="76">
        <f t="shared" si="3"/>
        <v>0</v>
      </c>
      <c r="I7" s="19">
        <f t="shared" si="4"/>
        <v>0</v>
      </c>
      <c r="J7" s="21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6" t="s">
        <v>42</v>
      </c>
      <c r="C8" s="49">
        <v>129</v>
      </c>
      <c r="D8" s="19">
        <f t="shared" si="0"/>
        <v>4.5503448032593168</v>
      </c>
      <c r="E8" s="39" t="s">
        <v>198</v>
      </c>
      <c r="F8" s="12">
        <f t="shared" si="1"/>
        <v>129</v>
      </c>
      <c r="G8" s="69">
        <f t="shared" si="2"/>
        <v>4.5503448032593168</v>
      </c>
      <c r="H8" s="76">
        <f t="shared" si="3"/>
        <v>0</v>
      </c>
      <c r="I8" s="19">
        <f t="shared" si="4"/>
        <v>4.5503448032593168</v>
      </c>
      <c r="J8" s="21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C9" s="49">
        <v>73</v>
      </c>
      <c r="D9" s="19">
        <f t="shared" si="0"/>
        <v>2.5750013227746522</v>
      </c>
      <c r="E9" s="40" t="s">
        <v>107</v>
      </c>
      <c r="F9" s="12" t="str">
        <f t="shared" si="1"/>
        <v/>
      </c>
      <c r="G9" s="69" t="str">
        <f t="shared" si="2"/>
        <v/>
      </c>
      <c r="H9" s="76">
        <f t="shared" si="3"/>
        <v>0</v>
      </c>
      <c r="I9" s="19">
        <f t="shared" si="4"/>
        <v>2.5750013227746522</v>
      </c>
      <c r="J9" s="21" t="s">
        <v>108</v>
      </c>
      <c r="K9" s="18" t="s">
        <v>42</v>
      </c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91</v>
      </c>
      <c r="D10" s="19">
        <f t="shared" si="0"/>
        <v>3.2099331557875801</v>
      </c>
      <c r="E10" s="21" t="s">
        <v>13</v>
      </c>
      <c r="F10" s="12" t="str">
        <f t="shared" si="1"/>
        <v/>
      </c>
      <c r="G10" s="69" t="str">
        <f t="shared" si="2"/>
        <v/>
      </c>
      <c r="H10" s="76">
        <f t="shared" si="3"/>
        <v>0</v>
      </c>
      <c r="I10" s="19">
        <f t="shared" si="4"/>
        <v>3.2099331557875801</v>
      </c>
      <c r="J10" s="21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B11" s="16"/>
      <c r="C11" s="49"/>
      <c r="D11" s="19" t="str">
        <f t="shared" si="0"/>
        <v/>
      </c>
      <c r="E11" s="21"/>
      <c r="F11" s="12" t="str">
        <f t="shared" ref="F11:F20" si="5">IF(B11="x",IF(C11=0,"",C11),"")</f>
        <v/>
      </c>
      <c r="G11" s="69" t="str">
        <f t="shared" ref="G11:G20" si="6">IF(B11="x",D11,"")</f>
        <v/>
      </c>
      <c r="H11" s="76" t="str">
        <f t="shared" ref="H11:H20" si="7">IF(C11="","",INT(D11/16))</f>
        <v/>
      </c>
      <c r="I11" s="19" t="str">
        <f t="shared" ref="I11:I20" si="8">IF(D11="","",MOD(D11,16))</f>
        <v/>
      </c>
      <c r="J11" s="21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B12" s="16"/>
      <c r="C12" s="49"/>
      <c r="D12" s="19" t="str">
        <f t="shared" si="0"/>
        <v/>
      </c>
      <c r="E12" s="21"/>
      <c r="F12" s="12" t="str">
        <f t="shared" si="5"/>
        <v/>
      </c>
      <c r="G12" s="69" t="str">
        <f t="shared" si="6"/>
        <v/>
      </c>
      <c r="H12" s="76" t="str">
        <f t="shared" si="7"/>
        <v/>
      </c>
      <c r="I12" s="19" t="str">
        <f t="shared" si="8"/>
        <v/>
      </c>
      <c r="J12" s="21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B13" s="16"/>
      <c r="C13" s="49"/>
      <c r="D13" s="19" t="str">
        <f t="shared" si="0"/>
        <v/>
      </c>
      <c r="E13" s="21"/>
      <c r="F13" s="12" t="str">
        <f t="shared" si="5"/>
        <v/>
      </c>
      <c r="G13" s="69" t="str">
        <f t="shared" si="6"/>
        <v/>
      </c>
      <c r="H13" s="76" t="str">
        <f t="shared" si="7"/>
        <v/>
      </c>
      <c r="I13" s="19" t="str">
        <f t="shared" si="8"/>
        <v/>
      </c>
      <c r="J13" s="21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B14" s="16"/>
      <c r="C14" s="49"/>
      <c r="D14" s="19" t="str">
        <f t="shared" si="0"/>
        <v/>
      </c>
      <c r="E14" s="21"/>
      <c r="F14" s="12" t="str">
        <f t="shared" si="5"/>
        <v/>
      </c>
      <c r="G14" s="69" t="str">
        <f t="shared" si="6"/>
        <v/>
      </c>
      <c r="H14" s="76" t="str">
        <f t="shared" si="7"/>
        <v/>
      </c>
      <c r="I14" s="19" t="str">
        <f t="shared" si="8"/>
        <v/>
      </c>
      <c r="J14" s="21"/>
      <c r="K14" s="18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B15" s="16"/>
      <c r="C15" s="49"/>
      <c r="D15" s="19" t="str">
        <f t="shared" si="0"/>
        <v/>
      </c>
      <c r="E15" s="21"/>
      <c r="F15" s="12" t="str">
        <f t="shared" si="5"/>
        <v/>
      </c>
      <c r="G15" s="69" t="str">
        <f t="shared" si="6"/>
        <v/>
      </c>
      <c r="H15" s="76" t="str">
        <f t="shared" si="7"/>
        <v/>
      </c>
      <c r="I15" s="19" t="str">
        <f t="shared" si="8"/>
        <v/>
      </c>
      <c r="J15" s="21"/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B16" s="16"/>
      <c r="C16" s="49"/>
      <c r="D16" s="19" t="str">
        <f t="shared" si="0"/>
        <v/>
      </c>
      <c r="E16" s="21"/>
      <c r="F16" s="12" t="str">
        <f t="shared" si="5"/>
        <v/>
      </c>
      <c r="G16" s="69" t="str">
        <f t="shared" si="6"/>
        <v/>
      </c>
      <c r="H16" s="76" t="str">
        <f t="shared" si="7"/>
        <v/>
      </c>
      <c r="I16" s="19" t="str">
        <f t="shared" si="8"/>
        <v/>
      </c>
      <c r="J16" s="21"/>
      <c r="K16" s="18"/>
      <c r="L16" s="18"/>
      <c r="M16" s="19"/>
      <c r="N16" s="21"/>
      <c r="O16" s="21"/>
      <c r="P16" s="21"/>
      <c r="Q16" s="21"/>
      <c r="R16" s="21"/>
      <c r="S16" s="21"/>
      <c r="T16" s="21"/>
    </row>
    <row r="17" spans="1:20" ht="15" x14ac:dyDescent="0.25">
      <c r="B17" s="16"/>
      <c r="C17" s="49"/>
      <c r="D17" s="19" t="str">
        <f t="shared" si="0"/>
        <v/>
      </c>
      <c r="E17" s="21"/>
      <c r="F17" s="12" t="str">
        <f t="shared" si="5"/>
        <v/>
      </c>
      <c r="G17" s="69" t="str">
        <f t="shared" si="6"/>
        <v/>
      </c>
      <c r="H17" s="76" t="str">
        <f t="shared" si="7"/>
        <v/>
      </c>
      <c r="I17" s="19" t="str">
        <f t="shared" si="8"/>
        <v/>
      </c>
      <c r="J17" s="21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1:20" ht="15" x14ac:dyDescent="0.25">
      <c r="B18" s="16"/>
      <c r="C18" s="49"/>
      <c r="D18" s="19" t="str">
        <f t="shared" si="0"/>
        <v/>
      </c>
      <c r="E18" s="21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1:20" ht="15" x14ac:dyDescent="0.25">
      <c r="B19" s="16"/>
      <c r="C19" s="49"/>
      <c r="D19" s="19" t="str">
        <f t="shared" si="0"/>
        <v/>
      </c>
      <c r="E19" s="21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21"/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1:20" ht="15" x14ac:dyDescent="0.25">
      <c r="B20" s="16"/>
      <c r="C20" s="49"/>
      <c r="D20" s="19" t="str">
        <f t="shared" si="0"/>
        <v/>
      </c>
      <c r="E20" s="21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21"/>
      <c r="K20" s="18"/>
      <c r="L20" s="18"/>
      <c r="M20" s="19"/>
      <c r="N20" s="21"/>
      <c r="O20" s="21"/>
      <c r="P20" s="21"/>
      <c r="Q20" s="21"/>
      <c r="R20" s="21"/>
      <c r="S20" s="21"/>
      <c r="T20" s="21"/>
    </row>
    <row r="21" spans="1:20" ht="15.75" thickBot="1" x14ac:dyDescent="0.3"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1:20" ht="16.5" thickTop="1" thickBot="1" x14ac:dyDescent="0.3">
      <c r="B22" s="16"/>
      <c r="C22" s="66">
        <f>SUM(F3:F10)</f>
        <v>373</v>
      </c>
      <c r="D22" s="33">
        <f>IF(ISBLANK(C22),"", C22/$D$24)</f>
        <v>13.157198539656784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1:20" s="17" customFormat="1" ht="16.5" thickTop="1" thickBot="1" x14ac:dyDescent="0.3">
      <c r="A23" s="13"/>
      <c r="B23" s="16"/>
      <c r="C23" s="65"/>
      <c r="D23" s="7">
        <f>C22</f>
        <v>373</v>
      </c>
      <c r="E23" s="30" t="s">
        <v>27</v>
      </c>
      <c r="F23" s="5">
        <f>TRUNC(D23/D24/16)</f>
        <v>0</v>
      </c>
      <c r="G23" s="24">
        <f>(D23/D24/16-TRUNC(D23/D24/16))*16</f>
        <v>13.157198539656784</v>
      </c>
      <c r="J23" s="32"/>
    </row>
    <row r="24" spans="1:20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</row>
    <row r="25" spans="1:20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</row>
    <row r="26" spans="1:20" s="17" customFormat="1" ht="15" x14ac:dyDescent="0.25">
      <c r="A26" s="13"/>
      <c r="B26" s="16"/>
      <c r="C26" s="65"/>
      <c r="D26" s="18"/>
      <c r="E26" s="1" t="s">
        <v>36</v>
      </c>
      <c r="H26" s="32"/>
    </row>
    <row r="27" spans="1:20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20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20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20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20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20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x14ac:dyDescent="0.2">
      <c r="E34" s="13"/>
    </row>
    <row r="35" spans="1:13" x14ac:dyDescent="0.2">
      <c r="E35" s="13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</sheetData>
  <conditionalFormatting sqref="B3:B20">
    <cfRule type="expression" dxfId="29" priority="4">
      <formula>AND($B3="x",AND(COUNTBLANK($C3)=0,$C3=0))</formula>
    </cfRule>
  </conditionalFormatting>
  <conditionalFormatting sqref="C3:C20">
    <cfRule type="expression" dxfId="28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27" priority="2" operator="containsText" text="~*">
      <formula>NOT(ISERROR(SEARCH("~*",E3)))</formula>
    </cfRule>
  </conditionalFormatting>
  <dataValidations count="2">
    <dataValidation type="list" allowBlank="1" showInputMessage="1" showErrorMessage="1" sqref="N3" xr:uid="{BDF48684-B0DD-45CA-98E6-6A741628A7D5}">
      <formula1>PackCover</formula1>
    </dataValidation>
    <dataValidation type="list" allowBlank="1" showInputMessage="1" showErrorMessage="1" sqref="N4" xr:uid="{EA84EF13-79A6-46D4-8408-9924473368A8}">
      <formula1>SleepingBags</formula1>
    </dataValidation>
  </dataValidations>
  <hyperlinks>
    <hyperlink ref="A1" location="Menu!A1" display="Menu!A1" xr:uid="{1E0E64EC-A0B5-4948-A760-211321D8CBBB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EEA7D-1F47-4650-84E3-8656878ED53A}">
  <sheetPr codeName="Sheet11"/>
  <dimension ref="A1:T67"/>
  <sheetViews>
    <sheetView zoomScaleNormal="100" workbookViewId="0">
      <pane ySplit="2" topLeftCell="A5" activePane="bottomLeft" state="frozen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COUNTIFS(B3:B31,"=x",C3:C31,"=0")</f>
        <v>0</v>
      </c>
      <c r="C1" s="67">
        <f>COUNTIF(C3:C31,"=0")</f>
        <v>2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232</v>
      </c>
      <c r="F3" s="90" t="s">
        <v>122</v>
      </c>
      <c r="G3" s="69"/>
      <c r="H3" s="77"/>
      <c r="I3" s="69" t="s">
        <v>41</v>
      </c>
      <c r="J3" s="131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C4" s="49">
        <v>122</v>
      </c>
      <c r="D4" s="19">
        <f t="shared" ref="D4:D28" si="0">IF(ISBLANK(C4),"", C4/$D$39)</f>
        <v>4.3034268681987342</v>
      </c>
      <c r="E4" s="41" t="s">
        <v>208</v>
      </c>
      <c r="F4" s="12" t="str">
        <f t="shared" ref="F4:F31" si="1">IF(B4="x",IF(C4=0,"",C4),"")</f>
        <v/>
      </c>
      <c r="G4" s="69" t="str">
        <f t="shared" ref="G4:G31" si="2">IF(B4="x",D4,"")</f>
        <v/>
      </c>
      <c r="H4" s="76">
        <f t="shared" ref="H4:H31" si="3">IF(C4="","",INT(D4/16))</f>
        <v>0</v>
      </c>
      <c r="I4" s="19">
        <f t="shared" ref="I4:I31" si="4">IF(D4="","",MOD(D4,16))</f>
        <v>4.3034268681987342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>
        <v>78</v>
      </c>
      <c r="D5" s="19">
        <f t="shared" si="0"/>
        <v>2.7513712763893543</v>
      </c>
      <c r="E5" s="41" t="s">
        <v>109</v>
      </c>
      <c r="F5" s="12">
        <f t="shared" si="1"/>
        <v>78</v>
      </c>
      <c r="G5" s="69">
        <f t="shared" si="2"/>
        <v>2.7513712763893543</v>
      </c>
      <c r="H5" s="76">
        <f t="shared" si="3"/>
        <v>0</v>
      </c>
      <c r="I5" s="19">
        <f t="shared" si="4"/>
        <v>2.7513712763893543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>
        <v>110</v>
      </c>
      <c r="D6" s="19">
        <f t="shared" si="0"/>
        <v>3.8801389795234487</v>
      </c>
      <c r="E6" s="39" t="s">
        <v>106</v>
      </c>
      <c r="F6" s="12">
        <f t="shared" si="1"/>
        <v>110</v>
      </c>
      <c r="G6" s="69">
        <f t="shared" si="2"/>
        <v>3.8801389795234487</v>
      </c>
      <c r="H6" s="76">
        <f t="shared" si="3"/>
        <v>0</v>
      </c>
      <c r="I6" s="19">
        <f t="shared" si="4"/>
        <v>3.8801389795234487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>
        <v>25</v>
      </c>
      <c r="D7" s="19">
        <f t="shared" si="0"/>
        <v>0.88184976807351101</v>
      </c>
      <c r="E7" s="40" t="s">
        <v>200</v>
      </c>
      <c r="F7" s="12" t="str">
        <f t="shared" si="1"/>
        <v/>
      </c>
      <c r="G7" s="69" t="str">
        <f t="shared" si="2"/>
        <v/>
      </c>
      <c r="H7" s="76">
        <f t="shared" si="3"/>
        <v>0</v>
      </c>
      <c r="I7" s="19">
        <f t="shared" si="4"/>
        <v>0.88184976807351101</v>
      </c>
      <c r="J7" s="21" t="s">
        <v>174</v>
      </c>
      <c r="K7" s="18" t="s">
        <v>42</v>
      </c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6"/>
      <c r="C8" s="49">
        <v>0</v>
      </c>
      <c r="D8" s="19">
        <f t="shared" si="0"/>
        <v>0</v>
      </c>
      <c r="E8" s="39" t="s">
        <v>117</v>
      </c>
      <c r="F8" s="12" t="str">
        <f t="shared" si="1"/>
        <v/>
      </c>
      <c r="G8" s="69" t="str">
        <f t="shared" si="2"/>
        <v/>
      </c>
      <c r="H8" s="76">
        <f t="shared" si="3"/>
        <v>0</v>
      </c>
      <c r="I8" s="19">
        <f t="shared" si="4"/>
        <v>0</v>
      </c>
      <c r="J8" s="21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B9" s="16" t="s">
        <v>42</v>
      </c>
      <c r="C9" s="49">
        <v>227</v>
      </c>
      <c r="D9" s="19">
        <f t="shared" si="0"/>
        <v>8.0071958941074808</v>
      </c>
      <c r="E9" s="26" t="s">
        <v>120</v>
      </c>
      <c r="F9" s="12">
        <f t="shared" si="1"/>
        <v>227</v>
      </c>
      <c r="G9" s="69">
        <f t="shared" si="2"/>
        <v>8.0071958941074808</v>
      </c>
      <c r="H9" s="76">
        <f t="shared" si="3"/>
        <v>0</v>
      </c>
      <c r="I9" s="19">
        <f t="shared" si="4"/>
        <v>8.0071958941074808</v>
      </c>
      <c r="J9" s="21"/>
      <c r="K9" s="18"/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114</v>
      </c>
      <c r="D10" s="19">
        <f t="shared" si="0"/>
        <v>4.0212349424152105</v>
      </c>
      <c r="E10" s="26" t="s">
        <v>121</v>
      </c>
      <c r="F10" s="12" t="str">
        <f t="shared" si="1"/>
        <v/>
      </c>
      <c r="G10" s="69" t="str">
        <f t="shared" si="2"/>
        <v/>
      </c>
      <c r="H10" s="76">
        <f t="shared" si="3"/>
        <v>0</v>
      </c>
      <c r="I10" s="19">
        <f t="shared" si="4"/>
        <v>4.0212349424152105</v>
      </c>
      <c r="J10" s="21"/>
      <c r="K10" s="18"/>
      <c r="L10" s="18"/>
      <c r="M10" s="19"/>
      <c r="N10" s="21"/>
      <c r="O10" s="21"/>
      <c r="P10" s="21"/>
      <c r="Q10" s="21"/>
      <c r="R10" s="21"/>
      <c r="S10" s="21"/>
      <c r="T10" s="21"/>
    </row>
    <row r="11" spans="1:20" ht="15" x14ac:dyDescent="0.25">
      <c r="B11" s="16"/>
      <c r="C11" s="49">
        <v>0</v>
      </c>
      <c r="D11" s="19">
        <f t="shared" si="0"/>
        <v>0</v>
      </c>
      <c r="E11" s="26" t="s">
        <v>116</v>
      </c>
      <c r="F11" s="12" t="str">
        <f t="shared" si="1"/>
        <v/>
      </c>
      <c r="G11" s="69" t="str">
        <f t="shared" si="2"/>
        <v/>
      </c>
      <c r="H11" s="76">
        <f t="shared" si="3"/>
        <v>0</v>
      </c>
      <c r="I11" s="19">
        <f t="shared" si="4"/>
        <v>0</v>
      </c>
      <c r="J11" s="21"/>
      <c r="K11" s="18"/>
      <c r="L11" s="18"/>
      <c r="M11" s="19"/>
      <c r="N11" s="21"/>
      <c r="O11" s="21"/>
      <c r="P11" s="21"/>
      <c r="Q11" s="21"/>
      <c r="R11" s="21"/>
      <c r="S11" s="21"/>
      <c r="T11" s="21"/>
    </row>
    <row r="12" spans="1:20" ht="15" x14ac:dyDescent="0.25">
      <c r="B12" s="16" t="s">
        <v>42</v>
      </c>
      <c r="C12" s="49">
        <v>27</v>
      </c>
      <c r="D12" s="19">
        <f t="shared" si="0"/>
        <v>0.95239774951939193</v>
      </c>
      <c r="E12" s="21" t="s">
        <v>119</v>
      </c>
      <c r="F12" s="12">
        <f t="shared" si="1"/>
        <v>27</v>
      </c>
      <c r="G12" s="69">
        <f t="shared" si="2"/>
        <v>0.95239774951939193</v>
      </c>
      <c r="H12" s="76">
        <f t="shared" si="3"/>
        <v>0</v>
      </c>
      <c r="I12" s="19">
        <f t="shared" si="4"/>
        <v>0.95239774951939193</v>
      </c>
      <c r="J12" s="21"/>
      <c r="K12" s="18"/>
      <c r="L12" s="18"/>
      <c r="M12" s="19"/>
      <c r="N12" s="21"/>
      <c r="O12" s="21"/>
      <c r="P12" s="21"/>
      <c r="Q12" s="21"/>
      <c r="R12" s="21"/>
      <c r="S12" s="21"/>
      <c r="T12" s="21"/>
    </row>
    <row r="13" spans="1:20" ht="15" x14ac:dyDescent="0.25">
      <c r="B13" s="16" t="s">
        <v>42</v>
      </c>
      <c r="C13" s="49">
        <v>26</v>
      </c>
      <c r="D13" s="19">
        <f t="shared" si="0"/>
        <v>0.91712375879645147</v>
      </c>
      <c r="E13" s="21" t="s">
        <v>118</v>
      </c>
      <c r="F13" s="12">
        <f t="shared" si="1"/>
        <v>26</v>
      </c>
      <c r="G13" s="69">
        <f t="shared" si="2"/>
        <v>0.91712375879645147</v>
      </c>
      <c r="H13" s="76">
        <f t="shared" si="3"/>
        <v>0</v>
      </c>
      <c r="I13" s="19">
        <f t="shared" si="4"/>
        <v>0.91712375879645147</v>
      </c>
      <c r="J13" s="21"/>
      <c r="K13" s="18"/>
      <c r="L13" s="18"/>
      <c r="M13" s="19"/>
      <c r="N13" s="21"/>
      <c r="O13" s="21"/>
      <c r="P13" s="21"/>
      <c r="Q13" s="21"/>
      <c r="R13" s="21"/>
      <c r="S13" s="21"/>
      <c r="T13" s="21"/>
    </row>
    <row r="14" spans="1:20" ht="15" x14ac:dyDescent="0.25">
      <c r="B14" s="16" t="s">
        <v>42</v>
      </c>
      <c r="C14" s="49">
        <v>30</v>
      </c>
      <c r="D14" s="19">
        <f t="shared" si="0"/>
        <v>1.0582197216882132</v>
      </c>
      <c r="E14" s="21" t="s">
        <v>112</v>
      </c>
      <c r="F14" s="12">
        <f t="shared" si="1"/>
        <v>30</v>
      </c>
      <c r="G14" s="69">
        <f t="shared" si="2"/>
        <v>1.0582197216882132</v>
      </c>
      <c r="H14" s="76">
        <f t="shared" si="3"/>
        <v>0</v>
      </c>
      <c r="I14" s="19">
        <f t="shared" si="4"/>
        <v>1.0582197216882132</v>
      </c>
      <c r="J14" s="21"/>
      <c r="K14" s="18"/>
      <c r="L14" s="18"/>
      <c r="M14" s="19"/>
      <c r="N14" s="21"/>
      <c r="O14" s="21"/>
      <c r="P14" s="21"/>
      <c r="Q14" s="21"/>
      <c r="R14" s="21"/>
      <c r="S14" s="21"/>
      <c r="T14" s="21"/>
    </row>
    <row r="15" spans="1:20" ht="15" x14ac:dyDescent="0.25">
      <c r="B15" s="16"/>
      <c r="C15" s="49">
        <v>10</v>
      </c>
      <c r="D15" s="19">
        <f t="shared" si="0"/>
        <v>0.3527399072294044</v>
      </c>
      <c r="E15" s="21" t="s">
        <v>113</v>
      </c>
      <c r="F15" s="12" t="str">
        <f t="shared" si="1"/>
        <v/>
      </c>
      <c r="G15" s="69" t="str">
        <f t="shared" si="2"/>
        <v/>
      </c>
      <c r="H15" s="76">
        <f t="shared" si="3"/>
        <v>0</v>
      </c>
      <c r="I15" s="19">
        <f t="shared" si="4"/>
        <v>0.3527399072294044</v>
      </c>
      <c r="J15" s="21"/>
      <c r="K15" s="18"/>
      <c r="L15" s="18"/>
      <c r="M15" s="19"/>
      <c r="N15" s="21"/>
      <c r="O15" s="21"/>
      <c r="P15" s="21"/>
      <c r="Q15" s="21"/>
      <c r="R15" s="21"/>
      <c r="S15" s="21"/>
      <c r="T15" s="21"/>
    </row>
    <row r="16" spans="1:20" ht="15" x14ac:dyDescent="0.25">
      <c r="B16" s="16"/>
      <c r="C16" s="49">
        <v>14</v>
      </c>
      <c r="D16" s="19">
        <f t="shared" si="0"/>
        <v>0.4938358701211662</v>
      </c>
      <c r="E16" s="21" t="s">
        <v>114</v>
      </c>
      <c r="F16" s="12" t="str">
        <f t="shared" si="1"/>
        <v/>
      </c>
      <c r="G16" s="69" t="str">
        <f t="shared" si="2"/>
        <v/>
      </c>
      <c r="H16" s="76">
        <f t="shared" si="3"/>
        <v>0</v>
      </c>
      <c r="I16" s="19">
        <f t="shared" si="4"/>
        <v>0.4938358701211662</v>
      </c>
      <c r="J16" s="21"/>
      <c r="K16" s="18"/>
      <c r="L16" s="18"/>
      <c r="M16" s="19"/>
      <c r="N16" s="21"/>
      <c r="O16" s="21"/>
      <c r="P16" s="21"/>
      <c r="Q16" s="21"/>
      <c r="R16" s="21"/>
      <c r="S16" s="21"/>
      <c r="T16" s="21"/>
    </row>
    <row r="17" spans="2:20" ht="15" x14ac:dyDescent="0.25">
      <c r="B17" s="16" t="s">
        <v>42</v>
      </c>
      <c r="C17" s="49">
        <v>10</v>
      </c>
      <c r="D17" s="19">
        <f t="shared" si="0"/>
        <v>0.3527399072294044</v>
      </c>
      <c r="E17" s="26" t="s">
        <v>115</v>
      </c>
      <c r="F17" s="12">
        <f t="shared" si="1"/>
        <v>10</v>
      </c>
      <c r="G17" s="69">
        <f t="shared" si="2"/>
        <v>0.3527399072294044</v>
      </c>
      <c r="H17" s="76">
        <f t="shared" si="3"/>
        <v>0</v>
      </c>
      <c r="I17" s="19">
        <f t="shared" si="4"/>
        <v>0.3527399072294044</v>
      </c>
      <c r="J17" s="21"/>
      <c r="K17" s="18"/>
      <c r="L17" s="18"/>
      <c r="M17" s="19"/>
      <c r="N17" s="21"/>
      <c r="O17" s="21"/>
      <c r="P17" s="21"/>
      <c r="Q17" s="21"/>
      <c r="R17" s="21"/>
      <c r="S17" s="21"/>
      <c r="T17" s="21"/>
    </row>
    <row r="18" spans="2:20" ht="15" x14ac:dyDescent="0.25">
      <c r="B18" s="16" t="s">
        <v>42</v>
      </c>
      <c r="C18" s="49">
        <v>10</v>
      </c>
      <c r="D18" s="19">
        <f t="shared" si="0"/>
        <v>0.3527399072294044</v>
      </c>
      <c r="E18" s="26" t="s">
        <v>192</v>
      </c>
      <c r="F18" s="12">
        <f t="shared" si="1"/>
        <v>10</v>
      </c>
      <c r="G18" s="69">
        <f t="shared" si="2"/>
        <v>0.3527399072294044</v>
      </c>
      <c r="H18" s="76">
        <f t="shared" si="3"/>
        <v>0</v>
      </c>
      <c r="I18" s="19">
        <f t="shared" si="4"/>
        <v>0.3527399072294044</v>
      </c>
      <c r="J18" s="21"/>
      <c r="K18" s="18"/>
      <c r="L18" s="18"/>
      <c r="M18" s="19"/>
      <c r="N18" s="21"/>
      <c r="O18" s="21"/>
      <c r="P18" s="21"/>
      <c r="Q18" s="21"/>
      <c r="R18" s="21"/>
      <c r="S18" s="21"/>
      <c r="T18" s="21"/>
    </row>
    <row r="19" spans="2:20" ht="15" x14ac:dyDescent="0.25">
      <c r="B19" s="16"/>
      <c r="C19" s="49">
        <v>209</v>
      </c>
      <c r="D19" s="19">
        <f t="shared" si="0"/>
        <v>7.372264061094552</v>
      </c>
      <c r="E19" s="21" t="s">
        <v>125</v>
      </c>
      <c r="F19" s="12" t="str">
        <f t="shared" si="1"/>
        <v/>
      </c>
      <c r="G19" s="69" t="str">
        <f t="shared" si="2"/>
        <v/>
      </c>
      <c r="H19" s="76">
        <f t="shared" si="3"/>
        <v>0</v>
      </c>
      <c r="I19" s="19">
        <f t="shared" si="4"/>
        <v>7.372264061094552</v>
      </c>
      <c r="J19" s="91" t="s">
        <v>233</v>
      </c>
      <c r="K19" s="18"/>
      <c r="L19" s="18"/>
      <c r="M19" s="19"/>
      <c r="N19" s="21"/>
      <c r="O19" s="21"/>
      <c r="P19" s="21"/>
      <c r="Q19" s="21"/>
      <c r="R19" s="21"/>
      <c r="S19" s="21"/>
      <c r="T19" s="21"/>
    </row>
    <row r="20" spans="2:20" ht="15" x14ac:dyDescent="0.25">
      <c r="B20" s="16" t="s">
        <v>42</v>
      </c>
      <c r="C20" s="49">
        <v>35</v>
      </c>
      <c r="D20" s="19">
        <f t="shared" si="0"/>
        <v>1.2345896753029155</v>
      </c>
      <c r="E20" s="21" t="s">
        <v>127</v>
      </c>
      <c r="F20" s="12">
        <f t="shared" si="1"/>
        <v>35</v>
      </c>
      <c r="G20" s="69">
        <f t="shared" si="2"/>
        <v>1.2345896753029155</v>
      </c>
      <c r="H20" s="76">
        <f t="shared" si="3"/>
        <v>0</v>
      </c>
      <c r="I20" s="19">
        <f t="shared" si="4"/>
        <v>1.2345896753029155</v>
      </c>
      <c r="J20" s="21"/>
      <c r="K20" s="18"/>
      <c r="L20" s="18"/>
      <c r="M20" s="19"/>
      <c r="N20" s="21"/>
      <c r="O20" s="21"/>
      <c r="P20" s="21"/>
      <c r="Q20" s="21"/>
      <c r="R20" s="21"/>
      <c r="S20" s="21"/>
      <c r="T20" s="21"/>
    </row>
    <row r="21" spans="2:20" ht="15" x14ac:dyDescent="0.25">
      <c r="B21" s="16" t="s">
        <v>42</v>
      </c>
      <c r="C21" s="49">
        <v>30</v>
      </c>
      <c r="D21" s="19">
        <f t="shared" si="0"/>
        <v>1.0582197216882132</v>
      </c>
      <c r="E21" s="21" t="s">
        <v>126</v>
      </c>
      <c r="F21" s="12">
        <f t="shared" si="1"/>
        <v>30</v>
      </c>
      <c r="G21" s="69">
        <f t="shared" si="2"/>
        <v>1.0582197216882132</v>
      </c>
      <c r="H21" s="76">
        <f t="shared" si="3"/>
        <v>0</v>
      </c>
      <c r="I21" s="19">
        <f t="shared" si="4"/>
        <v>1.0582197216882132</v>
      </c>
      <c r="J21" s="21"/>
      <c r="K21" s="18"/>
      <c r="L21" s="18"/>
      <c r="M21" s="19"/>
      <c r="N21" s="21"/>
      <c r="O21" s="21"/>
      <c r="P21" s="21"/>
      <c r="Q21" s="21"/>
      <c r="R21" s="21"/>
      <c r="S21" s="21"/>
      <c r="T21" s="21"/>
    </row>
    <row r="22" spans="2:20" ht="15" x14ac:dyDescent="0.25">
      <c r="B22" s="16" t="s">
        <v>42</v>
      </c>
      <c r="C22" s="49">
        <v>286</v>
      </c>
      <c r="D22" s="19">
        <f t="shared" si="0"/>
        <v>10.088361346760966</v>
      </c>
      <c r="E22" s="3" t="s">
        <v>12</v>
      </c>
      <c r="F22" s="12">
        <f t="shared" si="1"/>
        <v>286</v>
      </c>
      <c r="G22" s="69">
        <f t="shared" si="2"/>
        <v>10.088361346760966</v>
      </c>
      <c r="H22" s="76">
        <f t="shared" si="3"/>
        <v>0</v>
      </c>
      <c r="I22" s="19">
        <f t="shared" si="4"/>
        <v>10.088361346760966</v>
      </c>
      <c r="J22" s="21"/>
      <c r="K22" s="18"/>
      <c r="L22" s="18"/>
      <c r="M22" s="19"/>
      <c r="N22" s="21"/>
      <c r="O22" s="21"/>
      <c r="P22" s="21"/>
      <c r="Q22" s="21"/>
      <c r="R22" s="21"/>
      <c r="S22" s="21"/>
      <c r="T22" s="21"/>
    </row>
    <row r="23" spans="2:20" ht="15" x14ac:dyDescent="0.25">
      <c r="B23" s="16" t="s">
        <v>42</v>
      </c>
      <c r="C23" s="160"/>
      <c r="D23" s="19" t="str">
        <f t="shared" si="0"/>
        <v/>
      </c>
      <c r="E23" s="42" t="s">
        <v>180</v>
      </c>
      <c r="F23" s="12"/>
      <c r="G23" s="69"/>
      <c r="H23" s="76" t="str">
        <f t="shared" si="3"/>
        <v/>
      </c>
      <c r="I23" s="19" t="str">
        <f t="shared" si="4"/>
        <v/>
      </c>
      <c r="J23" s="21" t="s">
        <v>178</v>
      </c>
      <c r="K23" s="18"/>
      <c r="L23" s="18"/>
      <c r="M23" s="19"/>
      <c r="N23" s="21"/>
      <c r="O23" s="21"/>
      <c r="P23" s="21"/>
      <c r="Q23" s="21"/>
      <c r="R23" s="21"/>
      <c r="S23" s="21"/>
      <c r="T23" s="21"/>
    </row>
    <row r="24" spans="2:20" ht="15" x14ac:dyDescent="0.25">
      <c r="B24" s="16" t="s">
        <v>42</v>
      </c>
      <c r="C24" s="49"/>
      <c r="D24" s="19" t="str">
        <f t="shared" si="0"/>
        <v/>
      </c>
      <c r="E24" s="42" t="s">
        <v>129</v>
      </c>
      <c r="F24" s="12" t="str">
        <f t="shared" si="1"/>
        <v/>
      </c>
      <c r="G24" s="69" t="str">
        <f t="shared" si="2"/>
        <v/>
      </c>
      <c r="H24" s="76" t="str">
        <f t="shared" si="3"/>
        <v/>
      </c>
      <c r="I24" s="19" t="str">
        <f t="shared" si="4"/>
        <v/>
      </c>
      <c r="J24" s="21"/>
      <c r="K24" s="18"/>
      <c r="L24" s="18"/>
      <c r="M24" s="19"/>
      <c r="N24" s="21"/>
      <c r="O24" s="21"/>
      <c r="P24" s="21"/>
      <c r="Q24" s="21"/>
      <c r="R24" s="21"/>
      <c r="S24" s="21"/>
      <c r="T24" s="21"/>
    </row>
    <row r="25" spans="2:20" ht="15" x14ac:dyDescent="0.25">
      <c r="B25" s="16" t="s">
        <v>42</v>
      </c>
      <c r="C25" s="49"/>
      <c r="D25" s="19" t="str">
        <f t="shared" si="0"/>
        <v/>
      </c>
      <c r="E25" s="42" t="s">
        <v>128</v>
      </c>
      <c r="F25" s="12" t="str">
        <f t="shared" si="1"/>
        <v/>
      </c>
      <c r="G25" s="69" t="str">
        <f t="shared" si="2"/>
        <v/>
      </c>
      <c r="H25" s="76" t="str">
        <f t="shared" si="3"/>
        <v/>
      </c>
      <c r="I25" s="19" t="str">
        <f t="shared" si="4"/>
        <v/>
      </c>
      <c r="J25" s="21"/>
      <c r="K25" s="18"/>
      <c r="L25" s="18"/>
      <c r="M25" s="19"/>
      <c r="N25" s="21"/>
      <c r="O25" s="21"/>
      <c r="P25" s="21"/>
      <c r="Q25" s="21"/>
      <c r="R25" s="21"/>
      <c r="S25" s="21"/>
      <c r="T25" s="21"/>
    </row>
    <row r="26" spans="2:20" ht="15" x14ac:dyDescent="0.25">
      <c r="B26" s="16" t="s">
        <v>42</v>
      </c>
      <c r="C26" s="49"/>
      <c r="D26" s="19" t="str">
        <f t="shared" si="0"/>
        <v/>
      </c>
      <c r="E26" s="42" t="s">
        <v>130</v>
      </c>
      <c r="F26" s="12" t="str">
        <f t="shared" si="1"/>
        <v/>
      </c>
      <c r="G26" s="69" t="str">
        <f t="shared" si="2"/>
        <v/>
      </c>
      <c r="H26" s="76" t="str">
        <f t="shared" si="3"/>
        <v/>
      </c>
      <c r="I26" s="19" t="str">
        <f t="shared" si="4"/>
        <v/>
      </c>
      <c r="J26" s="21"/>
      <c r="K26" s="18"/>
      <c r="L26" s="18"/>
      <c r="M26" s="19"/>
      <c r="N26" s="21"/>
      <c r="O26" s="21"/>
      <c r="P26" s="21"/>
      <c r="Q26" s="21"/>
      <c r="R26" s="21"/>
      <c r="S26" s="21"/>
      <c r="T26" s="21"/>
    </row>
    <row r="27" spans="2:20" ht="15" x14ac:dyDescent="0.25">
      <c r="B27" s="16" t="s">
        <v>42</v>
      </c>
      <c r="C27" s="49"/>
      <c r="D27" s="19" t="str">
        <f t="shared" si="0"/>
        <v/>
      </c>
      <c r="E27" s="42" t="s">
        <v>209</v>
      </c>
      <c r="F27" s="12" t="str">
        <f t="shared" si="1"/>
        <v/>
      </c>
      <c r="G27" s="69" t="str">
        <f t="shared" si="2"/>
        <v/>
      </c>
      <c r="H27" s="76" t="str">
        <f t="shared" si="3"/>
        <v/>
      </c>
      <c r="I27" s="19" t="str">
        <f t="shared" si="4"/>
        <v/>
      </c>
      <c r="J27" s="21"/>
      <c r="K27" s="18"/>
      <c r="L27" s="18"/>
      <c r="M27" s="19"/>
      <c r="N27" s="21"/>
      <c r="O27" s="21"/>
      <c r="P27" s="21"/>
      <c r="Q27" s="21"/>
      <c r="R27" s="21"/>
      <c r="S27" s="21"/>
      <c r="T27" s="21"/>
    </row>
    <row r="28" spans="2:20" ht="15" x14ac:dyDescent="0.25">
      <c r="B28" s="16"/>
      <c r="C28" s="49">
        <v>46</v>
      </c>
      <c r="D28" s="19">
        <f t="shared" si="0"/>
        <v>1.6226035732552604</v>
      </c>
      <c r="E28" s="21" t="s">
        <v>124</v>
      </c>
      <c r="F28" s="12" t="str">
        <f t="shared" si="1"/>
        <v/>
      </c>
      <c r="G28" s="69" t="str">
        <f t="shared" si="2"/>
        <v/>
      </c>
      <c r="H28" s="76">
        <f t="shared" si="3"/>
        <v>0</v>
      </c>
      <c r="I28" s="19">
        <f t="shared" si="4"/>
        <v>1.6226035732552604</v>
      </c>
      <c r="J28" s="21"/>
      <c r="K28" s="18"/>
      <c r="L28" s="18"/>
      <c r="M28" s="19"/>
      <c r="N28" s="21"/>
      <c r="O28" s="21"/>
      <c r="P28" s="21"/>
      <c r="Q28" s="21"/>
      <c r="R28" s="21"/>
      <c r="S28" s="21"/>
      <c r="T28" s="21"/>
    </row>
    <row r="29" spans="2:20" ht="15" x14ac:dyDescent="0.25">
      <c r="B29" s="16" t="s">
        <v>42</v>
      </c>
      <c r="C29" s="49">
        <v>41</v>
      </c>
      <c r="D29" s="19"/>
      <c r="E29" s="26" t="s">
        <v>199</v>
      </c>
      <c r="F29" s="12">
        <f t="shared" si="1"/>
        <v>41</v>
      </c>
      <c r="G29" s="69"/>
      <c r="H29" s="76">
        <f t="shared" si="3"/>
        <v>0</v>
      </c>
      <c r="I29" s="19" t="str">
        <f t="shared" si="4"/>
        <v/>
      </c>
      <c r="J29" s="21"/>
      <c r="K29" s="18"/>
      <c r="L29" s="18"/>
      <c r="M29" s="19"/>
      <c r="N29" s="21"/>
      <c r="O29" s="21"/>
      <c r="P29" s="21"/>
      <c r="Q29" s="21"/>
      <c r="R29" s="21"/>
      <c r="S29" s="21"/>
      <c r="T29" s="21"/>
    </row>
    <row r="30" spans="2:20" ht="15" x14ac:dyDescent="0.25">
      <c r="B30" s="16" t="s">
        <v>42</v>
      </c>
      <c r="C30" s="49">
        <v>32</v>
      </c>
      <c r="D30" s="19">
        <f>IF(ISBLANK(C30),"", C30/$D$39)</f>
        <v>1.1287677031340941</v>
      </c>
      <c r="E30" s="21" t="s">
        <v>15</v>
      </c>
      <c r="F30" s="12">
        <f t="shared" si="1"/>
        <v>32</v>
      </c>
      <c r="G30" s="69">
        <f t="shared" si="2"/>
        <v>1.1287677031340941</v>
      </c>
      <c r="H30" s="76">
        <f t="shared" si="3"/>
        <v>0</v>
      </c>
      <c r="I30" s="19">
        <f t="shared" si="4"/>
        <v>1.1287677031340941</v>
      </c>
      <c r="J30" s="21"/>
      <c r="K30" s="18"/>
      <c r="L30" s="18"/>
      <c r="M30" s="19"/>
      <c r="N30" s="21"/>
      <c r="O30" s="21"/>
      <c r="P30" s="21"/>
      <c r="Q30" s="21"/>
      <c r="R30" s="21"/>
      <c r="S30" s="21"/>
      <c r="T30" s="21"/>
    </row>
    <row r="31" spans="2:20" ht="15" x14ac:dyDescent="0.25">
      <c r="B31" s="16" t="s">
        <v>42</v>
      </c>
      <c r="C31" s="49">
        <v>21</v>
      </c>
      <c r="D31" s="19">
        <f>IF(ISBLANK(C31),"", C31/$D$39)</f>
        <v>0.74075380518174927</v>
      </c>
      <c r="E31" s="21" t="s">
        <v>10</v>
      </c>
      <c r="F31" s="12">
        <f t="shared" si="1"/>
        <v>21</v>
      </c>
      <c r="G31" s="69">
        <f t="shared" si="2"/>
        <v>0.74075380518174927</v>
      </c>
      <c r="H31" s="76">
        <f t="shared" si="3"/>
        <v>0</v>
      </c>
      <c r="I31" s="19">
        <f t="shared" si="4"/>
        <v>0.74075380518174927</v>
      </c>
      <c r="J31" s="21"/>
      <c r="K31" s="18"/>
      <c r="L31" s="18"/>
      <c r="M31" s="19"/>
      <c r="N31" s="21"/>
      <c r="O31" s="21"/>
      <c r="P31" s="28"/>
      <c r="Q31" s="29"/>
      <c r="R31" s="29"/>
      <c r="S31" s="28"/>
      <c r="T31" s="29"/>
    </row>
    <row r="32" spans="2:20" ht="15" x14ac:dyDescent="0.25">
      <c r="B32" s="16"/>
      <c r="C32" s="49"/>
      <c r="D32" s="19" t="str">
        <f t="shared" ref="D32:D35" si="5">IF(ISBLANK(C32),"", C32/$D$39)</f>
        <v/>
      </c>
      <c r="E32" s="21"/>
      <c r="F32" s="12" t="str">
        <f t="shared" ref="F32:F35" si="6">IF(B32="x",IF(C32=0,"",C32),"")</f>
        <v/>
      </c>
      <c r="G32" s="69" t="str">
        <f t="shared" ref="G32:G35" si="7">IF(B32="x",D32,"")</f>
        <v/>
      </c>
      <c r="H32" s="76" t="str">
        <f t="shared" ref="H32:H35" si="8">IF(C32="","",INT(D32/16))</f>
        <v/>
      </c>
      <c r="I32" s="19" t="str">
        <f t="shared" ref="I32:I35" si="9">IF(D32="","",MOD(D32,16))</f>
        <v/>
      </c>
      <c r="J32" s="21"/>
      <c r="K32" s="18"/>
      <c r="L32" s="18"/>
      <c r="M32" s="19"/>
      <c r="N32" s="21"/>
      <c r="O32" s="21"/>
      <c r="P32" s="28"/>
      <c r="Q32" s="29"/>
      <c r="R32" s="29"/>
      <c r="S32" s="28"/>
      <c r="T32" s="29"/>
    </row>
    <row r="33" spans="1:20" ht="15" x14ac:dyDescent="0.25">
      <c r="B33" s="16"/>
      <c r="C33" s="49"/>
      <c r="D33" s="19" t="str">
        <f t="shared" si="5"/>
        <v/>
      </c>
      <c r="E33" s="21"/>
      <c r="F33" s="12" t="str">
        <f t="shared" si="6"/>
        <v/>
      </c>
      <c r="G33" s="69" t="str">
        <f t="shared" si="7"/>
        <v/>
      </c>
      <c r="H33" s="76" t="str">
        <f t="shared" si="8"/>
        <v/>
      </c>
      <c r="I33" s="19" t="str">
        <f t="shared" si="9"/>
        <v/>
      </c>
      <c r="J33" s="21"/>
      <c r="K33" s="18"/>
      <c r="L33" s="18"/>
      <c r="M33" s="19"/>
      <c r="N33" s="21"/>
      <c r="O33" s="21"/>
      <c r="P33" s="28"/>
      <c r="Q33" s="29"/>
      <c r="R33" s="29"/>
      <c r="S33" s="28"/>
      <c r="T33" s="29"/>
    </row>
    <row r="34" spans="1:20" ht="15" x14ac:dyDescent="0.25">
      <c r="B34" s="16"/>
      <c r="C34" s="49"/>
      <c r="D34" s="19" t="str">
        <f t="shared" si="5"/>
        <v/>
      </c>
      <c r="E34" s="21"/>
      <c r="F34" s="12" t="str">
        <f t="shared" si="6"/>
        <v/>
      </c>
      <c r="G34" s="69" t="str">
        <f t="shared" si="7"/>
        <v/>
      </c>
      <c r="H34" s="76" t="str">
        <f t="shared" si="8"/>
        <v/>
      </c>
      <c r="I34" s="19" t="str">
        <f t="shared" si="9"/>
        <v/>
      </c>
      <c r="J34" s="21"/>
      <c r="K34" s="18"/>
      <c r="L34" s="18"/>
      <c r="M34" s="19"/>
      <c r="N34" s="21"/>
      <c r="O34" s="21"/>
      <c r="P34" s="28"/>
      <c r="Q34" s="29"/>
      <c r="R34" s="29"/>
      <c r="S34" s="28"/>
      <c r="T34" s="29"/>
    </row>
    <row r="35" spans="1:20" ht="15" x14ac:dyDescent="0.25">
      <c r="B35" s="16"/>
      <c r="C35" s="49"/>
      <c r="D35" s="19" t="str">
        <f t="shared" si="5"/>
        <v/>
      </c>
      <c r="E35" s="21"/>
      <c r="F35" s="12" t="str">
        <f t="shared" si="6"/>
        <v/>
      </c>
      <c r="G35" s="69" t="str">
        <f t="shared" si="7"/>
        <v/>
      </c>
      <c r="H35" s="76" t="str">
        <f t="shared" si="8"/>
        <v/>
      </c>
      <c r="I35" s="19" t="str">
        <f t="shared" si="9"/>
        <v/>
      </c>
      <c r="J35" s="21"/>
      <c r="K35" s="18"/>
      <c r="L35" s="18"/>
      <c r="M35" s="19"/>
      <c r="N35" s="21"/>
      <c r="O35" s="21"/>
      <c r="P35" s="28"/>
      <c r="Q35" s="29"/>
      <c r="R35" s="29"/>
      <c r="S35" s="28"/>
      <c r="T35" s="29"/>
    </row>
    <row r="36" spans="1:20" ht="15.75" thickBot="1" x14ac:dyDescent="0.3">
      <c r="B36" s="16" t="s">
        <v>79</v>
      </c>
      <c r="C36" s="49"/>
      <c r="D36" s="19"/>
      <c r="E36" s="21"/>
      <c r="F36" s="21"/>
      <c r="G36" s="21"/>
      <c r="H36" s="78"/>
      <c r="I36" s="21"/>
      <c r="J36" s="21"/>
      <c r="K36" s="18"/>
      <c r="L36" s="18"/>
      <c r="M36" s="19"/>
      <c r="N36" s="21"/>
      <c r="O36" s="29"/>
      <c r="P36" s="18"/>
      <c r="Q36" s="18"/>
      <c r="R36" s="18"/>
      <c r="S36" s="18"/>
      <c r="T36" s="18"/>
    </row>
    <row r="37" spans="1:20" s="17" customFormat="1" ht="16.5" thickTop="1" thickBot="1" x14ac:dyDescent="0.3">
      <c r="A37" s="13"/>
      <c r="B37" s="16"/>
      <c r="C37" s="66">
        <f>SUM(F4:F31)</f>
        <v>963</v>
      </c>
      <c r="D37" s="33">
        <f>IF(ISBLANK(C37),"", C37/$D$39)</f>
        <v>33.968853066191642</v>
      </c>
      <c r="E37" s="58" t="s">
        <v>166</v>
      </c>
      <c r="F37" s="56" t="s">
        <v>165</v>
      </c>
      <c r="G37" s="57" t="s">
        <v>1</v>
      </c>
      <c r="H37" s="79"/>
      <c r="I37" s="57"/>
      <c r="J37" s="29"/>
      <c r="M37" s="32"/>
    </row>
    <row r="38" spans="1:20" s="17" customFormat="1" ht="16.5" thickTop="1" thickBot="1" x14ac:dyDescent="0.3">
      <c r="A38" s="13"/>
      <c r="B38" s="16"/>
      <c r="C38" s="65"/>
      <c r="D38" s="7">
        <f>C37</f>
        <v>963</v>
      </c>
      <c r="E38" s="30" t="s">
        <v>27</v>
      </c>
      <c r="F38" s="5">
        <f>TRUNC(D38/D39/16)</f>
        <v>2</v>
      </c>
      <c r="G38" s="24">
        <f>(D38/D39/16-TRUNC(D38/D39/16))*16</f>
        <v>1.9688530661916417</v>
      </c>
      <c r="J38" s="32"/>
    </row>
    <row r="39" spans="1:20" s="17" customFormat="1" ht="15.75" thickBot="1" x14ac:dyDescent="0.3">
      <c r="A39" s="13"/>
      <c r="B39" s="16"/>
      <c r="C39" s="65"/>
      <c r="D39" s="9">
        <v>28.349499999999999</v>
      </c>
      <c r="E39" s="5" t="s">
        <v>31</v>
      </c>
      <c r="H39" s="32"/>
    </row>
    <row r="40" spans="1:20" s="17" customFormat="1" ht="15.75" thickBot="1" x14ac:dyDescent="0.3">
      <c r="A40" s="13"/>
      <c r="B40" s="16"/>
      <c r="C40" s="65"/>
      <c r="D40" s="9">
        <v>3.5274E-2</v>
      </c>
      <c r="E40" s="6" t="s">
        <v>35</v>
      </c>
      <c r="H40" s="32"/>
    </row>
    <row r="41" spans="1:20" s="17" customFormat="1" ht="15" x14ac:dyDescent="0.25">
      <c r="A41" s="13"/>
      <c r="B41" s="16"/>
      <c r="C41" s="65"/>
      <c r="D41" s="18"/>
      <c r="E41" s="1" t="s">
        <v>36</v>
      </c>
      <c r="H41" s="32"/>
    </row>
    <row r="42" spans="1:20" s="17" customFormat="1" ht="15" x14ac:dyDescent="0.25">
      <c r="A42" s="13"/>
      <c r="B42" s="16"/>
      <c r="C42" s="65"/>
      <c r="D42" s="18"/>
      <c r="E42" s="11" t="s">
        <v>33</v>
      </c>
      <c r="F42" s="18"/>
      <c r="G42" s="18"/>
      <c r="H42" s="76"/>
      <c r="I42" s="18"/>
      <c r="J42" s="18"/>
      <c r="M42" s="32"/>
    </row>
    <row r="43" spans="1:20" s="17" customFormat="1" ht="15" x14ac:dyDescent="0.25">
      <c r="A43" s="13"/>
      <c r="B43" s="16"/>
      <c r="C43" s="65"/>
      <c r="D43" s="18" t="s">
        <v>29</v>
      </c>
      <c r="E43" s="18" t="s">
        <v>30</v>
      </c>
      <c r="G43" s="18"/>
      <c r="H43" s="76"/>
      <c r="I43" s="18"/>
      <c r="J43" s="18"/>
      <c r="M43" s="32"/>
    </row>
    <row r="44" spans="1:20" s="17" customFormat="1" ht="15" x14ac:dyDescent="0.25">
      <c r="A44" s="13"/>
      <c r="B44" s="13"/>
      <c r="C44" s="65"/>
      <c r="D44" s="18"/>
      <c r="E44" s="18"/>
      <c r="F44" s="18"/>
      <c r="G44" s="18"/>
      <c r="H44" s="76"/>
      <c r="I44" s="18"/>
      <c r="J44" s="18"/>
      <c r="M44" s="32"/>
    </row>
    <row r="45" spans="1:20" s="17" customFormat="1" ht="15" x14ac:dyDescent="0.25">
      <c r="A45" s="13"/>
      <c r="B45" s="13"/>
      <c r="C45" s="65"/>
      <c r="D45" s="18"/>
      <c r="E45" s="18"/>
      <c r="F45" s="18"/>
      <c r="G45" s="18"/>
      <c r="H45" s="76"/>
      <c r="I45" s="18"/>
      <c r="J45" s="18"/>
      <c r="M45" s="32"/>
    </row>
    <row r="46" spans="1:20" s="17" customFormat="1" ht="15" x14ac:dyDescent="0.25">
      <c r="A46" s="13"/>
      <c r="B46" s="13"/>
      <c r="C46" s="65"/>
      <c r="D46" s="18"/>
      <c r="E46" s="18"/>
      <c r="F46" s="18"/>
      <c r="G46" s="18"/>
      <c r="H46" s="76"/>
      <c r="I46" s="18"/>
      <c r="J46" s="18"/>
      <c r="M46" s="32"/>
    </row>
    <row r="47" spans="1:20" s="17" customFormat="1" x14ac:dyDescent="0.2">
      <c r="A47" s="13"/>
      <c r="B47" s="13"/>
      <c r="C47" s="52"/>
      <c r="H47" s="74"/>
      <c r="M47" s="32"/>
    </row>
    <row r="48" spans="1:20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E49" s="13"/>
      <c r="H49" s="74"/>
      <c r="M49" s="32"/>
    </row>
    <row r="50" spans="1:13" s="17" customFormat="1" x14ac:dyDescent="0.2">
      <c r="A50" s="13"/>
      <c r="B50" s="13"/>
      <c r="C50" s="52"/>
      <c r="E50" s="13"/>
      <c r="H50" s="74"/>
      <c r="M50" s="32"/>
    </row>
    <row r="51" spans="1:13" s="17" customFormat="1" x14ac:dyDescent="0.2">
      <c r="A51" s="13"/>
      <c r="B51" s="13"/>
      <c r="C51" s="52"/>
      <c r="E51" s="13"/>
      <c r="H51" s="74"/>
      <c r="M51" s="32"/>
    </row>
    <row r="52" spans="1:13" x14ac:dyDescent="0.2">
      <c r="E52" s="13"/>
    </row>
    <row r="53" spans="1:13" x14ac:dyDescent="0.2">
      <c r="E53" s="13"/>
    </row>
    <row r="54" spans="1:13" s="17" customFormat="1" x14ac:dyDescent="0.2">
      <c r="A54" s="13"/>
      <c r="B54" s="13"/>
      <c r="C54" s="52"/>
      <c r="E54" s="13"/>
      <c r="H54" s="74"/>
      <c r="M54" s="32"/>
    </row>
    <row r="55" spans="1:13" s="17" customFormat="1" x14ac:dyDescent="0.2">
      <c r="A55" s="13"/>
      <c r="B55" s="13"/>
      <c r="C55" s="52"/>
      <c r="E55" s="13"/>
      <c r="H55" s="74"/>
      <c r="M55" s="32"/>
    </row>
    <row r="56" spans="1:13" s="17" customFormat="1" x14ac:dyDescent="0.2">
      <c r="A56" s="13"/>
      <c r="B56" s="13"/>
      <c r="C56" s="52"/>
      <c r="E56" s="13"/>
      <c r="H56" s="74"/>
      <c r="M56" s="32"/>
    </row>
    <row r="57" spans="1:13" s="17" customFormat="1" x14ac:dyDescent="0.2">
      <c r="A57" s="13"/>
      <c r="B57" s="13"/>
      <c r="C57" s="52"/>
      <c r="E57" s="13"/>
      <c r="H57" s="74"/>
      <c r="M57" s="32"/>
    </row>
    <row r="58" spans="1:13" s="17" customFormat="1" x14ac:dyDescent="0.2">
      <c r="A58" s="13"/>
      <c r="B58" s="13"/>
      <c r="C58" s="52"/>
      <c r="E58" s="13"/>
      <c r="H58" s="74"/>
      <c r="M58" s="32"/>
    </row>
    <row r="59" spans="1:13" s="17" customFormat="1" x14ac:dyDescent="0.2">
      <c r="A59" s="13"/>
      <c r="B59" s="13"/>
      <c r="C59" s="52"/>
      <c r="E59" s="13"/>
      <c r="H59" s="74"/>
      <c r="M59" s="32"/>
    </row>
    <row r="60" spans="1:13" s="17" customFormat="1" x14ac:dyDescent="0.2">
      <c r="A60" s="13"/>
      <c r="B60" s="13"/>
      <c r="C60" s="52"/>
      <c r="E60" s="13"/>
      <c r="H60" s="74"/>
      <c r="M60" s="32"/>
    </row>
    <row r="61" spans="1:13" s="17" customFormat="1" x14ac:dyDescent="0.2">
      <c r="A61" s="13"/>
      <c r="B61" s="13"/>
      <c r="C61" s="52"/>
      <c r="E61" s="13"/>
      <c r="H61" s="74"/>
      <c r="M61" s="32"/>
    </row>
    <row r="62" spans="1:13" s="17" customFormat="1" x14ac:dyDescent="0.2">
      <c r="A62" s="13"/>
      <c r="B62" s="13"/>
      <c r="C62" s="52"/>
      <c r="E62" s="13"/>
      <c r="H62" s="74"/>
      <c r="M62" s="32"/>
    </row>
    <row r="63" spans="1:13" s="17" customFormat="1" x14ac:dyDescent="0.2">
      <c r="A63" s="13"/>
      <c r="B63" s="13"/>
      <c r="C63" s="52"/>
      <c r="H63" s="74"/>
      <c r="M63" s="32"/>
    </row>
    <row r="64" spans="1:13" s="17" customFormat="1" x14ac:dyDescent="0.2">
      <c r="A64" s="13"/>
      <c r="B64" s="13"/>
      <c r="C64" s="52"/>
      <c r="H64" s="74"/>
      <c r="M64" s="32"/>
    </row>
    <row r="65" spans="1:13" s="17" customFormat="1" x14ac:dyDescent="0.2">
      <c r="A65" s="13"/>
      <c r="B65" s="13"/>
      <c r="C65" s="52"/>
      <c r="H65" s="74"/>
      <c r="M65" s="32"/>
    </row>
    <row r="66" spans="1:13" s="17" customFormat="1" x14ac:dyDescent="0.2">
      <c r="A66" s="13"/>
      <c r="B66" s="13"/>
      <c r="C66" s="52"/>
      <c r="H66" s="74"/>
      <c r="M66" s="32"/>
    </row>
    <row r="67" spans="1:13" s="17" customFormat="1" x14ac:dyDescent="0.2">
      <c r="A67" s="13"/>
      <c r="B67" s="13"/>
      <c r="C67" s="52"/>
      <c r="H67" s="74"/>
      <c r="M67" s="32"/>
    </row>
  </sheetData>
  <conditionalFormatting sqref="B3:B35">
    <cfRule type="expression" dxfId="26" priority="4">
      <formula>AND($B3="x",AND(COUNTBLANK($C3)=0,$C3=0))</formula>
    </cfRule>
  </conditionalFormatting>
  <conditionalFormatting sqref="C3:C35">
    <cfRule type="expression" dxfId="25" priority="3">
      <formula>AND(COUNTBLANK($C3)=0,$C3=0)</formula>
    </cfRule>
  </conditionalFormatting>
  <conditionalFormatting sqref="E3:E35">
    <cfRule type="containsText" priority="1" stopIfTrue="1" operator="containsText" text="~*~*">
      <formula>NOT(ISERROR(SEARCH("~*~*",E3)))</formula>
    </cfRule>
    <cfRule type="containsText" dxfId="24" priority="2" operator="containsText" text="~*">
      <formula>NOT(ISERROR(SEARCH("~*",E3)))</formula>
    </cfRule>
  </conditionalFormatting>
  <dataValidations count="4">
    <dataValidation type="list" allowBlank="1" showInputMessage="1" showErrorMessage="1" sqref="N7" xr:uid="{1E2C91EC-3C09-4A66-B415-A736133DAAA6}">
      <formula1>AirMatresses</formula1>
    </dataValidation>
    <dataValidation type="list" allowBlank="1" showInputMessage="1" showErrorMessage="1" sqref="N6" xr:uid="{AA71692A-91A2-40A1-9EC8-28C2BCB55E8C}">
      <formula1>Hammocks</formula1>
    </dataValidation>
    <dataValidation type="list" allowBlank="1" showInputMessage="1" showErrorMessage="1" sqref="N5" xr:uid="{0C0E1DED-4083-45D7-A1F9-42434F2345A2}">
      <formula1>PackCover</formula1>
    </dataValidation>
    <dataValidation type="list" allowBlank="1" showInputMessage="1" showErrorMessage="1" sqref="N4" xr:uid="{DCBA6B7D-BAA9-450E-B61C-47BA2BD4DE89}">
      <formula1>Backpacks</formula1>
    </dataValidation>
  </dataValidations>
  <hyperlinks>
    <hyperlink ref="A1" location="Menu!A1" display="Menu!A1" xr:uid="{7CD5B5D0-BD12-4734-B362-494972E3FA9F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ADEC7-8A63-4836-92CD-27F071218169}">
  <sheetPr codeName="Sheet12"/>
  <dimension ref="A1:T54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COUNTIFS(B3:B16,"=x",C3:C16,"=0")</f>
        <v>0</v>
      </c>
      <c r="C1" s="67">
        <f>COUNTIF(C3:C16,"=0")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83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>
        <v>181</v>
      </c>
      <c r="D4" s="19">
        <f t="shared" ref="D4:D20" si="0">IF(ISBLANK(C4),"", C4/$D$24)</f>
        <v>6.3845923208522199</v>
      </c>
      <c r="E4" s="46" t="s">
        <v>3</v>
      </c>
      <c r="F4" s="12">
        <f t="shared" ref="F4:F16" si="1">IF(B4="x",IF(C4=0,"",C4),"")</f>
        <v>181</v>
      </c>
      <c r="G4" s="69">
        <f t="shared" ref="G4:G16" si="2">IF(B4="x",D4,"")</f>
        <v>6.3845923208522199</v>
      </c>
      <c r="H4" s="76">
        <f t="shared" ref="H4:H16" si="3">IF(C4="","",INT(D4/16))</f>
        <v>0</v>
      </c>
      <c r="I4" s="19">
        <f t="shared" ref="I4:I16" si="4">IF(D4="","",MOD(D4,16))</f>
        <v>6.3845923208522199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/>
      <c r="D5" s="19" t="str">
        <f t="shared" si="0"/>
        <v/>
      </c>
      <c r="E5" s="47" t="s">
        <v>266</v>
      </c>
      <c r="F5" s="12" t="str">
        <f t="shared" si="1"/>
        <v/>
      </c>
      <c r="G5" s="69" t="str">
        <f t="shared" si="2"/>
        <v/>
      </c>
      <c r="H5" s="76" t="str">
        <f t="shared" si="3"/>
        <v/>
      </c>
      <c r="I5" s="19" t="str">
        <f t="shared" si="4"/>
        <v/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/>
      <c r="D6" s="19" t="str">
        <f t="shared" si="0"/>
        <v/>
      </c>
      <c r="E6" s="47" t="s">
        <v>267</v>
      </c>
      <c r="F6" s="12" t="str">
        <f t="shared" si="1"/>
        <v/>
      </c>
      <c r="G6" s="69" t="str">
        <f t="shared" si="2"/>
        <v/>
      </c>
      <c r="H6" s="76" t="str">
        <f t="shared" si="3"/>
        <v/>
      </c>
      <c r="I6" s="19" t="str">
        <f t="shared" si="4"/>
        <v/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 t="s">
        <v>42</v>
      </c>
      <c r="C7" s="49"/>
      <c r="D7" s="19" t="str">
        <f t="shared" si="0"/>
        <v/>
      </c>
      <c r="E7" s="161" t="s">
        <v>268</v>
      </c>
      <c r="F7" s="12" t="str">
        <f t="shared" si="1"/>
        <v/>
      </c>
      <c r="G7" s="69" t="str">
        <f t="shared" si="2"/>
        <v/>
      </c>
      <c r="H7" s="76" t="str">
        <f t="shared" si="3"/>
        <v/>
      </c>
      <c r="I7" s="19" t="str">
        <f t="shared" si="4"/>
        <v/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ht="15" x14ac:dyDescent="0.25">
      <c r="B8" s="16" t="s">
        <v>42</v>
      </c>
      <c r="C8" s="49"/>
      <c r="D8" s="19" t="str">
        <f t="shared" si="0"/>
        <v/>
      </c>
      <c r="E8" s="47" t="s">
        <v>269</v>
      </c>
      <c r="F8" s="12" t="str">
        <f t="shared" si="1"/>
        <v/>
      </c>
      <c r="G8" s="69" t="str">
        <f t="shared" si="2"/>
        <v/>
      </c>
      <c r="H8" s="76" t="str">
        <f t="shared" si="3"/>
        <v/>
      </c>
      <c r="I8" s="19" t="str">
        <f t="shared" si="4"/>
        <v/>
      </c>
      <c r="J8" s="88"/>
      <c r="K8" s="18"/>
      <c r="L8" s="18"/>
      <c r="M8" s="19"/>
      <c r="N8" s="21"/>
      <c r="O8" s="21"/>
      <c r="P8" s="21"/>
      <c r="Q8" s="21"/>
      <c r="R8" s="21"/>
      <c r="S8" s="21"/>
      <c r="T8" s="21"/>
    </row>
    <row r="9" spans="1:20" ht="15" x14ac:dyDescent="0.25">
      <c r="B9" s="16" t="s">
        <v>42</v>
      </c>
      <c r="C9" s="49">
        <v>27</v>
      </c>
      <c r="D9" s="19">
        <f t="shared" si="0"/>
        <v>0.95239774951939193</v>
      </c>
      <c r="E9" s="21" t="s">
        <v>132</v>
      </c>
      <c r="F9" s="12">
        <f t="shared" si="1"/>
        <v>27</v>
      </c>
      <c r="G9" s="69">
        <f t="shared" si="2"/>
        <v>0.95239774951939193</v>
      </c>
      <c r="H9" s="76">
        <f t="shared" si="3"/>
        <v>0</v>
      </c>
      <c r="I9" s="19">
        <f t="shared" si="4"/>
        <v>0.95239774951939193</v>
      </c>
      <c r="J9" s="88"/>
      <c r="K9" s="18"/>
      <c r="L9" s="18"/>
      <c r="M9" s="19"/>
      <c r="N9" s="21"/>
      <c r="O9" s="21"/>
      <c r="P9" s="21"/>
      <c r="Q9" s="21"/>
      <c r="R9" s="21"/>
      <c r="S9" s="21"/>
      <c r="T9" s="21"/>
    </row>
    <row r="10" spans="1:20" ht="15" x14ac:dyDescent="0.25">
      <c r="B10" s="16"/>
      <c r="C10" s="49">
        <v>52</v>
      </c>
      <c r="D10" s="19">
        <f t="shared" si="0"/>
        <v>1.8342475175929029</v>
      </c>
      <c r="E10" s="21" t="s">
        <v>148</v>
      </c>
      <c r="F10" s="12" t="str">
        <f t="shared" si="1"/>
        <v/>
      </c>
      <c r="G10" s="69" t="str">
        <f t="shared" si="2"/>
        <v/>
      </c>
      <c r="H10" s="76">
        <f t="shared" si="3"/>
        <v>0</v>
      </c>
      <c r="I10" s="19">
        <f t="shared" si="4"/>
        <v>1.8342475175929029</v>
      </c>
      <c r="J10" s="21"/>
      <c r="K10" s="18"/>
      <c r="L10" s="18"/>
      <c r="M10" s="19"/>
      <c r="N10" s="2"/>
      <c r="O10" s="18"/>
      <c r="P10" s="18"/>
      <c r="Q10" s="18"/>
      <c r="R10" s="18"/>
      <c r="S10" s="18"/>
      <c r="T10" s="18"/>
    </row>
    <row r="11" spans="1:20" ht="15" x14ac:dyDescent="0.25">
      <c r="B11" s="16"/>
      <c r="C11" s="49">
        <v>21</v>
      </c>
      <c r="D11" s="19">
        <f t="shared" si="0"/>
        <v>0.74075380518174927</v>
      </c>
      <c r="E11" s="21" t="s">
        <v>133</v>
      </c>
      <c r="F11" s="12" t="str">
        <f t="shared" si="1"/>
        <v/>
      </c>
      <c r="G11" s="69" t="str">
        <f t="shared" si="2"/>
        <v/>
      </c>
      <c r="H11" s="76">
        <f t="shared" si="3"/>
        <v>0</v>
      </c>
      <c r="I11" s="19">
        <f t="shared" si="4"/>
        <v>0.74075380518174927</v>
      </c>
      <c r="J11" s="21"/>
      <c r="K11" s="18"/>
      <c r="L11" s="18"/>
      <c r="M11" s="19"/>
      <c r="N11" s="10"/>
      <c r="O11" s="18"/>
      <c r="P11" s="18"/>
      <c r="Q11" s="18"/>
      <c r="R11" s="18"/>
      <c r="S11" s="18"/>
      <c r="T11" s="18"/>
    </row>
    <row r="12" spans="1:20" ht="15" x14ac:dyDescent="0.25">
      <c r="B12" s="16" t="s">
        <v>42</v>
      </c>
      <c r="C12" s="49">
        <v>28</v>
      </c>
      <c r="D12" s="19">
        <f t="shared" si="0"/>
        <v>0.9876717402423324</v>
      </c>
      <c r="E12" s="21" t="s">
        <v>123</v>
      </c>
      <c r="F12" s="12">
        <f t="shared" si="1"/>
        <v>28</v>
      </c>
      <c r="G12" s="69">
        <f t="shared" si="2"/>
        <v>0.9876717402423324</v>
      </c>
      <c r="H12" s="76">
        <f t="shared" si="3"/>
        <v>0</v>
      </c>
      <c r="I12" s="19">
        <f t="shared" si="4"/>
        <v>0.9876717402423324</v>
      </c>
      <c r="J12" s="21"/>
      <c r="K12" s="18"/>
      <c r="L12" s="18"/>
      <c r="M12" s="19"/>
      <c r="N12" s="18"/>
      <c r="O12" s="18"/>
      <c r="P12" s="18"/>
      <c r="Q12" s="18"/>
      <c r="R12" s="18"/>
      <c r="S12" s="18"/>
      <c r="T12" s="18"/>
    </row>
    <row r="13" spans="1:20" ht="15" x14ac:dyDescent="0.25">
      <c r="B13" s="16" t="s">
        <v>42</v>
      </c>
      <c r="C13" s="49">
        <v>23</v>
      </c>
      <c r="D13" s="19">
        <f t="shared" si="0"/>
        <v>0.81130178662763019</v>
      </c>
      <c r="E13" s="21" t="s">
        <v>8</v>
      </c>
      <c r="F13" s="12">
        <f t="shared" si="1"/>
        <v>23</v>
      </c>
      <c r="G13" s="69">
        <f t="shared" si="2"/>
        <v>0.81130178662763019</v>
      </c>
      <c r="H13" s="76">
        <f t="shared" si="3"/>
        <v>0</v>
      </c>
      <c r="I13" s="19">
        <f t="shared" si="4"/>
        <v>0.81130178662763019</v>
      </c>
      <c r="J13" s="21"/>
      <c r="K13" s="18"/>
      <c r="L13" s="18"/>
      <c r="M13" s="19"/>
      <c r="N13" s="18"/>
      <c r="O13" s="18"/>
    </row>
    <row r="14" spans="1:20" ht="15" x14ac:dyDescent="0.25">
      <c r="B14" s="16" t="s">
        <v>42</v>
      </c>
      <c r="C14" s="49">
        <v>22</v>
      </c>
      <c r="D14" s="19">
        <f t="shared" si="0"/>
        <v>0.77602779590468973</v>
      </c>
      <c r="E14" s="21" t="s">
        <v>172</v>
      </c>
      <c r="F14" s="12">
        <f t="shared" si="1"/>
        <v>22</v>
      </c>
      <c r="G14" s="69">
        <f t="shared" si="2"/>
        <v>0.77602779590468973</v>
      </c>
      <c r="H14" s="76">
        <f t="shared" si="3"/>
        <v>0</v>
      </c>
      <c r="I14" s="19">
        <f t="shared" si="4"/>
        <v>0.77602779590468973</v>
      </c>
      <c r="J14" s="21"/>
      <c r="K14" s="18"/>
      <c r="L14" s="18"/>
      <c r="M14" s="19"/>
      <c r="N14" s="18"/>
    </row>
    <row r="15" spans="1:20" ht="15" x14ac:dyDescent="0.25">
      <c r="B15" s="16"/>
      <c r="C15" s="49">
        <v>61</v>
      </c>
      <c r="D15" s="19">
        <f t="shared" si="0"/>
        <v>2.1517134340993671</v>
      </c>
      <c r="E15" s="21" t="s">
        <v>131</v>
      </c>
      <c r="F15" s="12" t="str">
        <f t="shared" si="1"/>
        <v/>
      </c>
      <c r="G15" s="69" t="str">
        <f t="shared" si="2"/>
        <v/>
      </c>
      <c r="H15" s="76">
        <f t="shared" si="3"/>
        <v>0</v>
      </c>
      <c r="I15" s="19">
        <f t="shared" si="4"/>
        <v>2.1517134340993671</v>
      </c>
      <c r="J15" s="21"/>
      <c r="K15" s="18"/>
      <c r="L15" s="18"/>
      <c r="M15" s="19"/>
      <c r="N15" s="18"/>
    </row>
    <row r="16" spans="1:20" ht="15" x14ac:dyDescent="0.25">
      <c r="B16" s="16" t="s">
        <v>42</v>
      </c>
      <c r="C16" s="49">
        <v>30</v>
      </c>
      <c r="D16" s="19">
        <f t="shared" si="0"/>
        <v>1.0582197216882132</v>
      </c>
      <c r="E16" s="21" t="s">
        <v>134</v>
      </c>
      <c r="F16" s="12">
        <f t="shared" si="1"/>
        <v>30</v>
      </c>
      <c r="G16" s="69">
        <f t="shared" si="2"/>
        <v>1.0582197216882132</v>
      </c>
      <c r="H16" s="76">
        <f t="shared" si="3"/>
        <v>0</v>
      </c>
      <c r="I16" s="19">
        <f t="shared" si="4"/>
        <v>1.0582197216882132</v>
      </c>
      <c r="J16" s="21"/>
      <c r="K16" s="18"/>
      <c r="L16" s="18"/>
      <c r="M16" s="19"/>
      <c r="N16" s="18"/>
    </row>
    <row r="17" spans="1:20" ht="15" x14ac:dyDescent="0.25">
      <c r="B17" s="16"/>
      <c r="C17" s="49"/>
      <c r="D17" s="19" t="str">
        <f t="shared" si="0"/>
        <v/>
      </c>
      <c r="E17" s="21"/>
      <c r="F17" s="12" t="str">
        <f t="shared" ref="F17:F20" si="5">IF(B17="x",IF(C17=0,"",C17),"")</f>
        <v/>
      </c>
      <c r="G17" s="69" t="str">
        <f t="shared" ref="G17:G20" si="6">IF(B17="x",D17,"")</f>
        <v/>
      </c>
      <c r="H17" s="76" t="str">
        <f t="shared" ref="H17:H20" si="7">IF(C17="","",INT(D17/16))</f>
        <v/>
      </c>
      <c r="I17" s="19" t="str">
        <f t="shared" ref="I17:I20" si="8">IF(D17="","",MOD(D17,16))</f>
        <v/>
      </c>
      <c r="J17" s="21"/>
      <c r="K17" s="18"/>
      <c r="L17" s="18"/>
      <c r="M17" s="19"/>
      <c r="N17" s="18"/>
    </row>
    <row r="18" spans="1:20" ht="15" x14ac:dyDescent="0.25">
      <c r="B18" s="16"/>
      <c r="C18" s="49"/>
      <c r="D18" s="19" t="str">
        <f t="shared" si="0"/>
        <v/>
      </c>
      <c r="E18" s="21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21"/>
      <c r="K18" s="18"/>
      <c r="L18" s="18"/>
      <c r="M18" s="19"/>
      <c r="N18" s="18"/>
    </row>
    <row r="19" spans="1:20" ht="15" x14ac:dyDescent="0.25">
      <c r="B19" s="16"/>
      <c r="C19" s="49"/>
      <c r="D19" s="19" t="str">
        <f t="shared" si="0"/>
        <v/>
      </c>
      <c r="E19" s="21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21"/>
      <c r="K19" s="18"/>
      <c r="L19" s="18"/>
      <c r="M19" s="19"/>
      <c r="N19" s="18"/>
    </row>
    <row r="20" spans="1:20" ht="15" x14ac:dyDescent="0.25">
      <c r="B20" s="16"/>
      <c r="C20" s="49"/>
      <c r="D20" s="19" t="str">
        <f t="shared" si="0"/>
        <v/>
      </c>
      <c r="E20" s="21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21"/>
      <c r="K20" s="18"/>
      <c r="L20" s="18"/>
      <c r="M20" s="19"/>
      <c r="N20" s="18"/>
    </row>
    <row r="21" spans="1:20" ht="15.75" thickBot="1" x14ac:dyDescent="0.3"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18"/>
      <c r="L21" s="18"/>
    </row>
    <row r="22" spans="1:20" ht="16.5" thickTop="1" thickBot="1" x14ac:dyDescent="0.3">
      <c r="B22" s="16"/>
      <c r="C22" s="66">
        <f>SUM(F3:F16)</f>
        <v>311</v>
      </c>
      <c r="D22" s="33">
        <f>IF(ISBLANK(C22),"", C22/$D$24)</f>
        <v>10.970211114834477</v>
      </c>
      <c r="E22" s="58" t="s">
        <v>166</v>
      </c>
      <c r="F22" s="56" t="s">
        <v>165</v>
      </c>
      <c r="G22" s="57" t="s">
        <v>1</v>
      </c>
      <c r="H22" s="79"/>
      <c r="I22" s="57"/>
      <c r="J22" s="29"/>
    </row>
    <row r="23" spans="1:20" ht="16.5" thickTop="1" thickBot="1" x14ac:dyDescent="0.3">
      <c r="B23" s="16"/>
      <c r="C23" s="65"/>
      <c r="D23" s="7">
        <f>C22</f>
        <v>311</v>
      </c>
      <c r="E23" s="30" t="s">
        <v>27</v>
      </c>
      <c r="F23" s="5">
        <f>TRUNC(D23/D24/16)</f>
        <v>0</v>
      </c>
      <c r="G23" s="24">
        <f>(D23/D24/16-TRUNC(D23/D24/16))*16</f>
        <v>10.970211114834477</v>
      </c>
      <c r="H23" s="17"/>
      <c r="J23" s="32"/>
      <c r="M23" s="17"/>
      <c r="R23" s="13"/>
      <c r="S23" s="13"/>
      <c r="T23" s="13"/>
    </row>
    <row r="24" spans="1:20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</row>
    <row r="25" spans="1:20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</row>
    <row r="26" spans="1:20" s="17" customFormat="1" ht="15" x14ac:dyDescent="0.25">
      <c r="A26" s="13"/>
      <c r="B26" s="16"/>
      <c r="C26" s="65"/>
      <c r="D26" s="18"/>
      <c r="E26" s="1" t="s">
        <v>36</v>
      </c>
      <c r="H26" s="32"/>
    </row>
    <row r="27" spans="1:20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20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20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20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20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20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x14ac:dyDescent="0.2">
      <c r="E39" s="13"/>
    </row>
    <row r="40" spans="1:13" x14ac:dyDescent="0.2">
      <c r="E40" s="13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  <row r="53" spans="1:13" s="17" customFormat="1" x14ac:dyDescent="0.2">
      <c r="A53" s="13"/>
      <c r="B53" s="13"/>
      <c r="C53" s="52"/>
      <c r="H53" s="74"/>
      <c r="M53" s="32"/>
    </row>
    <row r="54" spans="1:13" s="17" customFormat="1" x14ac:dyDescent="0.2">
      <c r="A54" s="13"/>
      <c r="B54" s="13"/>
      <c r="C54" s="52"/>
      <c r="H54" s="74"/>
      <c r="M54" s="32"/>
    </row>
  </sheetData>
  <conditionalFormatting sqref="B3:B20">
    <cfRule type="expression" dxfId="23" priority="4">
      <formula>AND($B3="x",AND(COUNTBLANK($C3)=0,$C3=0))</formula>
    </cfRule>
  </conditionalFormatting>
  <conditionalFormatting sqref="C3:C20">
    <cfRule type="expression" dxfId="22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21" priority="2" operator="containsText" text="~*">
      <formula>NOT(ISERROR(SEARCH("~*",E3)))</formula>
    </cfRule>
  </conditionalFormatting>
  <dataValidations count="6">
    <dataValidation type="list" allowBlank="1" showInputMessage="1" showErrorMessage="1" sqref="N4" xr:uid="{A0AFEAAB-A885-45DB-BD00-F916C2EF6170}">
      <formula1>Backpacks</formula1>
    </dataValidation>
    <dataValidation type="list" allowBlank="1" showInputMessage="1" showErrorMessage="1" sqref="N5" xr:uid="{1C8776E9-4385-4DC4-8793-F8224FC03428}">
      <formula1>PackCover</formula1>
    </dataValidation>
    <dataValidation type="list" allowBlank="1" showInputMessage="1" showErrorMessage="1" sqref="N6" xr:uid="{E898EA73-C6B1-4EFC-AC3E-1A2963E8DE8D}">
      <formula1>Hammocks</formula1>
    </dataValidation>
    <dataValidation type="list" allowBlank="1" showInputMessage="1" showErrorMessage="1" sqref="N7" xr:uid="{9F1EF51A-26B9-40BC-A70E-13D03527FEB0}">
      <formula1>AirMatresses</formula1>
    </dataValidation>
    <dataValidation type="list" allowBlank="1" showInputMessage="1" showErrorMessage="1" sqref="N8" xr:uid="{265AE6B2-73E9-4362-A355-7B08F42C5F5F}">
      <formula1>SleepingBags</formula1>
    </dataValidation>
    <dataValidation type="list" allowBlank="1" showInputMessage="1" showErrorMessage="1" sqref="N9" xr:uid="{25E1DB64-D65A-4F96-BBF0-077AD6F2D3C1}">
      <formula1>SleepingBagLiners</formula1>
    </dataValidation>
  </dataValidations>
  <hyperlinks>
    <hyperlink ref="A1" location="Menu!A1" display="Menu!A1" xr:uid="{9382AB06-A48E-47AD-99AB-FDCB607FE4F3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F000-C340-45A0-9260-0F5F9960F7E6}">
  <sheetPr codeName="Sheet13"/>
  <dimension ref="A1:T51"/>
  <sheetViews>
    <sheetView zoomScaleNormal="100" workbookViewId="0">
      <pane ySplit="2" topLeftCell="A3" activePane="bottomLeft" state="frozen"/>
      <selection activeCell="E1" sqref="E1"/>
      <selection pane="bottomLeft" activeCell="B14" sqref="B14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265</v>
      </c>
      <c r="B1" s="67">
        <f>COUNTIFS(B3:B8,"=x",C3:C8,"=0")</f>
        <v>0</v>
      </c>
      <c r="C1" s="67">
        <f>COUNTIF(C3:C8,"=0")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84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/>
      <c r="D4" s="19" t="str">
        <f t="shared" ref="D4:D20" si="0">IF(ISBLANK(C4),"", C4/$D$24)</f>
        <v/>
      </c>
      <c r="E4" s="21" t="s">
        <v>14</v>
      </c>
      <c r="F4" s="12" t="str">
        <f t="shared" ref="F4:F8" si="1">IF(B4="x",IF(C4=0,"",C4),"")</f>
        <v/>
      </c>
      <c r="G4" s="69" t="str">
        <f t="shared" ref="G4:G8" si="2">IF(B4="x",D4,"")</f>
        <v/>
      </c>
      <c r="H4" s="76" t="str">
        <f t="shared" ref="H4:H8" si="3">IF(C4="","",INT(D4/16))</f>
        <v/>
      </c>
      <c r="I4" s="19" t="str">
        <f t="shared" ref="I4:I8" si="4">IF(D4="","",MOD(D4,16))</f>
        <v/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>
        <v>28</v>
      </c>
      <c r="D5" s="19">
        <f t="shared" si="0"/>
        <v>0.9876717402423324</v>
      </c>
      <c r="E5" s="21" t="s">
        <v>135</v>
      </c>
      <c r="F5" s="12">
        <f t="shared" si="1"/>
        <v>28</v>
      </c>
      <c r="G5" s="69">
        <f t="shared" si="2"/>
        <v>0.9876717402423324</v>
      </c>
      <c r="H5" s="76">
        <f t="shared" si="3"/>
        <v>0</v>
      </c>
      <c r="I5" s="19">
        <f t="shared" si="4"/>
        <v>0.9876717402423324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/>
      <c r="D6" s="19" t="str">
        <f t="shared" si="0"/>
        <v/>
      </c>
      <c r="E6" s="21" t="s">
        <v>16</v>
      </c>
      <c r="F6" s="12" t="str">
        <f t="shared" si="1"/>
        <v/>
      </c>
      <c r="G6" s="69" t="str">
        <f t="shared" si="2"/>
        <v/>
      </c>
      <c r="H6" s="76" t="str">
        <f t="shared" si="3"/>
        <v/>
      </c>
      <c r="I6" s="19" t="str">
        <f t="shared" si="4"/>
        <v/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s="17" customFormat="1" ht="15" x14ac:dyDescent="0.25">
      <c r="A7" s="13"/>
      <c r="B7" s="16" t="s">
        <v>42</v>
      </c>
      <c r="C7" s="49">
        <v>9</v>
      </c>
      <c r="D7" s="19">
        <f t="shared" si="0"/>
        <v>0.317465916506464</v>
      </c>
      <c r="E7" s="21" t="s">
        <v>20</v>
      </c>
      <c r="F7" s="12">
        <f t="shared" si="1"/>
        <v>9</v>
      </c>
      <c r="G7" s="69">
        <f t="shared" si="2"/>
        <v>0.317465916506464</v>
      </c>
      <c r="H7" s="76">
        <f t="shared" si="3"/>
        <v>0</v>
      </c>
      <c r="I7" s="19">
        <f t="shared" si="4"/>
        <v>0.317465916506464</v>
      </c>
      <c r="J7" s="21"/>
      <c r="M7" s="32"/>
    </row>
    <row r="8" spans="1:20" s="17" customFormat="1" ht="15" x14ac:dyDescent="0.25">
      <c r="A8" s="13"/>
      <c r="B8" s="16" t="s">
        <v>42</v>
      </c>
      <c r="C8" s="49">
        <v>236</v>
      </c>
      <c r="D8" s="19">
        <f t="shared" si="0"/>
        <v>8.3246618106139447</v>
      </c>
      <c r="E8" s="21" t="s">
        <v>19</v>
      </c>
      <c r="F8" s="12">
        <f t="shared" si="1"/>
        <v>236</v>
      </c>
      <c r="G8" s="69">
        <f t="shared" si="2"/>
        <v>8.3246618106139447</v>
      </c>
      <c r="H8" s="76">
        <f t="shared" si="3"/>
        <v>0</v>
      </c>
      <c r="I8" s="19">
        <f t="shared" si="4"/>
        <v>8.3246618106139447</v>
      </c>
      <c r="J8" s="91" t="s">
        <v>234</v>
      </c>
      <c r="M8" s="32"/>
    </row>
    <row r="9" spans="1:20" s="17" customFormat="1" ht="15" x14ac:dyDescent="0.25">
      <c r="A9" s="13"/>
      <c r="B9" s="16"/>
      <c r="C9" s="49"/>
      <c r="D9" s="19" t="str">
        <f t="shared" si="0"/>
        <v/>
      </c>
      <c r="E9" s="21"/>
      <c r="F9" s="12" t="str">
        <f t="shared" ref="F9:F20" si="5">IF(B9="x",IF(C9=0,"",C9),"")</f>
        <v/>
      </c>
      <c r="G9" s="69" t="str">
        <f t="shared" ref="G9:G20" si="6">IF(B9="x",D9,"")</f>
        <v/>
      </c>
      <c r="H9" s="76" t="str">
        <f t="shared" ref="H9:H20" si="7">IF(C9="","",INT(D9/16))</f>
        <v/>
      </c>
      <c r="I9" s="19" t="str">
        <f t="shared" ref="I9:I20" si="8">IF(D9="","",MOD(D9,16))</f>
        <v/>
      </c>
      <c r="J9" s="91"/>
      <c r="M9" s="32"/>
    </row>
    <row r="10" spans="1:20" s="17" customFormat="1" ht="15" x14ac:dyDescent="0.25">
      <c r="A10" s="13"/>
      <c r="B10" s="16"/>
      <c r="C10" s="49"/>
      <c r="D10" s="19" t="str">
        <f t="shared" si="0"/>
        <v/>
      </c>
      <c r="E10" s="21"/>
      <c r="F10" s="12" t="str">
        <f t="shared" si="5"/>
        <v/>
      </c>
      <c r="G10" s="69" t="str">
        <f t="shared" si="6"/>
        <v/>
      </c>
      <c r="H10" s="76" t="str">
        <f t="shared" si="7"/>
        <v/>
      </c>
      <c r="I10" s="19" t="str">
        <f t="shared" si="8"/>
        <v/>
      </c>
      <c r="J10" s="91"/>
      <c r="M10" s="32"/>
    </row>
    <row r="11" spans="1:20" s="17" customFormat="1" ht="15" x14ac:dyDescent="0.25">
      <c r="A11" s="13"/>
      <c r="B11" s="16"/>
      <c r="C11" s="49"/>
      <c r="D11" s="19" t="str">
        <f t="shared" si="0"/>
        <v/>
      </c>
      <c r="E11" s="21"/>
      <c r="F11" s="12" t="str">
        <f t="shared" si="5"/>
        <v/>
      </c>
      <c r="G11" s="69" t="str">
        <f t="shared" si="6"/>
        <v/>
      </c>
      <c r="H11" s="76" t="str">
        <f t="shared" si="7"/>
        <v/>
      </c>
      <c r="I11" s="19" t="str">
        <f t="shared" si="8"/>
        <v/>
      </c>
      <c r="J11" s="91"/>
      <c r="M11" s="32"/>
    </row>
    <row r="12" spans="1:20" s="17" customFormat="1" ht="15" x14ac:dyDescent="0.25">
      <c r="A12" s="13"/>
      <c r="B12" s="16"/>
      <c r="C12" s="49"/>
      <c r="D12" s="19" t="str">
        <f t="shared" si="0"/>
        <v/>
      </c>
      <c r="E12" s="21"/>
      <c r="F12" s="12" t="str">
        <f t="shared" si="5"/>
        <v/>
      </c>
      <c r="G12" s="69" t="str">
        <f t="shared" si="6"/>
        <v/>
      </c>
      <c r="H12" s="76" t="str">
        <f t="shared" si="7"/>
        <v/>
      </c>
      <c r="I12" s="19" t="str">
        <f t="shared" si="8"/>
        <v/>
      </c>
      <c r="J12" s="91"/>
      <c r="M12" s="32"/>
    </row>
    <row r="13" spans="1:20" s="17" customFormat="1" ht="15" x14ac:dyDescent="0.25">
      <c r="A13" s="13"/>
      <c r="B13" s="16"/>
      <c r="C13" s="49"/>
      <c r="D13" s="19" t="str">
        <f t="shared" si="0"/>
        <v/>
      </c>
      <c r="E13" s="21"/>
      <c r="F13" s="12" t="str">
        <f t="shared" si="5"/>
        <v/>
      </c>
      <c r="G13" s="69" t="str">
        <f t="shared" si="6"/>
        <v/>
      </c>
      <c r="H13" s="76" t="str">
        <f t="shared" si="7"/>
        <v/>
      </c>
      <c r="I13" s="19" t="str">
        <f t="shared" si="8"/>
        <v/>
      </c>
      <c r="J13" s="91"/>
      <c r="M13" s="32"/>
    </row>
    <row r="14" spans="1:20" s="17" customFormat="1" ht="15" x14ac:dyDescent="0.25">
      <c r="A14" s="13"/>
      <c r="B14" s="16"/>
      <c r="C14" s="49"/>
      <c r="D14" s="19" t="str">
        <f t="shared" si="0"/>
        <v/>
      </c>
      <c r="E14" s="21"/>
      <c r="F14" s="12" t="str">
        <f t="shared" si="5"/>
        <v/>
      </c>
      <c r="G14" s="69" t="str">
        <f t="shared" si="6"/>
        <v/>
      </c>
      <c r="H14" s="76" t="str">
        <f t="shared" si="7"/>
        <v/>
      </c>
      <c r="I14" s="19" t="str">
        <f t="shared" si="8"/>
        <v/>
      </c>
      <c r="J14" s="91"/>
      <c r="M14" s="32"/>
    </row>
    <row r="15" spans="1:20" s="17" customFormat="1" ht="15" x14ac:dyDescent="0.25">
      <c r="A15" s="13"/>
      <c r="B15" s="16"/>
      <c r="C15" s="49"/>
      <c r="D15" s="19" t="str">
        <f t="shared" si="0"/>
        <v/>
      </c>
      <c r="E15" s="21"/>
      <c r="F15" s="12" t="str">
        <f t="shared" si="5"/>
        <v/>
      </c>
      <c r="G15" s="69" t="str">
        <f t="shared" si="6"/>
        <v/>
      </c>
      <c r="H15" s="76" t="str">
        <f t="shared" si="7"/>
        <v/>
      </c>
      <c r="I15" s="19" t="str">
        <f t="shared" si="8"/>
        <v/>
      </c>
      <c r="J15" s="91"/>
      <c r="M15" s="32"/>
    </row>
    <row r="16" spans="1:20" s="17" customFormat="1" ht="15" x14ac:dyDescent="0.25">
      <c r="A16" s="13"/>
      <c r="B16" s="16"/>
      <c r="C16" s="49"/>
      <c r="D16" s="19" t="str">
        <f t="shared" si="0"/>
        <v/>
      </c>
      <c r="E16" s="21"/>
      <c r="F16" s="12" t="str">
        <f t="shared" si="5"/>
        <v/>
      </c>
      <c r="G16" s="69" t="str">
        <f t="shared" si="6"/>
        <v/>
      </c>
      <c r="H16" s="76" t="str">
        <f t="shared" si="7"/>
        <v/>
      </c>
      <c r="I16" s="19" t="str">
        <f t="shared" si="8"/>
        <v/>
      </c>
      <c r="J16" s="91"/>
      <c r="M16" s="32"/>
    </row>
    <row r="17" spans="1:13" s="17" customFormat="1" ht="15" x14ac:dyDescent="0.25">
      <c r="A17" s="13"/>
      <c r="B17" s="16"/>
      <c r="C17" s="49"/>
      <c r="D17" s="19" t="str">
        <f t="shared" si="0"/>
        <v/>
      </c>
      <c r="E17" s="21"/>
      <c r="F17" s="12" t="str">
        <f t="shared" si="5"/>
        <v/>
      </c>
      <c r="G17" s="69" t="str">
        <f t="shared" si="6"/>
        <v/>
      </c>
      <c r="H17" s="76" t="str">
        <f t="shared" si="7"/>
        <v/>
      </c>
      <c r="I17" s="19" t="str">
        <f t="shared" si="8"/>
        <v/>
      </c>
      <c r="J17" s="91"/>
      <c r="M17" s="32"/>
    </row>
    <row r="18" spans="1:13" s="17" customFormat="1" ht="15" x14ac:dyDescent="0.25">
      <c r="A18" s="13"/>
      <c r="B18" s="16"/>
      <c r="C18" s="49"/>
      <c r="D18" s="19" t="str">
        <f t="shared" si="0"/>
        <v/>
      </c>
      <c r="E18" s="21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91"/>
      <c r="M18" s="32"/>
    </row>
    <row r="19" spans="1:13" s="17" customFormat="1" ht="15" x14ac:dyDescent="0.25">
      <c r="A19" s="13"/>
      <c r="B19" s="16"/>
      <c r="C19" s="49"/>
      <c r="D19" s="19" t="str">
        <f t="shared" si="0"/>
        <v/>
      </c>
      <c r="E19" s="21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91"/>
      <c r="M19" s="32"/>
    </row>
    <row r="20" spans="1:13" s="17" customFormat="1" ht="15" x14ac:dyDescent="0.25">
      <c r="A20" s="13"/>
      <c r="B20" s="16"/>
      <c r="C20" s="49"/>
      <c r="D20" s="19" t="str">
        <f t="shared" si="0"/>
        <v/>
      </c>
      <c r="E20" s="21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91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SUM(F4:F8)</f>
        <v>273</v>
      </c>
      <c r="D22" s="33">
        <f>IF(ISBLANK(C22),"", C22/$D$24)</f>
        <v>9.6297994673627407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273</v>
      </c>
      <c r="E23" s="30" t="s">
        <v>27</v>
      </c>
      <c r="F23" s="5">
        <f>TRUNC(D23/D24/16)</f>
        <v>0</v>
      </c>
      <c r="G23" s="24">
        <f>(D23/D24/16-TRUNC(D23/D24/16))*16</f>
        <v>9.6297994673627407</v>
      </c>
      <c r="J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F24" s="17" t="s">
        <v>42</v>
      </c>
      <c r="H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H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13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13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13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13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x14ac:dyDescent="0.2">
      <c r="E36" s="13"/>
    </row>
    <row r="37" spans="1:13" x14ac:dyDescent="0.2">
      <c r="E37" s="13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</sheetData>
  <conditionalFormatting sqref="B3:B20">
    <cfRule type="expression" dxfId="20" priority="4">
      <formula>AND($B3="x",AND(COUNTBLANK($C3)=0,$C3=0))</formula>
    </cfRule>
  </conditionalFormatting>
  <conditionalFormatting sqref="C3:C20">
    <cfRule type="expression" dxfId="19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18" priority="2" operator="containsText" text="~*">
      <formula>NOT(ISERROR(SEARCH("~*",E3)))</formula>
    </cfRule>
  </conditionalFormatting>
  <dataValidations count="3">
    <dataValidation type="list" allowBlank="1" showInputMessage="1" showErrorMessage="1" sqref="N6" xr:uid="{EEDE60D5-7523-4711-A9A8-5661C2DF999C}">
      <formula1>Hammocks</formula1>
    </dataValidation>
    <dataValidation type="list" allowBlank="1" showInputMessage="1" showErrorMessage="1" sqref="N5" xr:uid="{A51E69CE-C78D-4B3D-A106-B3CD8C0AFD35}">
      <formula1>PackCover</formula1>
    </dataValidation>
    <dataValidation type="list" allowBlank="1" showInputMessage="1" showErrorMessage="1" sqref="N4" xr:uid="{9F6145A0-6053-4F20-9565-2FC1CCFF46BB}">
      <formula1>Backpacks</formula1>
    </dataValidation>
  </dataValidations>
  <hyperlinks>
    <hyperlink ref="A1" location="Menu!A1" display="Menu!A1" xr:uid="{462D2D03-7FA7-42C3-A7D3-84B987BA94D1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BC229-456E-4495-9BA7-0A88F29B3E5F}">
  <sheetPr codeName="Sheet14"/>
  <dimension ref="A1:T50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COUNTIFS(B3:B6,"=x",C3:C6,"=0")</f>
        <v>0</v>
      </c>
      <c r="C1" s="67">
        <f>COUNTIF(C3:C6,"=0")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86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>
        <v>160</v>
      </c>
      <c r="D4" s="19">
        <f>IF(ISBLANK(C4),"", C4/$D$24)</f>
        <v>5.6438385156704705</v>
      </c>
      <c r="E4" s="59" t="s">
        <v>136</v>
      </c>
      <c r="F4" s="12">
        <f t="shared" ref="F4:F6" si="0">IF(B4="x",IF(C4=0,"",C4),"")</f>
        <v>160</v>
      </c>
      <c r="G4" s="69">
        <f t="shared" ref="G4:G6" si="1">IF(B4="x",D4,"")</f>
        <v>5.6438385156704705</v>
      </c>
      <c r="H4" s="76">
        <f t="shared" ref="H4:H6" si="2">IF(C4="","",INT(D4/16))</f>
        <v>0</v>
      </c>
      <c r="I4" s="19">
        <f t="shared" ref="I4:I6" si="3">IF(D4="","",MOD(D4,16))</f>
        <v>5.6438385156704705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/>
      <c r="C5" s="49"/>
      <c r="D5" s="19" t="str">
        <f>IF(ISBLANK(C5),"", C5/$D$24)</f>
        <v/>
      </c>
      <c r="E5" s="59" t="s">
        <v>210</v>
      </c>
      <c r="F5" s="12" t="str">
        <f t="shared" si="0"/>
        <v/>
      </c>
      <c r="G5" s="69" t="str">
        <f t="shared" si="1"/>
        <v/>
      </c>
      <c r="H5" s="76" t="str">
        <f t="shared" si="2"/>
        <v/>
      </c>
      <c r="I5" s="19" t="str">
        <f t="shared" si="3"/>
        <v/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s="17" customFormat="1" ht="15" x14ac:dyDescent="0.25">
      <c r="A6" s="13"/>
      <c r="B6" s="16"/>
      <c r="C6" s="49"/>
      <c r="D6" s="19" t="str">
        <f>IF(ISBLANK(C6),"", C6/$D$24)</f>
        <v/>
      </c>
      <c r="E6" s="59" t="s">
        <v>211</v>
      </c>
      <c r="F6" s="12" t="str">
        <f t="shared" si="0"/>
        <v/>
      </c>
      <c r="G6" s="69" t="str">
        <f t="shared" si="1"/>
        <v/>
      </c>
      <c r="H6" s="76" t="str">
        <f t="shared" si="2"/>
        <v/>
      </c>
      <c r="I6" s="19" t="str">
        <f t="shared" si="3"/>
        <v/>
      </c>
      <c r="J6" s="88"/>
      <c r="M6" s="32"/>
    </row>
    <row r="7" spans="1:20" s="17" customFormat="1" ht="15" x14ac:dyDescent="0.25">
      <c r="A7" s="13"/>
      <c r="B7" s="16"/>
      <c r="C7" s="49"/>
      <c r="D7" s="19" t="str">
        <f t="shared" ref="D7:D20" si="4">IF(ISBLANK(C7),"", C7/$D$24)</f>
        <v/>
      </c>
      <c r="E7" s="49"/>
      <c r="F7" s="12" t="str">
        <f t="shared" ref="F7:F20" si="5">IF(B7="x",IF(C7=0,"",C7),"")</f>
        <v/>
      </c>
      <c r="G7" s="69" t="str">
        <f t="shared" ref="G7:G20" si="6">IF(B7="x",D7,"")</f>
        <v/>
      </c>
      <c r="H7" s="76" t="str">
        <f t="shared" ref="H7:H20" si="7">IF(C7="","",INT(D7/16))</f>
        <v/>
      </c>
      <c r="I7" s="19" t="str">
        <f t="shared" ref="I7:I20" si="8">IF(D7="","",MOD(D7,16))</f>
        <v/>
      </c>
      <c r="J7" s="88"/>
      <c r="M7" s="32"/>
    </row>
    <row r="8" spans="1:20" s="17" customFormat="1" ht="15" x14ac:dyDescent="0.25">
      <c r="A8" s="13"/>
      <c r="B8" s="16"/>
      <c r="C8" s="49"/>
      <c r="D8" s="19" t="str">
        <f t="shared" si="4"/>
        <v/>
      </c>
      <c r="E8" s="49"/>
      <c r="F8" s="12" t="str">
        <f t="shared" si="5"/>
        <v/>
      </c>
      <c r="G8" s="69" t="str">
        <f t="shared" si="6"/>
        <v/>
      </c>
      <c r="H8" s="76" t="str">
        <f t="shared" si="7"/>
        <v/>
      </c>
      <c r="I8" s="19" t="str">
        <f t="shared" si="8"/>
        <v/>
      </c>
      <c r="J8" s="88"/>
      <c r="M8" s="32"/>
    </row>
    <row r="9" spans="1:20" s="17" customFormat="1" ht="15" x14ac:dyDescent="0.25">
      <c r="A9" s="13"/>
      <c r="B9" s="16"/>
      <c r="C9" s="49"/>
      <c r="D9" s="19" t="str">
        <f t="shared" si="4"/>
        <v/>
      </c>
      <c r="E9" s="49"/>
      <c r="F9" s="12" t="str">
        <f t="shared" si="5"/>
        <v/>
      </c>
      <c r="G9" s="69" t="str">
        <f t="shared" si="6"/>
        <v/>
      </c>
      <c r="H9" s="76" t="str">
        <f t="shared" si="7"/>
        <v/>
      </c>
      <c r="I9" s="19" t="str">
        <f t="shared" si="8"/>
        <v/>
      </c>
      <c r="J9" s="88"/>
      <c r="M9" s="32"/>
    </row>
    <row r="10" spans="1:20" s="17" customFormat="1" ht="15" x14ac:dyDescent="0.25">
      <c r="A10" s="13"/>
      <c r="B10" s="16"/>
      <c r="C10" s="49"/>
      <c r="D10" s="19" t="str">
        <f t="shared" si="4"/>
        <v/>
      </c>
      <c r="E10" s="49"/>
      <c r="F10" s="12" t="str">
        <f t="shared" si="5"/>
        <v/>
      </c>
      <c r="G10" s="69" t="str">
        <f t="shared" si="6"/>
        <v/>
      </c>
      <c r="H10" s="76" t="str">
        <f t="shared" si="7"/>
        <v/>
      </c>
      <c r="I10" s="19" t="str">
        <f t="shared" si="8"/>
        <v/>
      </c>
      <c r="J10" s="88"/>
      <c r="M10" s="32"/>
    </row>
    <row r="11" spans="1:20" s="17" customFormat="1" ht="15" x14ac:dyDescent="0.25">
      <c r="A11" s="13"/>
      <c r="B11" s="16"/>
      <c r="C11" s="49"/>
      <c r="D11" s="19" t="str">
        <f t="shared" si="4"/>
        <v/>
      </c>
      <c r="E11" s="49"/>
      <c r="F11" s="12" t="str">
        <f t="shared" si="5"/>
        <v/>
      </c>
      <c r="G11" s="69" t="str">
        <f t="shared" si="6"/>
        <v/>
      </c>
      <c r="H11" s="76" t="str">
        <f t="shared" si="7"/>
        <v/>
      </c>
      <c r="I11" s="19" t="str">
        <f t="shared" si="8"/>
        <v/>
      </c>
      <c r="J11" s="88"/>
      <c r="M11" s="32"/>
    </row>
    <row r="12" spans="1:20" s="17" customFormat="1" ht="15" x14ac:dyDescent="0.25">
      <c r="A12" s="13"/>
      <c r="B12" s="16"/>
      <c r="C12" s="49"/>
      <c r="D12" s="19" t="str">
        <f t="shared" si="4"/>
        <v/>
      </c>
      <c r="E12" s="49"/>
      <c r="F12" s="12" t="str">
        <f t="shared" si="5"/>
        <v/>
      </c>
      <c r="G12" s="69" t="str">
        <f t="shared" si="6"/>
        <v/>
      </c>
      <c r="H12" s="76" t="str">
        <f t="shared" si="7"/>
        <v/>
      </c>
      <c r="I12" s="19" t="str">
        <f t="shared" si="8"/>
        <v/>
      </c>
      <c r="J12" s="88"/>
      <c r="M12" s="32"/>
    </row>
    <row r="13" spans="1:20" s="17" customFormat="1" ht="15" x14ac:dyDescent="0.25">
      <c r="A13" s="13"/>
      <c r="B13" s="16"/>
      <c r="C13" s="49"/>
      <c r="D13" s="19" t="str">
        <f t="shared" si="4"/>
        <v/>
      </c>
      <c r="E13" s="49"/>
      <c r="F13" s="12" t="str">
        <f t="shared" si="5"/>
        <v/>
      </c>
      <c r="G13" s="69" t="str">
        <f t="shared" si="6"/>
        <v/>
      </c>
      <c r="H13" s="76" t="str">
        <f t="shared" si="7"/>
        <v/>
      </c>
      <c r="I13" s="19" t="str">
        <f t="shared" si="8"/>
        <v/>
      </c>
      <c r="J13" s="88"/>
      <c r="M13" s="32"/>
    </row>
    <row r="14" spans="1:20" s="17" customFormat="1" ht="15" x14ac:dyDescent="0.25">
      <c r="A14" s="13"/>
      <c r="B14" s="16"/>
      <c r="C14" s="49"/>
      <c r="D14" s="19" t="str">
        <f t="shared" si="4"/>
        <v/>
      </c>
      <c r="E14" s="49"/>
      <c r="F14" s="12" t="str">
        <f t="shared" si="5"/>
        <v/>
      </c>
      <c r="G14" s="69" t="str">
        <f t="shared" si="6"/>
        <v/>
      </c>
      <c r="H14" s="76" t="str">
        <f t="shared" si="7"/>
        <v/>
      </c>
      <c r="I14" s="19" t="str">
        <f t="shared" si="8"/>
        <v/>
      </c>
      <c r="J14" s="88"/>
      <c r="M14" s="32"/>
    </row>
    <row r="15" spans="1:20" s="17" customFormat="1" ht="15" x14ac:dyDescent="0.25">
      <c r="A15" s="13"/>
      <c r="B15" s="16"/>
      <c r="C15" s="49"/>
      <c r="D15" s="19" t="str">
        <f t="shared" si="4"/>
        <v/>
      </c>
      <c r="E15" s="49"/>
      <c r="F15" s="12" t="str">
        <f t="shared" si="5"/>
        <v/>
      </c>
      <c r="G15" s="69" t="str">
        <f t="shared" si="6"/>
        <v/>
      </c>
      <c r="H15" s="76" t="str">
        <f t="shared" si="7"/>
        <v/>
      </c>
      <c r="I15" s="19" t="str">
        <f t="shared" si="8"/>
        <v/>
      </c>
      <c r="J15" s="88"/>
      <c r="M15" s="32"/>
    </row>
    <row r="16" spans="1:20" s="17" customFormat="1" ht="15" x14ac:dyDescent="0.25">
      <c r="A16" s="13"/>
      <c r="B16" s="16"/>
      <c r="C16" s="49"/>
      <c r="D16" s="19" t="str">
        <f t="shared" si="4"/>
        <v/>
      </c>
      <c r="E16" s="49"/>
      <c r="F16" s="12" t="str">
        <f t="shared" si="5"/>
        <v/>
      </c>
      <c r="G16" s="69" t="str">
        <f t="shared" si="6"/>
        <v/>
      </c>
      <c r="H16" s="76" t="str">
        <f t="shared" si="7"/>
        <v/>
      </c>
      <c r="I16" s="19" t="str">
        <f t="shared" si="8"/>
        <v/>
      </c>
      <c r="J16" s="88"/>
      <c r="M16" s="32"/>
    </row>
    <row r="17" spans="1:13" s="17" customFormat="1" ht="15" x14ac:dyDescent="0.25">
      <c r="A17" s="13"/>
      <c r="B17" s="16"/>
      <c r="C17" s="49"/>
      <c r="D17" s="19" t="str">
        <f t="shared" si="4"/>
        <v/>
      </c>
      <c r="E17" s="49"/>
      <c r="F17" s="12" t="str">
        <f t="shared" si="5"/>
        <v/>
      </c>
      <c r="G17" s="69" t="str">
        <f t="shared" si="6"/>
        <v/>
      </c>
      <c r="H17" s="76" t="str">
        <f t="shared" si="7"/>
        <v/>
      </c>
      <c r="I17" s="19" t="str">
        <f t="shared" si="8"/>
        <v/>
      </c>
      <c r="J17" s="88"/>
      <c r="M17" s="32"/>
    </row>
    <row r="18" spans="1:13" s="17" customFormat="1" ht="15" x14ac:dyDescent="0.25">
      <c r="A18" s="13"/>
      <c r="B18" s="16"/>
      <c r="C18" s="49"/>
      <c r="D18" s="19" t="str">
        <f t="shared" si="4"/>
        <v/>
      </c>
      <c r="E18" s="49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88"/>
      <c r="M18" s="32"/>
    </row>
    <row r="19" spans="1:13" s="17" customFormat="1" ht="15" x14ac:dyDescent="0.25">
      <c r="A19" s="13"/>
      <c r="B19" s="16"/>
      <c r="C19" s="49"/>
      <c r="D19" s="19" t="str">
        <f t="shared" si="4"/>
        <v/>
      </c>
      <c r="E19" s="49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88"/>
      <c r="M19" s="32"/>
    </row>
    <row r="20" spans="1:13" s="17" customFormat="1" ht="15" x14ac:dyDescent="0.25">
      <c r="A20" s="13"/>
      <c r="B20" s="16"/>
      <c r="C20" s="49"/>
      <c r="D20" s="19" t="str">
        <f t="shared" si="4"/>
        <v/>
      </c>
      <c r="E20" s="49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88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SUM(F4:F6)</f>
        <v>160</v>
      </c>
      <c r="D22" s="33">
        <f>IF(ISBLANK(C22),"", C22/$D$24)</f>
        <v>5.6438385156704705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160</v>
      </c>
      <c r="E23" s="30" t="s">
        <v>27</v>
      </c>
      <c r="F23" s="5">
        <f>TRUNC(D23/D24/16)</f>
        <v>0</v>
      </c>
      <c r="G23" s="24">
        <f>(D23/D24/16-TRUNC(D23/D24/16))*16</f>
        <v>5.6438385156704705</v>
      </c>
      <c r="H23" s="32"/>
      <c r="M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  <c r="M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  <c r="M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H26" s="76"/>
      <c r="I26" s="18"/>
      <c r="J26" s="18"/>
      <c r="M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</row>
    <row r="29" spans="1:13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</row>
    <row r="30" spans="1:13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13" s="17" customFormat="1" ht="15" x14ac:dyDescent="0.25">
      <c r="A31" s="13"/>
      <c r="B31" s="13"/>
      <c r="C31" s="65"/>
      <c r="D31" s="18"/>
      <c r="E31" s="18"/>
      <c r="F31" s="18"/>
      <c r="G31" s="18"/>
      <c r="H31" s="74"/>
      <c r="M31" s="32"/>
    </row>
    <row r="32" spans="1:13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x14ac:dyDescent="0.2">
      <c r="E35" s="13"/>
    </row>
    <row r="36" spans="1:13" x14ac:dyDescent="0.2">
      <c r="E36" s="13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</sheetData>
  <conditionalFormatting sqref="B3:B20">
    <cfRule type="expression" dxfId="17" priority="4">
      <formula>AND($B3="x",AND(COUNTBLANK($C3)=0,$C3=0))</formula>
    </cfRule>
  </conditionalFormatting>
  <conditionalFormatting sqref="C3:C20">
    <cfRule type="expression" dxfId="16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15" priority="2" operator="containsText" text="~*">
      <formula>NOT(ISERROR(SEARCH("~*",E3)))</formula>
    </cfRule>
  </conditionalFormatting>
  <dataValidations count="2">
    <dataValidation type="list" allowBlank="1" showInputMessage="1" showErrorMessage="1" sqref="N4" xr:uid="{4E6A4D03-EAF0-4621-9DD7-B179719A0211}">
      <formula1>Backpacks</formula1>
    </dataValidation>
    <dataValidation type="list" allowBlank="1" showInputMessage="1" showErrorMessage="1" sqref="N5" xr:uid="{99375476-3098-48EB-A81F-8EDD0C2A0E1F}">
      <formula1>PackCover</formula1>
    </dataValidation>
  </dataValidations>
  <hyperlinks>
    <hyperlink ref="A1" location="Menu!A1" display="Menu!A1" xr:uid="{58FF13FA-FAE1-48F4-929D-D8A7D983E808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80407-E7EA-4ECD-A160-E8132BE1D840}">
  <sheetPr codeName="Sheet15"/>
  <dimension ref="A1:T50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COUNTIFS(B3:B6,"=x",C3:C6,"=0")</f>
        <v>0</v>
      </c>
      <c r="C1" s="67">
        <f>COUNTIF(C3:C6,"=0")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85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>
        <v>12</v>
      </c>
      <c r="D4" s="19">
        <f>IF(ISBLANK(C4),"", C4/$D$24)</f>
        <v>0.42328788867528527</v>
      </c>
      <c r="E4" s="21" t="s">
        <v>137</v>
      </c>
      <c r="F4" s="12">
        <f t="shared" ref="F4:F6" si="0">IF(B4="x",IF(C4=0,"",C4),"")</f>
        <v>12</v>
      </c>
      <c r="G4" s="69">
        <f t="shared" ref="G4:G6" si="1">IF(B4="x",D4,"")</f>
        <v>0.42328788867528527</v>
      </c>
      <c r="H4" s="76">
        <f t="shared" ref="H4:H6" si="2">IF(C4="","",INT(D4/16))</f>
        <v>0</v>
      </c>
      <c r="I4" s="19">
        <f t="shared" ref="I4:I6" si="3">IF(D4="","",MOD(D4,16))</f>
        <v>0.42328788867528527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/>
      <c r="D5" s="19" t="str">
        <f>IF(ISBLANK(C5),"", C5/$D$24)</f>
        <v/>
      </c>
      <c r="E5" s="21" t="s">
        <v>170</v>
      </c>
      <c r="F5" s="12" t="str">
        <f t="shared" si="0"/>
        <v/>
      </c>
      <c r="G5" s="69" t="str">
        <f t="shared" si="1"/>
        <v/>
      </c>
      <c r="H5" s="76" t="str">
        <f t="shared" si="2"/>
        <v/>
      </c>
      <c r="I5" s="19" t="str">
        <f t="shared" si="3"/>
        <v/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s="17" customFormat="1" ht="15" x14ac:dyDescent="0.25">
      <c r="A6" s="13"/>
      <c r="B6" s="16" t="s">
        <v>42</v>
      </c>
      <c r="C6" s="49">
        <v>38</v>
      </c>
      <c r="D6" s="19">
        <f>IF(ISBLANK(C6),"", C6/$D$24)</f>
        <v>1.3404116474717367</v>
      </c>
      <c r="E6" s="21" t="s">
        <v>138</v>
      </c>
      <c r="F6" s="12">
        <f t="shared" si="0"/>
        <v>38</v>
      </c>
      <c r="G6" s="69">
        <f t="shared" si="1"/>
        <v>1.3404116474717367</v>
      </c>
      <c r="H6" s="76">
        <f t="shared" si="2"/>
        <v>0</v>
      </c>
      <c r="I6" s="19">
        <f t="shared" si="3"/>
        <v>1.3404116474717367</v>
      </c>
      <c r="J6" s="21"/>
      <c r="M6" s="32"/>
    </row>
    <row r="7" spans="1:20" s="17" customFormat="1" ht="15" x14ac:dyDescent="0.25">
      <c r="A7" s="13"/>
      <c r="B7" s="16"/>
      <c r="C7" s="49"/>
      <c r="D7" s="19" t="str">
        <f t="shared" ref="D7:D20" si="4">IF(ISBLANK(C7),"", C7/$D$24)</f>
        <v/>
      </c>
      <c r="E7" s="21"/>
      <c r="F7" s="12" t="str">
        <f t="shared" ref="F7:F20" si="5">IF(B7="x",IF(C7=0,"",C7),"")</f>
        <v/>
      </c>
      <c r="G7" s="69" t="str">
        <f t="shared" ref="G7:G20" si="6">IF(B7="x",D7,"")</f>
        <v/>
      </c>
      <c r="H7" s="76" t="str">
        <f t="shared" ref="H7:H20" si="7">IF(C7="","",INT(D7/16))</f>
        <v/>
      </c>
      <c r="I7" s="19" t="str">
        <f t="shared" ref="I7:I20" si="8">IF(D7="","",MOD(D7,16))</f>
        <v/>
      </c>
      <c r="J7" s="21"/>
      <c r="M7" s="32"/>
    </row>
    <row r="8" spans="1:20" s="17" customFormat="1" ht="15" x14ac:dyDescent="0.25">
      <c r="A8" s="13"/>
      <c r="B8" s="16"/>
      <c r="C8" s="49"/>
      <c r="D8" s="19" t="str">
        <f t="shared" si="4"/>
        <v/>
      </c>
      <c r="E8" s="21"/>
      <c r="F8" s="12" t="str">
        <f t="shared" si="5"/>
        <v/>
      </c>
      <c r="G8" s="69" t="str">
        <f t="shared" si="6"/>
        <v/>
      </c>
      <c r="H8" s="76" t="str">
        <f t="shared" si="7"/>
        <v/>
      </c>
      <c r="I8" s="19" t="str">
        <f t="shared" si="8"/>
        <v/>
      </c>
      <c r="J8" s="21"/>
      <c r="M8" s="32"/>
    </row>
    <row r="9" spans="1:20" s="17" customFormat="1" ht="15" x14ac:dyDescent="0.25">
      <c r="A9" s="13"/>
      <c r="B9" s="16"/>
      <c r="C9" s="49"/>
      <c r="D9" s="19" t="str">
        <f t="shared" si="4"/>
        <v/>
      </c>
      <c r="E9" s="21"/>
      <c r="F9" s="12" t="str">
        <f t="shared" si="5"/>
        <v/>
      </c>
      <c r="G9" s="69" t="str">
        <f t="shared" si="6"/>
        <v/>
      </c>
      <c r="H9" s="76" t="str">
        <f t="shared" si="7"/>
        <v/>
      </c>
      <c r="I9" s="19" t="str">
        <f t="shared" si="8"/>
        <v/>
      </c>
      <c r="J9" s="21"/>
      <c r="M9" s="32"/>
    </row>
    <row r="10" spans="1:20" s="17" customFormat="1" ht="15" x14ac:dyDescent="0.25">
      <c r="A10" s="13"/>
      <c r="B10" s="16"/>
      <c r="C10" s="49"/>
      <c r="D10" s="19" t="str">
        <f t="shared" si="4"/>
        <v/>
      </c>
      <c r="E10" s="21"/>
      <c r="F10" s="12" t="str">
        <f t="shared" si="5"/>
        <v/>
      </c>
      <c r="G10" s="69" t="str">
        <f t="shared" si="6"/>
        <v/>
      </c>
      <c r="H10" s="76" t="str">
        <f t="shared" si="7"/>
        <v/>
      </c>
      <c r="I10" s="19" t="str">
        <f t="shared" si="8"/>
        <v/>
      </c>
      <c r="J10" s="21"/>
      <c r="M10" s="32"/>
    </row>
    <row r="11" spans="1:20" s="17" customFormat="1" ht="15" x14ac:dyDescent="0.25">
      <c r="A11" s="13"/>
      <c r="B11" s="16"/>
      <c r="C11" s="49"/>
      <c r="D11" s="19" t="str">
        <f t="shared" si="4"/>
        <v/>
      </c>
      <c r="E11" s="21"/>
      <c r="F11" s="12" t="str">
        <f t="shared" si="5"/>
        <v/>
      </c>
      <c r="G11" s="69" t="str">
        <f t="shared" si="6"/>
        <v/>
      </c>
      <c r="H11" s="76" t="str">
        <f t="shared" si="7"/>
        <v/>
      </c>
      <c r="I11" s="19" t="str">
        <f t="shared" si="8"/>
        <v/>
      </c>
      <c r="J11" s="21"/>
      <c r="M11" s="32"/>
    </row>
    <row r="12" spans="1:20" s="17" customFormat="1" ht="15" x14ac:dyDescent="0.25">
      <c r="A12" s="13"/>
      <c r="B12" s="16"/>
      <c r="C12" s="49"/>
      <c r="D12" s="19" t="str">
        <f t="shared" si="4"/>
        <v/>
      </c>
      <c r="E12" s="21"/>
      <c r="F12" s="12" t="str">
        <f t="shared" si="5"/>
        <v/>
      </c>
      <c r="G12" s="69" t="str">
        <f t="shared" si="6"/>
        <v/>
      </c>
      <c r="H12" s="76" t="str">
        <f t="shared" si="7"/>
        <v/>
      </c>
      <c r="I12" s="19" t="str">
        <f t="shared" si="8"/>
        <v/>
      </c>
      <c r="J12" s="21"/>
      <c r="M12" s="32"/>
    </row>
    <row r="13" spans="1:20" s="17" customFormat="1" ht="15" x14ac:dyDescent="0.25">
      <c r="A13" s="13"/>
      <c r="B13" s="16"/>
      <c r="C13" s="49"/>
      <c r="D13" s="19" t="str">
        <f t="shared" si="4"/>
        <v/>
      </c>
      <c r="E13" s="21"/>
      <c r="F13" s="12" t="str">
        <f t="shared" si="5"/>
        <v/>
      </c>
      <c r="G13" s="69" t="str">
        <f t="shared" si="6"/>
        <v/>
      </c>
      <c r="H13" s="76" t="str">
        <f t="shared" si="7"/>
        <v/>
      </c>
      <c r="I13" s="19" t="str">
        <f t="shared" si="8"/>
        <v/>
      </c>
      <c r="J13" s="21"/>
      <c r="M13" s="32"/>
    </row>
    <row r="14" spans="1:20" s="17" customFormat="1" ht="15" x14ac:dyDescent="0.25">
      <c r="A14" s="13"/>
      <c r="B14" s="16"/>
      <c r="C14" s="49"/>
      <c r="D14" s="19" t="str">
        <f t="shared" si="4"/>
        <v/>
      </c>
      <c r="E14" s="21"/>
      <c r="F14" s="12" t="str">
        <f t="shared" si="5"/>
        <v/>
      </c>
      <c r="G14" s="69" t="str">
        <f t="shared" si="6"/>
        <v/>
      </c>
      <c r="H14" s="76" t="str">
        <f t="shared" si="7"/>
        <v/>
      </c>
      <c r="I14" s="19" t="str">
        <f t="shared" si="8"/>
        <v/>
      </c>
      <c r="J14" s="21"/>
      <c r="M14" s="32"/>
    </row>
    <row r="15" spans="1:20" s="17" customFormat="1" ht="15" x14ac:dyDescent="0.25">
      <c r="A15" s="13"/>
      <c r="B15" s="16"/>
      <c r="C15" s="49"/>
      <c r="D15" s="19" t="str">
        <f t="shared" si="4"/>
        <v/>
      </c>
      <c r="E15" s="21"/>
      <c r="F15" s="12" t="str">
        <f t="shared" si="5"/>
        <v/>
      </c>
      <c r="G15" s="69" t="str">
        <f t="shared" si="6"/>
        <v/>
      </c>
      <c r="H15" s="76" t="str">
        <f t="shared" si="7"/>
        <v/>
      </c>
      <c r="I15" s="19" t="str">
        <f t="shared" si="8"/>
        <v/>
      </c>
      <c r="J15" s="21"/>
      <c r="M15" s="32"/>
    </row>
    <row r="16" spans="1:20" s="17" customFormat="1" ht="15" x14ac:dyDescent="0.25">
      <c r="A16" s="13"/>
      <c r="B16" s="16"/>
      <c r="C16" s="49"/>
      <c r="D16" s="19" t="str">
        <f t="shared" si="4"/>
        <v/>
      </c>
      <c r="E16" s="21"/>
      <c r="F16" s="12" t="str">
        <f t="shared" si="5"/>
        <v/>
      </c>
      <c r="G16" s="69" t="str">
        <f t="shared" si="6"/>
        <v/>
      </c>
      <c r="H16" s="76" t="str">
        <f t="shared" si="7"/>
        <v/>
      </c>
      <c r="I16" s="19" t="str">
        <f t="shared" si="8"/>
        <v/>
      </c>
      <c r="J16" s="21"/>
      <c r="M16" s="32"/>
    </row>
    <row r="17" spans="1:13" s="17" customFormat="1" ht="15" x14ac:dyDescent="0.25">
      <c r="A17" s="13"/>
      <c r="B17" s="16"/>
      <c r="C17" s="49"/>
      <c r="D17" s="19" t="str">
        <f t="shared" si="4"/>
        <v/>
      </c>
      <c r="E17" s="21"/>
      <c r="F17" s="12" t="str">
        <f t="shared" si="5"/>
        <v/>
      </c>
      <c r="G17" s="69" t="str">
        <f t="shared" si="6"/>
        <v/>
      </c>
      <c r="H17" s="76" t="str">
        <f t="shared" si="7"/>
        <v/>
      </c>
      <c r="I17" s="19" t="str">
        <f t="shared" si="8"/>
        <v/>
      </c>
      <c r="J17" s="21"/>
      <c r="M17" s="32"/>
    </row>
    <row r="18" spans="1:13" s="17" customFormat="1" ht="15" x14ac:dyDescent="0.25">
      <c r="A18" s="13"/>
      <c r="B18" s="16"/>
      <c r="C18" s="49"/>
      <c r="D18" s="19" t="str">
        <f t="shared" si="4"/>
        <v/>
      </c>
      <c r="E18" s="21"/>
      <c r="F18" s="12" t="str">
        <f t="shared" si="5"/>
        <v/>
      </c>
      <c r="G18" s="69" t="str">
        <f t="shared" si="6"/>
        <v/>
      </c>
      <c r="H18" s="76" t="str">
        <f t="shared" si="7"/>
        <v/>
      </c>
      <c r="I18" s="19" t="str">
        <f t="shared" si="8"/>
        <v/>
      </c>
      <c r="J18" s="21"/>
      <c r="M18" s="32"/>
    </row>
    <row r="19" spans="1:13" s="17" customFormat="1" ht="15" x14ac:dyDescent="0.25">
      <c r="A19" s="13"/>
      <c r="B19" s="16"/>
      <c r="C19" s="49"/>
      <c r="D19" s="19" t="str">
        <f t="shared" si="4"/>
        <v/>
      </c>
      <c r="E19" s="21"/>
      <c r="F19" s="12" t="str">
        <f t="shared" si="5"/>
        <v/>
      </c>
      <c r="G19" s="69" t="str">
        <f t="shared" si="6"/>
        <v/>
      </c>
      <c r="H19" s="76" t="str">
        <f t="shared" si="7"/>
        <v/>
      </c>
      <c r="I19" s="19" t="str">
        <f t="shared" si="8"/>
        <v/>
      </c>
      <c r="J19" s="21"/>
      <c r="M19" s="32"/>
    </row>
    <row r="20" spans="1:13" s="17" customFormat="1" ht="15" x14ac:dyDescent="0.25">
      <c r="A20" s="13"/>
      <c r="B20" s="16"/>
      <c r="C20" s="49"/>
      <c r="D20" s="19" t="str">
        <f t="shared" si="4"/>
        <v/>
      </c>
      <c r="E20" s="21"/>
      <c r="F20" s="12" t="str">
        <f t="shared" si="5"/>
        <v/>
      </c>
      <c r="G20" s="69" t="str">
        <f t="shared" si="6"/>
        <v/>
      </c>
      <c r="H20" s="76" t="str">
        <f t="shared" si="7"/>
        <v/>
      </c>
      <c r="I20" s="19" t="str">
        <f t="shared" si="8"/>
        <v/>
      </c>
      <c r="J20" s="21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SUM(F4:F6)</f>
        <v>50</v>
      </c>
      <c r="D22" s="33">
        <f>IF(ISBLANK(C22),"", C22/$D$24)</f>
        <v>1.763699536147022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50</v>
      </c>
      <c r="E23" s="30" t="s">
        <v>27</v>
      </c>
      <c r="F23" s="5">
        <f>TRUNC(D23/D24/16)</f>
        <v>0</v>
      </c>
      <c r="G23" s="24">
        <f>(D23/D24/16-TRUNC(D23/D24/16))*16</f>
        <v>1.763699536147022</v>
      </c>
      <c r="J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  <c r="M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  <c r="M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H26" s="32"/>
      <c r="M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H27" s="32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</row>
    <row r="29" spans="1:13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</row>
    <row r="30" spans="1:13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</row>
    <row r="31" spans="1:13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13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x14ac:dyDescent="0.2">
      <c r="E35" s="13"/>
    </row>
    <row r="36" spans="1:13" x14ac:dyDescent="0.2">
      <c r="E36" s="13"/>
    </row>
    <row r="37" spans="1:13" s="17" customFormat="1" x14ac:dyDescent="0.2">
      <c r="A37" s="13"/>
      <c r="B37" s="13"/>
      <c r="C37" s="52"/>
      <c r="E37" s="13"/>
      <c r="H37" s="74"/>
      <c r="M37" s="32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</sheetData>
  <conditionalFormatting sqref="B3:B20">
    <cfRule type="expression" dxfId="14" priority="4">
      <formula>AND($B3="x",AND(COUNTBLANK($C3)=0,$C3=0))</formula>
    </cfRule>
  </conditionalFormatting>
  <conditionalFormatting sqref="C3:C20">
    <cfRule type="expression" dxfId="13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12" priority="2" operator="containsText" text="~*">
      <formula>NOT(ISERROR(SEARCH("~*",E3)))</formula>
    </cfRule>
  </conditionalFormatting>
  <dataValidations count="2">
    <dataValidation type="list" allowBlank="1" showInputMessage="1" showErrorMessage="1" sqref="N5" xr:uid="{D91C31EC-FB25-4596-9198-A2CEE51B3D61}">
      <formula1>PackCover</formula1>
    </dataValidation>
    <dataValidation type="list" allowBlank="1" showInputMessage="1" showErrorMessage="1" sqref="N4" xr:uid="{1108335E-0F25-4518-A9DD-E5D4807FC521}">
      <formula1>Backpacks</formula1>
    </dataValidation>
  </dataValidations>
  <hyperlinks>
    <hyperlink ref="A1" location="Menu!A1" display="Menu!A1" xr:uid="{3BEA3CCF-A112-44ED-97A8-55A85C49E72B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E229C-6D8C-47F0-A511-F0B8401D44F6}">
  <sheetPr codeName="Sheet16"/>
  <dimension ref="A1:T61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COUNTIFS(B3:B23,"=x",C3:C23,"=0")</f>
        <v>0</v>
      </c>
      <c r="C1" s="67">
        <f>COUNTIF(C3:C23,"=0")</f>
        <v>5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87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48"/>
      <c r="C4" s="49">
        <v>185</v>
      </c>
      <c r="D4" s="50">
        <f t="shared" ref="D4:D30" si="0">IF(ISBLANK(C4),"", C4/$D$34)</f>
        <v>6.5256882837439818</v>
      </c>
      <c r="E4" s="51" t="s">
        <v>167</v>
      </c>
      <c r="F4" s="51" t="str">
        <f t="shared" ref="F4:F22" si="1">IF(B4="x",IF(C4=0,"",C4),"")</f>
        <v/>
      </c>
      <c r="G4" s="70" t="str">
        <f t="shared" ref="G4:G23" si="2">IF(B4="x",D4,"")</f>
        <v/>
      </c>
      <c r="H4" s="76">
        <f t="shared" ref="H4:H23" si="3">IF(C4="","",INT(D4/16))</f>
        <v>0</v>
      </c>
      <c r="I4" s="19">
        <f t="shared" ref="I4:I23" si="4">IF(D4="","",MOD(D4,16))</f>
        <v>6.5256882837439818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48" t="s">
        <v>42</v>
      </c>
      <c r="C5" s="49">
        <v>135</v>
      </c>
      <c r="D5" s="50">
        <f t="shared" si="0"/>
        <v>4.7619887475969591</v>
      </c>
      <c r="E5" s="51" t="s">
        <v>168</v>
      </c>
      <c r="F5" s="51">
        <f t="shared" si="1"/>
        <v>135</v>
      </c>
      <c r="G5" s="70">
        <f t="shared" si="2"/>
        <v>4.7619887475969591</v>
      </c>
      <c r="H5" s="76">
        <f t="shared" si="3"/>
        <v>0</v>
      </c>
      <c r="I5" s="19">
        <f t="shared" si="4"/>
        <v>4.7619887475969591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/>
      <c r="C6" s="49">
        <v>480</v>
      </c>
      <c r="D6" s="19">
        <f t="shared" si="0"/>
        <v>16.931515547011411</v>
      </c>
      <c r="E6" s="44" t="s">
        <v>22</v>
      </c>
      <c r="F6" s="12" t="str">
        <f t="shared" si="1"/>
        <v/>
      </c>
      <c r="G6" s="69" t="str">
        <f t="shared" si="2"/>
        <v/>
      </c>
      <c r="H6" s="76">
        <f t="shared" si="3"/>
        <v>1</v>
      </c>
      <c r="I6" s="19">
        <f t="shared" si="4"/>
        <v>0.93151554701141137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s="17" customFormat="1" ht="30" x14ac:dyDescent="0.25">
      <c r="A7" s="13"/>
      <c r="B7" s="16"/>
      <c r="C7" s="49">
        <v>510</v>
      </c>
      <c r="D7" s="19">
        <f t="shared" si="0"/>
        <v>17.989735268699626</v>
      </c>
      <c r="E7" s="54" t="s">
        <v>24</v>
      </c>
      <c r="F7" s="12" t="str">
        <f t="shared" si="1"/>
        <v/>
      </c>
      <c r="G7" s="69" t="str">
        <f t="shared" si="2"/>
        <v/>
      </c>
      <c r="H7" s="76">
        <f t="shared" si="3"/>
        <v>1</v>
      </c>
      <c r="I7" s="19">
        <f t="shared" si="4"/>
        <v>1.9897352686996257</v>
      </c>
      <c r="J7" s="60" t="s">
        <v>193</v>
      </c>
      <c r="K7" s="17" t="s">
        <v>42</v>
      </c>
      <c r="L7" s="52"/>
      <c r="M7" s="53"/>
      <c r="N7" s="52"/>
    </row>
    <row r="8" spans="1:20" s="17" customFormat="1" ht="15" x14ac:dyDescent="0.25">
      <c r="A8" s="13"/>
      <c r="B8" s="16"/>
      <c r="C8" s="49">
        <v>1000</v>
      </c>
      <c r="D8" s="19">
        <f t="shared" si="0"/>
        <v>35.273990722940439</v>
      </c>
      <c r="E8" s="51" t="s">
        <v>190</v>
      </c>
      <c r="F8" s="12" t="str">
        <f t="shared" si="1"/>
        <v/>
      </c>
      <c r="G8" s="69" t="str">
        <f t="shared" si="2"/>
        <v/>
      </c>
      <c r="H8" s="76">
        <f t="shared" si="3"/>
        <v>2</v>
      </c>
      <c r="I8" s="19">
        <f t="shared" si="4"/>
        <v>3.2739907229404395</v>
      </c>
      <c r="J8" s="60"/>
      <c r="M8" s="32"/>
    </row>
    <row r="9" spans="1:20" s="17" customFormat="1" ht="15" x14ac:dyDescent="0.25">
      <c r="A9" s="13"/>
      <c r="B9" s="16"/>
      <c r="C9" s="49">
        <v>131</v>
      </c>
      <c r="D9" s="19">
        <f t="shared" si="0"/>
        <v>4.6208927847051982</v>
      </c>
      <c r="E9" s="44" t="s">
        <v>186</v>
      </c>
      <c r="F9" s="12" t="str">
        <f t="shared" si="1"/>
        <v/>
      </c>
      <c r="G9" s="69" t="str">
        <f t="shared" si="2"/>
        <v/>
      </c>
      <c r="H9" s="76">
        <f t="shared" si="3"/>
        <v>0</v>
      </c>
      <c r="I9" s="19">
        <f t="shared" si="4"/>
        <v>4.6208927847051982</v>
      </c>
      <c r="J9" s="21"/>
      <c r="M9" s="32"/>
    </row>
    <row r="10" spans="1:20" s="17" customFormat="1" ht="15" x14ac:dyDescent="0.25">
      <c r="A10" s="13"/>
      <c r="B10" s="16" t="s">
        <v>42</v>
      </c>
      <c r="C10" s="49">
        <v>69</v>
      </c>
      <c r="D10" s="19">
        <f t="shared" si="0"/>
        <v>2.4339053598828904</v>
      </c>
      <c r="E10" s="12" t="s">
        <v>7</v>
      </c>
      <c r="F10" s="12">
        <f t="shared" si="1"/>
        <v>69</v>
      </c>
      <c r="G10" s="69">
        <f t="shared" si="2"/>
        <v>2.4339053598828904</v>
      </c>
      <c r="H10" s="76">
        <f t="shared" si="3"/>
        <v>0</v>
      </c>
      <c r="I10" s="19">
        <f t="shared" si="4"/>
        <v>2.4339053598828904</v>
      </c>
      <c r="J10" s="21"/>
      <c r="M10" s="32"/>
    </row>
    <row r="11" spans="1:20" s="17" customFormat="1" ht="15" x14ac:dyDescent="0.25">
      <c r="A11" s="13"/>
      <c r="B11" s="16"/>
      <c r="C11" s="49">
        <v>0</v>
      </c>
      <c r="D11" s="19">
        <f t="shared" si="0"/>
        <v>0</v>
      </c>
      <c r="E11" s="17" t="s">
        <v>141</v>
      </c>
      <c r="F11" s="12" t="str">
        <f t="shared" si="1"/>
        <v/>
      </c>
      <c r="G11" s="69" t="str">
        <f t="shared" si="2"/>
        <v/>
      </c>
      <c r="H11" s="76">
        <f t="shared" si="3"/>
        <v>0</v>
      </c>
      <c r="I11" s="19">
        <f t="shared" si="4"/>
        <v>0</v>
      </c>
      <c r="J11" s="21"/>
      <c r="M11" s="32"/>
    </row>
    <row r="12" spans="1:20" s="17" customFormat="1" ht="15" x14ac:dyDescent="0.25">
      <c r="A12" s="13"/>
      <c r="B12" s="16" t="s">
        <v>42</v>
      </c>
      <c r="C12" s="49">
        <v>36</v>
      </c>
      <c r="D12" s="19">
        <f t="shared" si="0"/>
        <v>1.269863666025856</v>
      </c>
      <c r="E12" s="12" t="s">
        <v>171</v>
      </c>
      <c r="F12" s="12">
        <f t="shared" si="1"/>
        <v>36</v>
      </c>
      <c r="G12" s="69">
        <f t="shared" si="2"/>
        <v>1.269863666025856</v>
      </c>
      <c r="H12" s="76">
        <f t="shared" si="3"/>
        <v>0</v>
      </c>
      <c r="I12" s="19">
        <f t="shared" si="4"/>
        <v>1.269863666025856</v>
      </c>
      <c r="J12" s="21"/>
      <c r="M12" s="32"/>
    </row>
    <row r="13" spans="1:20" s="17" customFormat="1" ht="15" x14ac:dyDescent="0.25">
      <c r="A13" s="13"/>
      <c r="B13" s="16"/>
      <c r="C13" s="49">
        <f>72</f>
        <v>72</v>
      </c>
      <c r="D13" s="19">
        <f t="shared" si="0"/>
        <v>2.539727332051712</v>
      </c>
      <c r="E13" s="12" t="s">
        <v>173</v>
      </c>
      <c r="F13" s="12" t="str">
        <f t="shared" si="1"/>
        <v/>
      </c>
      <c r="G13" s="69" t="str">
        <f t="shared" si="2"/>
        <v/>
      </c>
      <c r="H13" s="76">
        <f t="shared" si="3"/>
        <v>0</v>
      </c>
      <c r="I13" s="19">
        <f t="shared" si="4"/>
        <v>2.539727332051712</v>
      </c>
      <c r="J13" s="21"/>
      <c r="M13" s="12"/>
    </row>
    <row r="14" spans="1:20" s="17" customFormat="1" ht="15" x14ac:dyDescent="0.25">
      <c r="A14" s="13"/>
      <c r="B14" s="16"/>
      <c r="C14" s="49">
        <v>30</v>
      </c>
      <c r="D14" s="19">
        <f t="shared" si="0"/>
        <v>1.0582197216882132</v>
      </c>
      <c r="E14" s="12" t="s">
        <v>149</v>
      </c>
      <c r="F14" s="12" t="str">
        <f t="shared" si="1"/>
        <v/>
      </c>
      <c r="G14" s="69" t="str">
        <f t="shared" si="2"/>
        <v/>
      </c>
      <c r="H14" s="76">
        <f t="shared" si="3"/>
        <v>0</v>
      </c>
      <c r="I14" s="19">
        <f t="shared" si="4"/>
        <v>1.0582197216882132</v>
      </c>
      <c r="J14" s="21"/>
      <c r="M14" s="32"/>
    </row>
    <row r="15" spans="1:20" s="17" customFormat="1" ht="15" x14ac:dyDescent="0.25">
      <c r="A15" s="13"/>
      <c r="B15" s="16" t="s">
        <v>42</v>
      </c>
      <c r="C15" s="49">
        <v>30</v>
      </c>
      <c r="D15" s="19">
        <f t="shared" si="0"/>
        <v>1.0582197216882132</v>
      </c>
      <c r="E15" s="12" t="s">
        <v>17</v>
      </c>
      <c r="F15" s="12">
        <f t="shared" si="1"/>
        <v>30</v>
      </c>
      <c r="G15" s="69">
        <f t="shared" si="2"/>
        <v>1.0582197216882132</v>
      </c>
      <c r="H15" s="76">
        <f t="shared" si="3"/>
        <v>0</v>
      </c>
      <c r="I15" s="19">
        <f t="shared" si="4"/>
        <v>1.0582197216882132</v>
      </c>
      <c r="M15" s="32"/>
    </row>
    <row r="16" spans="1:20" s="17" customFormat="1" ht="15" x14ac:dyDescent="0.25">
      <c r="A16" s="13"/>
      <c r="B16" s="16" t="s">
        <v>42</v>
      </c>
      <c r="C16" s="49">
        <v>20</v>
      </c>
      <c r="D16" s="19">
        <f t="shared" si="0"/>
        <v>0.70547981445880881</v>
      </c>
      <c r="E16" s="21" t="s">
        <v>94</v>
      </c>
      <c r="F16" s="12">
        <f t="shared" si="1"/>
        <v>20</v>
      </c>
      <c r="G16" s="69">
        <f t="shared" si="2"/>
        <v>0.70547981445880881</v>
      </c>
      <c r="H16" s="76">
        <f t="shared" si="3"/>
        <v>0</v>
      </c>
      <c r="I16" s="19">
        <f t="shared" si="4"/>
        <v>0.70547981445880881</v>
      </c>
      <c r="J16" s="21"/>
      <c r="M16" s="32"/>
      <c r="N16" s="12"/>
    </row>
    <row r="17" spans="1:14" s="17" customFormat="1" ht="15" x14ac:dyDescent="0.25">
      <c r="A17" s="13"/>
      <c r="B17" s="16"/>
      <c r="C17" s="49">
        <v>0</v>
      </c>
      <c r="D17" s="19">
        <f t="shared" si="0"/>
        <v>0</v>
      </c>
      <c r="E17" s="12" t="s">
        <v>139</v>
      </c>
      <c r="F17" s="12" t="str">
        <f t="shared" si="1"/>
        <v/>
      </c>
      <c r="G17" s="69" t="str">
        <f t="shared" si="2"/>
        <v/>
      </c>
      <c r="H17" s="76">
        <f t="shared" si="3"/>
        <v>0</v>
      </c>
      <c r="I17" s="19">
        <f t="shared" si="4"/>
        <v>0</v>
      </c>
      <c r="J17" s="21"/>
      <c r="M17" s="32"/>
      <c r="N17" s="12"/>
    </row>
    <row r="18" spans="1:14" s="17" customFormat="1" ht="15" x14ac:dyDescent="0.25">
      <c r="A18" s="13"/>
      <c r="B18" s="16"/>
      <c r="C18" s="49">
        <v>0</v>
      </c>
      <c r="D18" s="19">
        <f t="shared" si="0"/>
        <v>0</v>
      </c>
      <c r="E18" s="12" t="s">
        <v>45</v>
      </c>
      <c r="F18" s="12" t="str">
        <f t="shared" si="1"/>
        <v/>
      </c>
      <c r="G18" s="69" t="str">
        <f t="shared" si="2"/>
        <v/>
      </c>
      <c r="H18" s="76">
        <f t="shared" si="3"/>
        <v>0</v>
      </c>
      <c r="I18" s="19">
        <f t="shared" si="4"/>
        <v>0</v>
      </c>
      <c r="J18" s="21"/>
      <c r="M18" s="32"/>
    </row>
    <row r="19" spans="1:14" s="17" customFormat="1" ht="15" x14ac:dyDescent="0.25">
      <c r="A19" s="13"/>
      <c r="B19" s="16"/>
      <c r="C19" s="49">
        <v>0</v>
      </c>
      <c r="D19" s="19">
        <f t="shared" si="0"/>
        <v>0</v>
      </c>
      <c r="E19" s="21" t="s">
        <v>51</v>
      </c>
      <c r="F19" s="12" t="str">
        <f t="shared" si="1"/>
        <v/>
      </c>
      <c r="G19" s="69" t="str">
        <f t="shared" si="2"/>
        <v/>
      </c>
      <c r="H19" s="76">
        <f t="shared" si="3"/>
        <v>0</v>
      </c>
      <c r="I19" s="19">
        <f t="shared" si="4"/>
        <v>0</v>
      </c>
      <c r="J19" s="21"/>
      <c r="M19" s="32"/>
    </row>
    <row r="20" spans="1:14" s="17" customFormat="1" ht="15" x14ac:dyDescent="0.25">
      <c r="A20" s="13"/>
      <c r="B20" s="16"/>
      <c r="C20" s="49">
        <v>0</v>
      </c>
      <c r="D20" s="19">
        <f t="shared" si="0"/>
        <v>0</v>
      </c>
      <c r="E20" s="21" t="s">
        <v>142</v>
      </c>
      <c r="F20" s="12" t="str">
        <f t="shared" si="1"/>
        <v/>
      </c>
      <c r="G20" s="69" t="str">
        <f t="shared" si="2"/>
        <v/>
      </c>
      <c r="H20" s="76">
        <f t="shared" si="3"/>
        <v>0</v>
      </c>
      <c r="I20" s="19">
        <f t="shared" si="4"/>
        <v>0</v>
      </c>
      <c r="J20" s="21"/>
      <c r="M20" s="32"/>
      <c r="N20" s="43"/>
    </row>
    <row r="21" spans="1:14" s="17" customFormat="1" ht="15" x14ac:dyDescent="0.25">
      <c r="A21" s="13"/>
      <c r="B21" s="16" t="s">
        <v>42</v>
      </c>
      <c r="C21" s="49">
        <v>49</v>
      </c>
      <c r="D21" s="19">
        <f t="shared" si="0"/>
        <v>1.7284255454240816</v>
      </c>
      <c r="E21" s="21" t="s">
        <v>152</v>
      </c>
      <c r="F21" s="12">
        <f t="shared" si="1"/>
        <v>49</v>
      </c>
      <c r="G21" s="69">
        <f t="shared" si="2"/>
        <v>1.7284255454240816</v>
      </c>
      <c r="H21" s="76">
        <f t="shared" si="3"/>
        <v>0</v>
      </c>
      <c r="I21" s="19">
        <f t="shared" si="4"/>
        <v>1.7284255454240816</v>
      </c>
      <c r="J21" s="21"/>
      <c r="M21" s="32"/>
      <c r="N21" s="12"/>
    </row>
    <row r="22" spans="1:14" s="17" customFormat="1" ht="15" x14ac:dyDescent="0.25">
      <c r="A22" s="13"/>
      <c r="B22" s="16"/>
      <c r="C22" s="49">
        <v>94</v>
      </c>
      <c r="D22" s="19">
        <f t="shared" si="0"/>
        <v>3.3157551279564013</v>
      </c>
      <c r="E22" s="21" t="s">
        <v>153</v>
      </c>
      <c r="F22" s="12" t="str">
        <f t="shared" si="1"/>
        <v/>
      </c>
      <c r="G22" s="69" t="str">
        <f t="shared" si="2"/>
        <v/>
      </c>
      <c r="H22" s="76">
        <f t="shared" si="3"/>
        <v>0</v>
      </c>
      <c r="I22" s="19">
        <f t="shared" si="4"/>
        <v>3.3157551279564013</v>
      </c>
      <c r="J22" s="21"/>
      <c r="M22" s="32"/>
      <c r="N22" s="21"/>
    </row>
    <row r="23" spans="1:14" s="17" customFormat="1" ht="15" x14ac:dyDescent="0.25">
      <c r="A23" s="13"/>
      <c r="B23" s="16"/>
      <c r="C23" s="49">
        <v>88</v>
      </c>
      <c r="D23" s="19">
        <f t="shared" si="0"/>
        <v>3.1041111836187589</v>
      </c>
      <c r="E23" s="21" t="s">
        <v>162</v>
      </c>
      <c r="F23" s="12" t="str">
        <f>IF(B23="x",IF(C23=0,"",C23),"")</f>
        <v/>
      </c>
      <c r="G23" s="69" t="str">
        <f t="shared" si="2"/>
        <v/>
      </c>
      <c r="H23" s="76">
        <f t="shared" si="3"/>
        <v>0</v>
      </c>
      <c r="I23" s="19">
        <f t="shared" si="4"/>
        <v>3.1041111836187589</v>
      </c>
      <c r="J23" s="21"/>
      <c r="K23" s="21"/>
      <c r="M23" s="32"/>
    </row>
    <row r="24" spans="1:14" s="17" customFormat="1" ht="15" x14ac:dyDescent="0.25">
      <c r="A24" s="13"/>
      <c r="B24" s="16"/>
      <c r="C24" s="49"/>
      <c r="D24" s="19" t="str">
        <f t="shared" si="0"/>
        <v/>
      </c>
      <c r="E24" s="21"/>
      <c r="F24" s="12" t="str">
        <f t="shared" ref="F24:F30" si="5">IF(B24="x",IF(C24=0,"",C24),"")</f>
        <v/>
      </c>
      <c r="G24" s="69" t="str">
        <f t="shared" ref="G24:G30" si="6">IF(B24="x",D24,"")</f>
        <v/>
      </c>
      <c r="H24" s="76" t="str">
        <f t="shared" ref="H24:H30" si="7">IF(C24="","",INT(D24/16))</f>
        <v/>
      </c>
      <c r="I24" s="19" t="str">
        <f t="shared" ref="I24:I30" si="8">IF(D24="","",MOD(D24,16))</f>
        <v/>
      </c>
      <c r="J24" s="21"/>
      <c r="K24" s="21"/>
      <c r="M24" s="32"/>
    </row>
    <row r="25" spans="1:14" s="17" customFormat="1" ht="15" x14ac:dyDescent="0.25">
      <c r="A25" s="13"/>
      <c r="B25" s="16"/>
      <c r="C25" s="49"/>
      <c r="D25" s="19" t="str">
        <f t="shared" si="0"/>
        <v/>
      </c>
      <c r="E25" s="21"/>
      <c r="F25" s="12" t="str">
        <f t="shared" si="5"/>
        <v/>
      </c>
      <c r="G25" s="69" t="str">
        <f t="shared" si="6"/>
        <v/>
      </c>
      <c r="H25" s="76" t="str">
        <f t="shared" si="7"/>
        <v/>
      </c>
      <c r="I25" s="19" t="str">
        <f t="shared" si="8"/>
        <v/>
      </c>
      <c r="J25" s="21"/>
      <c r="K25" s="21"/>
      <c r="M25" s="32"/>
    </row>
    <row r="26" spans="1:14" s="17" customFormat="1" ht="15" x14ac:dyDescent="0.25">
      <c r="A26" s="13"/>
      <c r="B26" s="16"/>
      <c r="C26" s="49"/>
      <c r="D26" s="19" t="str">
        <f t="shared" si="0"/>
        <v/>
      </c>
      <c r="E26" s="21"/>
      <c r="F26" s="12" t="str">
        <f t="shared" si="5"/>
        <v/>
      </c>
      <c r="G26" s="69" t="str">
        <f t="shared" si="6"/>
        <v/>
      </c>
      <c r="H26" s="76" t="str">
        <f t="shared" si="7"/>
        <v/>
      </c>
      <c r="I26" s="19" t="str">
        <f t="shared" si="8"/>
        <v/>
      </c>
      <c r="J26" s="21"/>
      <c r="K26" s="21"/>
      <c r="M26" s="32"/>
    </row>
    <row r="27" spans="1:14" s="17" customFormat="1" ht="15" x14ac:dyDescent="0.25">
      <c r="A27" s="13"/>
      <c r="B27" s="16"/>
      <c r="C27" s="49"/>
      <c r="D27" s="19" t="str">
        <f t="shared" si="0"/>
        <v/>
      </c>
      <c r="E27" s="21"/>
      <c r="F27" s="12" t="str">
        <f t="shared" si="5"/>
        <v/>
      </c>
      <c r="G27" s="69" t="str">
        <f t="shared" si="6"/>
        <v/>
      </c>
      <c r="H27" s="76" t="str">
        <f t="shared" si="7"/>
        <v/>
      </c>
      <c r="I27" s="19" t="str">
        <f t="shared" si="8"/>
        <v/>
      </c>
      <c r="J27" s="21"/>
      <c r="K27" s="21"/>
      <c r="M27" s="32"/>
    </row>
    <row r="28" spans="1:14" s="17" customFormat="1" ht="15" x14ac:dyDescent="0.25">
      <c r="A28" s="13"/>
      <c r="B28" s="16"/>
      <c r="C28" s="49"/>
      <c r="D28" s="19" t="str">
        <f t="shared" si="0"/>
        <v/>
      </c>
      <c r="E28" s="21"/>
      <c r="F28" s="12" t="str">
        <f t="shared" si="5"/>
        <v/>
      </c>
      <c r="G28" s="69" t="str">
        <f t="shared" si="6"/>
        <v/>
      </c>
      <c r="H28" s="76" t="str">
        <f t="shared" si="7"/>
        <v/>
      </c>
      <c r="I28" s="19" t="str">
        <f t="shared" si="8"/>
        <v/>
      </c>
      <c r="J28" s="21"/>
      <c r="K28" s="21"/>
      <c r="M28" s="32"/>
    </row>
    <row r="29" spans="1:14" s="17" customFormat="1" ht="15" x14ac:dyDescent="0.25">
      <c r="A29" s="13"/>
      <c r="B29" s="16"/>
      <c r="C29" s="49"/>
      <c r="D29" s="19" t="str">
        <f t="shared" si="0"/>
        <v/>
      </c>
      <c r="E29" s="21"/>
      <c r="F29" s="12" t="str">
        <f t="shared" si="5"/>
        <v/>
      </c>
      <c r="G29" s="69" t="str">
        <f t="shared" si="6"/>
        <v/>
      </c>
      <c r="H29" s="76" t="str">
        <f t="shared" si="7"/>
        <v/>
      </c>
      <c r="I29" s="19" t="str">
        <f t="shared" si="8"/>
        <v/>
      </c>
      <c r="J29" s="21"/>
      <c r="K29" s="21"/>
      <c r="M29" s="32"/>
    </row>
    <row r="30" spans="1:14" s="17" customFormat="1" ht="15" x14ac:dyDescent="0.25">
      <c r="A30" s="13"/>
      <c r="B30" s="16"/>
      <c r="C30" s="49"/>
      <c r="D30" s="19" t="str">
        <f t="shared" si="0"/>
        <v/>
      </c>
      <c r="E30" s="21"/>
      <c r="F30" s="12" t="str">
        <f t="shared" si="5"/>
        <v/>
      </c>
      <c r="G30" s="69" t="str">
        <f t="shared" si="6"/>
        <v/>
      </c>
      <c r="H30" s="76" t="str">
        <f t="shared" si="7"/>
        <v/>
      </c>
      <c r="I30" s="19" t="str">
        <f t="shared" si="8"/>
        <v/>
      </c>
      <c r="J30" s="21"/>
      <c r="K30" s="21"/>
      <c r="M30" s="32"/>
    </row>
    <row r="31" spans="1:14" s="17" customFormat="1" ht="15.75" thickBot="1" x14ac:dyDescent="0.3">
      <c r="A31" s="13"/>
      <c r="B31" s="16" t="s">
        <v>79</v>
      </c>
      <c r="C31" s="49"/>
      <c r="D31" s="19"/>
      <c r="E31" s="21"/>
      <c r="F31" s="21"/>
      <c r="G31" s="21"/>
      <c r="H31" s="78"/>
      <c r="I31" s="21"/>
      <c r="J31" s="21"/>
      <c r="M31" s="32"/>
      <c r="N31" s="12"/>
    </row>
    <row r="32" spans="1:14" s="17" customFormat="1" ht="16.5" thickTop="1" thickBot="1" x14ac:dyDescent="0.3">
      <c r="A32" s="13"/>
      <c r="B32" s="16"/>
      <c r="C32" s="66">
        <f>SUM(F4:F23)</f>
        <v>339</v>
      </c>
      <c r="D32" s="33">
        <f>IF(ISBLANK(C32),"", C32/$D$34)</f>
        <v>11.957882855076809</v>
      </c>
      <c r="E32" s="58" t="s">
        <v>166</v>
      </c>
      <c r="F32" s="56" t="s">
        <v>165</v>
      </c>
      <c r="G32" s="57" t="s">
        <v>1</v>
      </c>
      <c r="H32" s="79"/>
      <c r="I32" s="57"/>
      <c r="J32" s="29"/>
      <c r="M32" s="32"/>
    </row>
    <row r="33" spans="1:13" s="17" customFormat="1" ht="16.5" thickTop="1" thickBot="1" x14ac:dyDescent="0.3">
      <c r="A33" s="13"/>
      <c r="B33" s="16"/>
      <c r="C33" s="65"/>
      <c r="D33" s="7">
        <f>C32</f>
        <v>339</v>
      </c>
      <c r="E33" s="30" t="s">
        <v>27</v>
      </c>
      <c r="F33" s="5">
        <f>TRUNC(D33/D34/16)</f>
        <v>0</v>
      </c>
      <c r="G33" s="24">
        <f>(D33/D34/16-TRUNC(D33/D34/16))*16</f>
        <v>11.957882855076809</v>
      </c>
      <c r="J33" s="32"/>
    </row>
    <row r="34" spans="1:13" s="17" customFormat="1" ht="15.75" thickBot="1" x14ac:dyDescent="0.3">
      <c r="A34" s="13"/>
      <c r="B34" s="16"/>
      <c r="C34" s="65"/>
      <c r="D34" s="9">
        <v>28.349499999999999</v>
      </c>
      <c r="E34" s="5" t="s">
        <v>31</v>
      </c>
      <c r="G34" s="21"/>
      <c r="H34" s="45"/>
      <c r="I34" s="21"/>
    </row>
    <row r="35" spans="1:13" s="17" customFormat="1" ht="15.75" thickBot="1" x14ac:dyDescent="0.3">
      <c r="A35" s="13"/>
      <c r="B35" s="16"/>
      <c r="C35" s="65"/>
      <c r="D35" s="9">
        <v>3.5274E-2</v>
      </c>
      <c r="E35" s="6" t="s">
        <v>35</v>
      </c>
      <c r="H35" s="32"/>
    </row>
    <row r="36" spans="1:13" s="17" customFormat="1" ht="15" x14ac:dyDescent="0.25">
      <c r="A36" s="13"/>
      <c r="B36" s="16"/>
      <c r="C36" s="65"/>
      <c r="D36" s="18"/>
      <c r="E36" s="1" t="s">
        <v>36</v>
      </c>
      <c r="H36" s="32"/>
    </row>
    <row r="37" spans="1:13" s="17" customFormat="1" ht="15" x14ac:dyDescent="0.25">
      <c r="A37" s="13"/>
      <c r="B37" s="16"/>
      <c r="C37" s="65"/>
      <c r="D37" s="18"/>
      <c r="E37" s="11" t="s">
        <v>33</v>
      </c>
      <c r="H37" s="32"/>
    </row>
    <row r="38" spans="1:13" s="17" customFormat="1" ht="15" x14ac:dyDescent="0.25">
      <c r="A38" s="13"/>
      <c r="B38" s="16"/>
      <c r="C38" s="65"/>
      <c r="D38" s="18" t="s">
        <v>29</v>
      </c>
      <c r="E38" s="18" t="s">
        <v>30</v>
      </c>
      <c r="G38" s="18"/>
      <c r="H38" s="76"/>
      <c r="I38" s="18"/>
      <c r="J38" s="18"/>
      <c r="M38" s="32"/>
    </row>
    <row r="39" spans="1:13" s="17" customFormat="1" ht="15" x14ac:dyDescent="0.25">
      <c r="A39" s="13"/>
      <c r="B39" s="13"/>
      <c r="C39" s="65"/>
      <c r="D39" s="18"/>
      <c r="E39" s="18"/>
      <c r="F39" s="18"/>
      <c r="G39" s="18"/>
      <c r="H39" s="76"/>
      <c r="I39" s="18"/>
      <c r="J39" s="18"/>
      <c r="M39" s="32"/>
    </row>
    <row r="40" spans="1:13" s="17" customFormat="1" ht="15" x14ac:dyDescent="0.25">
      <c r="A40" s="13"/>
      <c r="B40" s="13"/>
      <c r="C40" s="65"/>
      <c r="D40" s="18"/>
      <c r="E40" s="18"/>
      <c r="F40" s="18"/>
      <c r="G40" s="18"/>
      <c r="H40" s="76"/>
      <c r="I40" s="18"/>
      <c r="J40" s="18"/>
      <c r="M40" s="32"/>
    </row>
    <row r="41" spans="1:13" s="17" customFormat="1" ht="15" x14ac:dyDescent="0.25">
      <c r="A41" s="13"/>
      <c r="B41" s="13"/>
      <c r="C41" s="65"/>
      <c r="D41" s="18"/>
      <c r="E41" s="18"/>
      <c r="F41" s="18"/>
      <c r="G41" s="18"/>
      <c r="H41" s="76"/>
      <c r="I41" s="18"/>
      <c r="J41" s="18"/>
      <c r="M41" s="32"/>
    </row>
    <row r="42" spans="1:13" s="17" customFormat="1" x14ac:dyDescent="0.2">
      <c r="A42" s="13"/>
      <c r="B42" s="13"/>
      <c r="C42" s="52"/>
      <c r="H42" s="74"/>
      <c r="M42" s="32"/>
    </row>
    <row r="43" spans="1:13" s="17" customFormat="1" x14ac:dyDescent="0.2">
      <c r="A43" s="13"/>
      <c r="B43" s="13"/>
      <c r="C43" s="52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x14ac:dyDescent="0.2">
      <c r="E46" s="13"/>
    </row>
    <row r="47" spans="1:13" x14ac:dyDescent="0.2">
      <c r="E47" s="13"/>
    </row>
    <row r="48" spans="1:13" s="17" customFormat="1" x14ac:dyDescent="0.2">
      <c r="A48" s="13"/>
      <c r="B48" s="13"/>
      <c r="C48" s="52"/>
      <c r="E48" s="13"/>
      <c r="H48" s="74"/>
      <c r="M48" s="32"/>
    </row>
    <row r="49" spans="1:13" s="17" customFormat="1" x14ac:dyDescent="0.2">
      <c r="A49" s="13"/>
      <c r="B49" s="13"/>
      <c r="C49" s="52"/>
      <c r="E49" s="13"/>
      <c r="H49" s="74"/>
      <c r="M49" s="32"/>
    </row>
    <row r="50" spans="1:13" s="17" customFormat="1" x14ac:dyDescent="0.2">
      <c r="A50" s="13"/>
      <c r="B50" s="13"/>
      <c r="C50" s="52"/>
      <c r="E50" s="13"/>
      <c r="H50" s="74"/>
      <c r="M50" s="32"/>
    </row>
    <row r="51" spans="1:13" s="17" customFormat="1" x14ac:dyDescent="0.2">
      <c r="A51" s="13"/>
      <c r="B51" s="13"/>
      <c r="C51" s="52"/>
      <c r="E51" s="13"/>
      <c r="H51" s="74"/>
      <c r="M51" s="32"/>
    </row>
    <row r="52" spans="1:13" s="17" customFormat="1" x14ac:dyDescent="0.2">
      <c r="A52" s="13"/>
      <c r="B52" s="13"/>
      <c r="C52" s="52"/>
      <c r="E52" s="13"/>
      <c r="H52" s="74"/>
      <c r="M52" s="32"/>
    </row>
    <row r="53" spans="1:13" s="17" customFormat="1" x14ac:dyDescent="0.2">
      <c r="A53" s="13"/>
      <c r="B53" s="13"/>
      <c r="C53" s="52"/>
      <c r="E53" s="13"/>
      <c r="H53" s="74"/>
      <c r="M53" s="32"/>
    </row>
    <row r="54" spans="1:13" s="17" customFormat="1" x14ac:dyDescent="0.2">
      <c r="A54" s="13"/>
      <c r="B54" s="13"/>
      <c r="C54" s="52"/>
      <c r="E54" s="13"/>
      <c r="H54" s="74"/>
      <c r="M54" s="32"/>
    </row>
    <row r="55" spans="1:13" s="17" customFormat="1" x14ac:dyDescent="0.2">
      <c r="A55" s="13"/>
      <c r="B55" s="13"/>
      <c r="C55" s="52"/>
      <c r="E55" s="13"/>
      <c r="H55" s="74"/>
      <c r="M55" s="32"/>
    </row>
    <row r="56" spans="1:13" s="17" customFormat="1" x14ac:dyDescent="0.2">
      <c r="A56" s="13"/>
      <c r="B56" s="13"/>
      <c r="C56" s="52"/>
      <c r="E56" s="13"/>
      <c r="H56" s="74"/>
      <c r="M56" s="32"/>
    </row>
    <row r="57" spans="1:13" s="17" customFormat="1" x14ac:dyDescent="0.2">
      <c r="A57" s="13"/>
      <c r="B57" s="13"/>
      <c r="C57" s="52"/>
      <c r="E57" s="13"/>
      <c r="H57" s="74"/>
      <c r="M57" s="32"/>
    </row>
    <row r="58" spans="1:13" s="17" customFormat="1" x14ac:dyDescent="0.2">
      <c r="A58" s="13"/>
      <c r="B58" s="13"/>
      <c r="C58" s="52"/>
      <c r="H58" s="74"/>
      <c r="M58" s="32"/>
    </row>
    <row r="59" spans="1:13" s="17" customFormat="1" x14ac:dyDescent="0.2">
      <c r="A59" s="13"/>
      <c r="B59" s="13"/>
      <c r="C59" s="52"/>
      <c r="H59" s="74"/>
      <c r="M59" s="32"/>
    </row>
    <row r="60" spans="1:13" s="17" customFormat="1" x14ac:dyDescent="0.2">
      <c r="A60" s="13"/>
      <c r="B60" s="13"/>
      <c r="C60" s="52"/>
      <c r="H60" s="74"/>
      <c r="M60" s="32"/>
    </row>
    <row r="61" spans="1:13" s="17" customFormat="1" x14ac:dyDescent="0.2">
      <c r="A61" s="13"/>
      <c r="B61" s="13"/>
      <c r="C61" s="52"/>
      <c r="H61" s="74"/>
      <c r="M61" s="32"/>
    </row>
  </sheetData>
  <conditionalFormatting sqref="B3:B30">
    <cfRule type="expression" dxfId="11" priority="4">
      <formula>AND($B3="x",AND(COUNTBLANK($C3)=0,$C3=0))</formula>
    </cfRule>
  </conditionalFormatting>
  <conditionalFormatting sqref="C3:C30">
    <cfRule type="expression" dxfId="10" priority="3">
      <formula>AND(COUNTBLANK($C3)=0,$C3=0)</formula>
    </cfRule>
  </conditionalFormatting>
  <conditionalFormatting sqref="E3:E30">
    <cfRule type="containsText" priority="1" stopIfTrue="1" operator="containsText" text="~*~*">
      <formula>NOT(ISERROR(SEARCH("~*~*",E3)))</formula>
    </cfRule>
    <cfRule type="containsText" dxfId="9" priority="2" operator="containsText" text="~*">
      <formula>NOT(ISERROR(SEARCH("~*",E3)))</formula>
    </cfRule>
  </conditionalFormatting>
  <dataValidations count="3">
    <dataValidation type="list" allowBlank="1" showInputMessage="1" showErrorMessage="1" sqref="N4" xr:uid="{CA272282-60CF-4117-9BAC-E5D7B0AE8E3E}">
      <formula1>Backpacks</formula1>
    </dataValidation>
    <dataValidation type="list" allowBlank="1" showInputMessage="1" showErrorMessage="1" sqref="N5" xr:uid="{CAB713C7-97B4-4CDC-BEBF-E4FCFC68F430}">
      <formula1>PackCover</formula1>
    </dataValidation>
    <dataValidation type="list" allowBlank="1" showInputMessage="1" showErrorMessage="1" sqref="N6" xr:uid="{9CE643E4-E9B9-4174-B9D6-C1B0CF71F07C}">
      <formula1>Hammocks</formula1>
    </dataValidation>
  </dataValidations>
  <hyperlinks>
    <hyperlink ref="A1" location="Menu!A1" display="Menu!A1" xr:uid="{179D4BEE-C99D-4CB6-9009-398FA7B621B2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172F0-5DA9-43D1-810F-A3192367E52C}">
  <sheetPr codeName="Sheet17"/>
  <dimension ref="A1:T52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COUNTIFS(B3:B16,"=x",C3:C16,"=0")</f>
        <v>1</v>
      </c>
      <c r="C1" s="67">
        <f>COUNTIF(C3:C16,"=0")</f>
        <v>3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37" t="s">
        <v>42</v>
      </c>
      <c r="C3" s="49" t="s">
        <v>41</v>
      </c>
      <c r="D3" s="69" t="s">
        <v>41</v>
      </c>
      <c r="E3" s="38" t="s">
        <v>89</v>
      </c>
      <c r="F3" s="12" t="s">
        <v>41</v>
      </c>
      <c r="G3" s="69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37" t="s">
        <v>42</v>
      </c>
      <c r="C4" s="49">
        <v>322</v>
      </c>
      <c r="D4" s="19">
        <f t="shared" ref="D4:D14" si="0">IF(ISBLANK(C4),"", C4/$D$24)</f>
        <v>11.358225012786821</v>
      </c>
      <c r="E4" s="21" t="s">
        <v>26</v>
      </c>
      <c r="F4" s="12">
        <f t="shared" ref="F4:F16" si="1">IF(B4="x",IF(C4=0,"",C4),"")</f>
        <v>322</v>
      </c>
      <c r="G4" s="69">
        <f t="shared" ref="G4:G16" si="2">IF(B4="x",D4,"")</f>
        <v>11.358225012786821</v>
      </c>
      <c r="H4" s="76">
        <f t="shared" ref="H4:H16" si="3">IF(C4="","",INT(D4/16))</f>
        <v>0</v>
      </c>
      <c r="I4" s="19">
        <f t="shared" ref="I4:I16" si="4">IF(D4="","",MOD(D4,16))</f>
        <v>11.358225012786821</v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37" t="s">
        <v>42</v>
      </c>
      <c r="C5" s="49">
        <v>108</v>
      </c>
      <c r="D5" s="19">
        <f t="shared" si="0"/>
        <v>3.8095909980775677</v>
      </c>
      <c r="E5" s="21" t="s">
        <v>157</v>
      </c>
      <c r="F5" s="12">
        <f t="shared" si="1"/>
        <v>108</v>
      </c>
      <c r="G5" s="69">
        <f t="shared" si="2"/>
        <v>3.8095909980775677</v>
      </c>
      <c r="H5" s="76">
        <f t="shared" si="3"/>
        <v>0</v>
      </c>
      <c r="I5" s="19">
        <f t="shared" si="4"/>
        <v>3.8095909980775677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37"/>
      <c r="C6" s="49">
        <v>36</v>
      </c>
      <c r="D6" s="19">
        <f t="shared" si="0"/>
        <v>1.269863666025856</v>
      </c>
      <c r="E6" s="21" t="s">
        <v>161</v>
      </c>
      <c r="F6" s="12" t="str">
        <f t="shared" si="1"/>
        <v/>
      </c>
      <c r="G6" s="69" t="str">
        <f t="shared" si="2"/>
        <v/>
      </c>
      <c r="H6" s="76">
        <f t="shared" si="3"/>
        <v>0</v>
      </c>
      <c r="I6" s="19">
        <f t="shared" si="4"/>
        <v>1.269863666025856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37" t="s">
        <v>42</v>
      </c>
      <c r="C7" s="49">
        <v>50</v>
      </c>
      <c r="D7" s="19">
        <f t="shared" si="0"/>
        <v>1.763699536147022</v>
      </c>
      <c r="E7" s="21" t="s">
        <v>154</v>
      </c>
      <c r="F7" s="12">
        <f t="shared" si="1"/>
        <v>50</v>
      </c>
      <c r="G7" s="69">
        <f t="shared" si="2"/>
        <v>1.763699536147022</v>
      </c>
      <c r="H7" s="76">
        <f t="shared" si="3"/>
        <v>0</v>
      </c>
      <c r="I7" s="19">
        <f t="shared" si="4"/>
        <v>1.763699536147022</v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s="17" customFormat="1" ht="15" x14ac:dyDescent="0.25">
      <c r="A8" s="13"/>
      <c r="B8" s="37" t="s">
        <v>42</v>
      </c>
      <c r="C8" s="49">
        <v>165</v>
      </c>
      <c r="D8" s="19">
        <f t="shared" si="0"/>
        <v>5.8202084692851725</v>
      </c>
      <c r="E8" s="21" t="s">
        <v>99</v>
      </c>
      <c r="F8" s="12">
        <f t="shared" si="1"/>
        <v>165</v>
      </c>
      <c r="G8" s="69">
        <f t="shared" si="2"/>
        <v>5.8202084692851725</v>
      </c>
      <c r="H8" s="76">
        <f t="shared" si="3"/>
        <v>0</v>
      </c>
      <c r="I8" s="19">
        <f t="shared" si="4"/>
        <v>5.8202084692851725</v>
      </c>
      <c r="J8" s="21"/>
      <c r="K8" s="21"/>
      <c r="L8" s="21"/>
      <c r="M8" s="45"/>
      <c r="N8" s="21"/>
    </row>
    <row r="9" spans="1:20" s="17" customFormat="1" ht="15" x14ac:dyDescent="0.25">
      <c r="A9" s="13"/>
      <c r="B9" s="37"/>
      <c r="C9" s="49">
        <v>125</v>
      </c>
      <c r="D9" s="19">
        <f t="shared" si="0"/>
        <v>4.4092488403675549</v>
      </c>
      <c r="E9" s="21" t="s">
        <v>96</v>
      </c>
      <c r="F9" s="12" t="str">
        <f t="shared" si="1"/>
        <v/>
      </c>
      <c r="G9" s="69" t="str">
        <f t="shared" si="2"/>
        <v/>
      </c>
      <c r="H9" s="76">
        <f t="shared" si="3"/>
        <v>0</v>
      </c>
      <c r="I9" s="19">
        <f t="shared" si="4"/>
        <v>4.4092488403675549</v>
      </c>
      <c r="J9" s="21"/>
      <c r="K9" s="21"/>
      <c r="L9" s="21"/>
      <c r="M9" s="45"/>
      <c r="N9" s="21"/>
    </row>
    <row r="10" spans="1:20" s="17" customFormat="1" ht="15" x14ac:dyDescent="0.25">
      <c r="A10" s="13"/>
      <c r="B10" s="37" t="s">
        <v>42</v>
      </c>
      <c r="C10" s="49">
        <v>150</v>
      </c>
      <c r="D10" s="19">
        <f t="shared" si="0"/>
        <v>5.2910986084410663</v>
      </c>
      <c r="E10" s="21" t="s">
        <v>158</v>
      </c>
      <c r="F10" s="12">
        <f t="shared" si="1"/>
        <v>150</v>
      </c>
      <c r="G10" s="69">
        <f t="shared" si="2"/>
        <v>5.2910986084410663</v>
      </c>
      <c r="H10" s="76">
        <f t="shared" si="3"/>
        <v>0</v>
      </c>
      <c r="I10" s="19">
        <f t="shared" si="4"/>
        <v>5.2910986084410663</v>
      </c>
      <c r="J10" s="21"/>
      <c r="K10" s="21"/>
      <c r="L10" s="21"/>
      <c r="M10" s="45"/>
      <c r="N10" s="21"/>
    </row>
    <row r="11" spans="1:20" s="17" customFormat="1" ht="15" x14ac:dyDescent="0.25">
      <c r="A11" s="13"/>
      <c r="B11" s="37"/>
      <c r="C11" s="49">
        <v>250</v>
      </c>
      <c r="D11" s="19">
        <f t="shared" si="0"/>
        <v>8.8184976807351099</v>
      </c>
      <c r="E11" s="21" t="s">
        <v>159</v>
      </c>
      <c r="F11" s="12" t="str">
        <f t="shared" si="1"/>
        <v/>
      </c>
      <c r="G11" s="69" t="str">
        <f t="shared" si="2"/>
        <v/>
      </c>
      <c r="H11" s="76">
        <f t="shared" si="3"/>
        <v>0</v>
      </c>
      <c r="I11" s="19">
        <f t="shared" si="4"/>
        <v>8.8184976807351099</v>
      </c>
      <c r="J11" s="21"/>
      <c r="K11" s="21"/>
      <c r="L11" s="21"/>
      <c r="M11" s="45"/>
      <c r="N11" s="21"/>
    </row>
    <row r="12" spans="1:20" s="17" customFormat="1" ht="15" x14ac:dyDescent="0.25">
      <c r="A12" s="13"/>
      <c r="B12" s="37" t="s">
        <v>42</v>
      </c>
      <c r="C12" s="49">
        <v>76</v>
      </c>
      <c r="D12" s="19">
        <f t="shared" si="0"/>
        <v>2.6808232949434734</v>
      </c>
      <c r="E12" s="21" t="s">
        <v>6</v>
      </c>
      <c r="F12" s="12">
        <f t="shared" si="1"/>
        <v>76</v>
      </c>
      <c r="G12" s="69">
        <f t="shared" si="2"/>
        <v>2.6808232949434734</v>
      </c>
      <c r="H12" s="76">
        <f t="shared" si="3"/>
        <v>0</v>
      </c>
      <c r="I12" s="19">
        <f t="shared" si="4"/>
        <v>2.6808232949434734</v>
      </c>
      <c r="J12" s="21"/>
      <c r="K12" s="21"/>
      <c r="L12" s="21"/>
      <c r="M12" s="45"/>
      <c r="N12" s="21"/>
    </row>
    <row r="13" spans="1:20" s="17" customFormat="1" ht="15" x14ac:dyDescent="0.25">
      <c r="A13" s="13"/>
      <c r="B13" s="37" t="s">
        <v>42</v>
      </c>
      <c r="C13" s="49">
        <v>135</v>
      </c>
      <c r="D13" s="19">
        <f t="shared" si="0"/>
        <v>4.7619887475969591</v>
      </c>
      <c r="E13" s="21" t="s">
        <v>18</v>
      </c>
      <c r="F13" s="12">
        <f t="shared" si="1"/>
        <v>135</v>
      </c>
      <c r="G13" s="69">
        <f t="shared" si="2"/>
        <v>4.7619887475969591</v>
      </c>
      <c r="H13" s="76">
        <f t="shared" si="3"/>
        <v>0</v>
      </c>
      <c r="I13" s="19">
        <f t="shared" si="4"/>
        <v>4.7619887475969591</v>
      </c>
      <c r="J13" s="21"/>
      <c r="K13" s="21"/>
      <c r="L13" s="21"/>
      <c r="M13" s="45"/>
      <c r="N13" s="21"/>
    </row>
    <row r="14" spans="1:20" s="17" customFormat="1" ht="15" x14ac:dyDescent="0.25">
      <c r="A14" s="13"/>
      <c r="B14" s="37" t="s">
        <v>42</v>
      </c>
      <c r="C14" s="49">
        <v>0</v>
      </c>
      <c r="D14" s="19">
        <f t="shared" si="0"/>
        <v>0</v>
      </c>
      <c r="E14" s="21" t="s">
        <v>156</v>
      </c>
      <c r="F14" s="12" t="str">
        <f t="shared" si="1"/>
        <v/>
      </c>
      <c r="G14" s="69">
        <f t="shared" si="2"/>
        <v>0</v>
      </c>
      <c r="H14" s="76">
        <f t="shared" si="3"/>
        <v>0</v>
      </c>
      <c r="I14" s="19">
        <f t="shared" si="4"/>
        <v>0</v>
      </c>
      <c r="J14" s="21"/>
      <c r="K14" s="21"/>
      <c r="L14" s="21"/>
      <c r="M14" s="45"/>
      <c r="N14" s="21"/>
    </row>
    <row r="15" spans="1:20" s="17" customFormat="1" ht="15" x14ac:dyDescent="0.25">
      <c r="A15" s="13"/>
      <c r="B15" s="37"/>
      <c r="C15" s="49">
        <v>0</v>
      </c>
      <c r="D15" s="19"/>
      <c r="E15" s="21" t="s">
        <v>182</v>
      </c>
      <c r="F15" s="12"/>
      <c r="G15" s="69"/>
      <c r="H15" s="76">
        <f t="shared" si="3"/>
        <v>0</v>
      </c>
      <c r="I15" s="19" t="str">
        <f t="shared" si="4"/>
        <v/>
      </c>
      <c r="J15" s="21"/>
      <c r="K15" s="21"/>
      <c r="L15" s="21"/>
      <c r="M15" s="45"/>
      <c r="N15" s="21"/>
    </row>
    <row r="16" spans="1:20" s="17" customFormat="1" ht="15" x14ac:dyDescent="0.25">
      <c r="A16" s="13"/>
      <c r="B16" s="21"/>
      <c r="C16" s="49">
        <v>0</v>
      </c>
      <c r="D16" s="19">
        <f>IF(ISBLANK(C16),"", C16/$D$24)</f>
        <v>0</v>
      </c>
      <c r="E16" s="21" t="s">
        <v>160</v>
      </c>
      <c r="F16" s="12" t="str">
        <f t="shared" si="1"/>
        <v/>
      </c>
      <c r="G16" s="69" t="str">
        <f t="shared" si="2"/>
        <v/>
      </c>
      <c r="H16" s="76">
        <f t="shared" si="3"/>
        <v>0</v>
      </c>
      <c r="I16" s="19">
        <f t="shared" si="4"/>
        <v>0</v>
      </c>
      <c r="J16" s="21"/>
      <c r="K16" s="21"/>
      <c r="L16" s="21"/>
      <c r="M16" s="45"/>
      <c r="N16" s="21"/>
    </row>
    <row r="17" spans="1:14" s="17" customFormat="1" ht="15" x14ac:dyDescent="0.25">
      <c r="A17" s="13"/>
      <c r="B17" s="21"/>
      <c r="C17" s="49"/>
      <c r="D17" s="19" t="str">
        <f t="shared" ref="D17:D20" si="5">IF(ISBLANK(C17),"", C17/$D$24)</f>
        <v/>
      </c>
      <c r="E17" s="21"/>
      <c r="F17" s="12" t="str">
        <f t="shared" ref="F17:F20" si="6">IF(B17="x",IF(C17=0,"",C17),"")</f>
        <v/>
      </c>
      <c r="G17" s="69" t="str">
        <f t="shared" ref="G17:G20" si="7">IF(B17="x",D17,"")</f>
        <v/>
      </c>
      <c r="H17" s="76" t="str">
        <f t="shared" ref="H17:H20" si="8">IF(C17="","",INT(D17/16))</f>
        <v/>
      </c>
      <c r="I17" s="19" t="str">
        <f t="shared" ref="I17:I20" si="9">IF(D17="","",MOD(D17,16))</f>
        <v/>
      </c>
      <c r="J17" s="21"/>
      <c r="K17" s="21"/>
      <c r="L17" s="21"/>
      <c r="M17" s="45"/>
      <c r="N17" s="21"/>
    </row>
    <row r="18" spans="1:14" s="17" customFormat="1" ht="15" x14ac:dyDescent="0.25">
      <c r="A18" s="13"/>
      <c r="B18" s="21"/>
      <c r="C18" s="49"/>
      <c r="D18" s="19" t="str">
        <f t="shared" si="5"/>
        <v/>
      </c>
      <c r="E18" s="21"/>
      <c r="F18" s="12" t="str">
        <f t="shared" si="6"/>
        <v/>
      </c>
      <c r="G18" s="69" t="str">
        <f t="shared" si="7"/>
        <v/>
      </c>
      <c r="H18" s="76" t="str">
        <f t="shared" si="8"/>
        <v/>
      </c>
      <c r="I18" s="19" t="str">
        <f t="shared" si="9"/>
        <v/>
      </c>
      <c r="J18" s="21"/>
      <c r="K18" s="21"/>
      <c r="L18" s="21"/>
      <c r="M18" s="45"/>
      <c r="N18" s="21"/>
    </row>
    <row r="19" spans="1:14" s="17" customFormat="1" ht="15" x14ac:dyDescent="0.25">
      <c r="A19" s="13"/>
      <c r="B19" s="21"/>
      <c r="C19" s="49"/>
      <c r="D19" s="19" t="str">
        <f t="shared" si="5"/>
        <v/>
      </c>
      <c r="E19" s="21"/>
      <c r="F19" s="12" t="str">
        <f t="shared" si="6"/>
        <v/>
      </c>
      <c r="G19" s="69" t="str">
        <f t="shared" si="7"/>
        <v/>
      </c>
      <c r="H19" s="76" t="str">
        <f t="shared" si="8"/>
        <v/>
      </c>
      <c r="I19" s="19" t="str">
        <f t="shared" si="9"/>
        <v/>
      </c>
      <c r="J19" s="21"/>
      <c r="K19" s="21"/>
      <c r="L19" s="21"/>
      <c r="M19" s="45"/>
      <c r="N19" s="21"/>
    </row>
    <row r="20" spans="1:14" s="17" customFormat="1" ht="15" x14ac:dyDescent="0.25">
      <c r="A20" s="13"/>
      <c r="B20" s="21"/>
      <c r="C20" s="49"/>
      <c r="D20" s="19" t="str">
        <f t="shared" si="5"/>
        <v/>
      </c>
      <c r="E20" s="21"/>
      <c r="F20" s="12" t="str">
        <f t="shared" si="6"/>
        <v/>
      </c>
      <c r="G20" s="69" t="str">
        <f t="shared" si="7"/>
        <v/>
      </c>
      <c r="H20" s="76" t="str">
        <f t="shared" si="8"/>
        <v/>
      </c>
      <c r="I20" s="19" t="str">
        <f t="shared" si="9"/>
        <v/>
      </c>
      <c r="J20" s="21"/>
      <c r="K20" s="21"/>
      <c r="L20" s="21"/>
      <c r="M20" s="45"/>
      <c r="N20" s="21"/>
    </row>
    <row r="21" spans="1:14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K21" s="21"/>
      <c r="L21" s="21"/>
      <c r="M21" s="45"/>
      <c r="N21" s="21"/>
    </row>
    <row r="22" spans="1:14" s="17" customFormat="1" ht="16.5" thickTop="1" thickBot="1" x14ac:dyDescent="0.3">
      <c r="A22" s="13"/>
      <c r="B22" s="16"/>
      <c r="C22" s="66">
        <f>SUM(F4:F16)</f>
        <v>1006</v>
      </c>
      <c r="D22" s="33">
        <f>IF(ISBLANK(C22),"", C22/$D$24)</f>
        <v>35.485634667278084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K22" s="21"/>
      <c r="L22" s="21"/>
      <c r="M22" s="45"/>
      <c r="N22" s="21"/>
    </row>
    <row r="23" spans="1:14" s="17" customFormat="1" ht="16.5" thickTop="1" thickBot="1" x14ac:dyDescent="0.3">
      <c r="A23" s="13"/>
      <c r="B23" s="16"/>
      <c r="C23" s="65"/>
      <c r="D23" s="7">
        <f>C22</f>
        <v>1006</v>
      </c>
      <c r="E23" s="30" t="s">
        <v>27</v>
      </c>
      <c r="F23" s="5">
        <f>TRUNC(D23/D24/16)</f>
        <v>2</v>
      </c>
      <c r="G23" s="24">
        <f>(D23/D24/16-TRUNC(D23/D24/16))*16</f>
        <v>3.4856346672780845</v>
      </c>
      <c r="H23" s="21"/>
      <c r="I23" s="21"/>
      <c r="J23" s="45"/>
      <c r="K23" s="21"/>
    </row>
    <row r="24" spans="1:14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F24" s="21"/>
      <c r="G24" s="21"/>
      <c r="H24" s="45"/>
      <c r="I24" s="21"/>
    </row>
    <row r="25" spans="1:14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F25" s="21"/>
      <c r="G25" s="21"/>
      <c r="H25" s="45"/>
      <c r="I25" s="21"/>
    </row>
    <row r="26" spans="1:14" s="17" customFormat="1" ht="15" x14ac:dyDescent="0.25">
      <c r="A26" s="13"/>
      <c r="B26" s="16"/>
      <c r="C26" s="65"/>
      <c r="D26" s="18"/>
      <c r="E26" s="1" t="s">
        <v>36</v>
      </c>
      <c r="H26" s="32"/>
    </row>
    <row r="27" spans="1:14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14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  <c r="J28" s="18"/>
      <c r="M28" s="32"/>
    </row>
    <row r="29" spans="1:14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  <c r="J29" s="18"/>
      <c r="M29" s="32"/>
    </row>
    <row r="30" spans="1:14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  <c r="J30" s="18"/>
      <c r="M30" s="32"/>
    </row>
    <row r="31" spans="1:14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14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x14ac:dyDescent="0.2">
      <c r="E37" s="13"/>
    </row>
    <row r="38" spans="1:13" x14ac:dyDescent="0.2">
      <c r="E38" s="13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</sheetData>
  <conditionalFormatting sqref="B3:B20">
    <cfRule type="expression" dxfId="8" priority="4">
      <formula>AND($B3="x",AND(COUNTBLANK($C3)=0,$C3=0))</formula>
    </cfRule>
  </conditionalFormatting>
  <conditionalFormatting sqref="C3:C20">
    <cfRule type="expression" dxfId="7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6" priority="2" operator="containsText" text="~*">
      <formula>NOT(ISERROR(SEARCH("~*",E3)))</formula>
    </cfRule>
  </conditionalFormatting>
  <dataValidations count="4">
    <dataValidation type="list" allowBlank="1" showInputMessage="1" showErrorMessage="1" sqref="N7" xr:uid="{00B6A90C-CA68-4B18-82E3-6C9A18731130}">
      <formula1>AirMatresses</formula1>
    </dataValidation>
    <dataValidation type="list" allowBlank="1" showInputMessage="1" showErrorMessage="1" sqref="N6" xr:uid="{C38A04A8-EF2A-4172-9D72-FAC6BC9F89D9}">
      <formula1>Hammocks</formula1>
    </dataValidation>
    <dataValidation type="list" allowBlank="1" showInputMessage="1" showErrorMessage="1" sqref="N5" xr:uid="{12EFDA42-4EFE-48B3-B418-E798E34373CC}">
      <formula1>PackCover</formula1>
    </dataValidation>
    <dataValidation type="list" allowBlank="1" showInputMessage="1" showErrorMessage="1" sqref="N4" xr:uid="{7BD23219-589F-42DF-9E15-FE460F24AB6A}">
      <formula1>Backpacks</formula1>
    </dataValidation>
  </dataValidations>
  <hyperlinks>
    <hyperlink ref="A1" location="Menu!A1" display="Menu!A1" xr:uid="{BEA83886-29AB-4C31-84B5-23105D64C7B0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E13B3-600B-4DB9-B68F-EF255626FBEB}">
  <sheetPr codeName="Sheet18"/>
  <dimension ref="A1:T52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270</v>
      </c>
      <c r="B1" s="67">
        <f>COUNTIFS(B3:B10,"=x",C3:C10,"=0")</f>
        <v>0</v>
      </c>
      <c r="C1" s="67">
        <f>COUNTIF(C3:C10,"=0")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 t="s">
        <v>41</v>
      </c>
      <c r="D3" s="69" t="s">
        <v>41</v>
      </c>
      <c r="E3" s="38" t="s">
        <v>91</v>
      </c>
      <c r="F3" s="12" t="s">
        <v>41</v>
      </c>
      <c r="G3" s="12" t="s">
        <v>41</v>
      </c>
      <c r="H3" s="77" t="s">
        <v>41</v>
      </c>
      <c r="I3" s="69" t="s">
        <v>41</v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/>
      <c r="D4" s="19" t="str">
        <f>IF(ISBLANK(C4),"", C4/$D$24)</f>
        <v/>
      </c>
      <c r="E4" s="21" t="s">
        <v>143</v>
      </c>
      <c r="F4" s="12" t="str">
        <f t="shared" ref="F4:F10" si="0">IF(B4="x",IF(C4=0,"",C4),"")</f>
        <v/>
      </c>
      <c r="G4" s="12" t="str">
        <f t="shared" ref="G4:G10" si="1">IF(B4="x",D4,"")</f>
        <v/>
      </c>
      <c r="H4" s="76" t="str">
        <f t="shared" ref="H4:H10" si="2">IF(C4="","",INT(D4/16))</f>
        <v/>
      </c>
      <c r="I4" s="19" t="str">
        <f t="shared" ref="I4:I10" si="3">IF(D4="","",MOD(D4,16))</f>
        <v/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>
        <v>4000</v>
      </c>
      <c r="D5" s="19">
        <f>IF(ISBLANK(C5),"", C5/$D$24)</f>
        <v>141.09596289176176</v>
      </c>
      <c r="E5" s="21" t="s">
        <v>48</v>
      </c>
      <c r="F5" s="12">
        <f t="shared" si="0"/>
        <v>4000</v>
      </c>
      <c r="G5" s="12">
        <f t="shared" si="1"/>
        <v>141.09596289176176</v>
      </c>
      <c r="H5" s="76">
        <f t="shared" si="2"/>
        <v>8</v>
      </c>
      <c r="I5" s="19">
        <f t="shared" si="3"/>
        <v>13.095962891761758</v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>
        <v>1814</v>
      </c>
      <c r="D6" s="19">
        <f>IF(ISBLANK(C6),"", C6/$D$24)</f>
        <v>63.987019171413962</v>
      </c>
      <c r="E6" s="21" t="s">
        <v>144</v>
      </c>
      <c r="F6" s="12">
        <f t="shared" si="0"/>
        <v>1814</v>
      </c>
      <c r="G6" s="12">
        <f t="shared" si="1"/>
        <v>63.987019171413962</v>
      </c>
      <c r="H6" s="76">
        <f t="shared" si="2"/>
        <v>3</v>
      </c>
      <c r="I6" s="19">
        <f t="shared" si="3"/>
        <v>15.987019171413962</v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ht="15" x14ac:dyDescent="0.25">
      <c r="B7" s="16"/>
      <c r="C7" s="49"/>
      <c r="D7" s="19" t="str">
        <f>IF(ISBLANK(C7),"", C7/$D$24)</f>
        <v/>
      </c>
      <c r="E7" s="21" t="s">
        <v>47</v>
      </c>
      <c r="F7" s="12" t="str">
        <f t="shared" si="0"/>
        <v/>
      </c>
      <c r="G7" s="12" t="str">
        <f t="shared" si="1"/>
        <v/>
      </c>
      <c r="H7" s="76" t="str">
        <f t="shared" si="2"/>
        <v/>
      </c>
      <c r="I7" s="19" t="str">
        <f t="shared" si="3"/>
        <v/>
      </c>
      <c r="J7" s="88"/>
      <c r="K7" s="18"/>
      <c r="L7" s="18"/>
      <c r="M7" s="19"/>
      <c r="N7" s="21"/>
      <c r="O7" s="21"/>
      <c r="P7" s="21"/>
      <c r="Q7" s="21"/>
      <c r="R7" s="21"/>
      <c r="S7" s="21"/>
      <c r="T7" s="21"/>
    </row>
    <row r="8" spans="1:20" s="17" customFormat="1" ht="15" x14ac:dyDescent="0.25">
      <c r="A8" s="13"/>
      <c r="B8" s="16"/>
      <c r="C8" s="49"/>
      <c r="D8" s="19"/>
      <c r="E8" s="36" t="s">
        <v>185</v>
      </c>
      <c r="F8" s="12"/>
      <c r="G8" s="12"/>
      <c r="H8" s="76" t="str">
        <f t="shared" si="2"/>
        <v/>
      </c>
      <c r="I8" s="19" t="str">
        <f t="shared" si="3"/>
        <v/>
      </c>
      <c r="J8" s="21"/>
      <c r="M8" s="32"/>
    </row>
    <row r="9" spans="1:20" s="17" customFormat="1" ht="15" x14ac:dyDescent="0.25">
      <c r="A9" s="13"/>
      <c r="B9" s="16"/>
      <c r="C9" s="49"/>
      <c r="D9" s="19" t="str">
        <f>IF(ISBLANK(C9),"", C9/$D$24)</f>
        <v/>
      </c>
      <c r="E9" s="36" t="s">
        <v>49</v>
      </c>
      <c r="F9" s="12" t="str">
        <f t="shared" si="0"/>
        <v/>
      </c>
      <c r="G9" s="12" t="str">
        <f t="shared" si="1"/>
        <v/>
      </c>
      <c r="H9" s="76" t="str">
        <f t="shared" si="2"/>
        <v/>
      </c>
      <c r="I9" s="19" t="str">
        <f t="shared" si="3"/>
        <v/>
      </c>
      <c r="J9" s="21"/>
      <c r="M9" s="32"/>
    </row>
    <row r="10" spans="1:20" s="17" customFormat="1" ht="15" x14ac:dyDescent="0.25">
      <c r="A10" s="13"/>
      <c r="B10" s="16"/>
      <c r="C10" s="49"/>
      <c r="D10" s="19" t="str">
        <f>IF(ISBLANK(C10),"", C10/$D$24)</f>
        <v/>
      </c>
      <c r="E10" s="36" t="s">
        <v>50</v>
      </c>
      <c r="F10" s="12" t="str">
        <f t="shared" si="0"/>
        <v/>
      </c>
      <c r="G10" s="12" t="str">
        <f t="shared" si="1"/>
        <v/>
      </c>
      <c r="H10" s="76" t="str">
        <f t="shared" si="2"/>
        <v/>
      </c>
      <c r="I10" s="19" t="str">
        <f t="shared" si="3"/>
        <v/>
      </c>
      <c r="J10" s="21"/>
      <c r="M10" s="32"/>
    </row>
    <row r="11" spans="1:20" s="17" customFormat="1" ht="15" x14ac:dyDescent="0.25">
      <c r="A11" s="13"/>
      <c r="B11" s="16"/>
      <c r="C11" s="49"/>
      <c r="D11" s="19" t="str">
        <f t="shared" ref="D11:D20" si="4">IF(ISBLANK(C11),"", C11/$D$24)</f>
        <v/>
      </c>
      <c r="E11" s="36"/>
      <c r="F11" s="12" t="str">
        <f t="shared" ref="F11:F20" si="5">IF(B11="x",IF(C11=0,"",C11),"")</f>
        <v/>
      </c>
      <c r="G11" s="12" t="str">
        <f t="shared" ref="G11:G20" si="6">IF(B11="x",D11,"")</f>
        <v/>
      </c>
      <c r="H11" s="76" t="str">
        <f t="shared" ref="H11:H20" si="7">IF(C11="","",INT(D11/16))</f>
        <v/>
      </c>
      <c r="I11" s="19" t="str">
        <f t="shared" ref="I11:I20" si="8">IF(D11="","",MOD(D11,16))</f>
        <v/>
      </c>
      <c r="J11" s="21"/>
      <c r="M11" s="32"/>
    </row>
    <row r="12" spans="1:20" s="17" customFormat="1" ht="15" x14ac:dyDescent="0.25">
      <c r="A12" s="13"/>
      <c r="B12" s="16"/>
      <c r="C12" s="49"/>
      <c r="D12" s="19" t="str">
        <f t="shared" si="4"/>
        <v/>
      </c>
      <c r="E12" s="36"/>
      <c r="F12" s="12" t="str">
        <f t="shared" si="5"/>
        <v/>
      </c>
      <c r="G12" s="12" t="str">
        <f t="shared" si="6"/>
        <v/>
      </c>
      <c r="H12" s="76" t="str">
        <f t="shared" si="7"/>
        <v/>
      </c>
      <c r="I12" s="19" t="str">
        <f t="shared" si="8"/>
        <v/>
      </c>
      <c r="J12" s="21"/>
      <c r="M12" s="32"/>
    </row>
    <row r="13" spans="1:20" s="17" customFormat="1" ht="15" x14ac:dyDescent="0.25">
      <c r="A13" s="13"/>
      <c r="B13" s="16"/>
      <c r="C13" s="49"/>
      <c r="D13" s="19" t="str">
        <f t="shared" si="4"/>
        <v/>
      </c>
      <c r="E13" s="36"/>
      <c r="F13" s="12" t="str">
        <f t="shared" si="5"/>
        <v/>
      </c>
      <c r="G13" s="12" t="str">
        <f t="shared" si="6"/>
        <v/>
      </c>
      <c r="H13" s="76" t="str">
        <f t="shared" si="7"/>
        <v/>
      </c>
      <c r="I13" s="19" t="str">
        <f t="shared" si="8"/>
        <v/>
      </c>
      <c r="J13" s="21"/>
      <c r="M13" s="32"/>
    </row>
    <row r="14" spans="1:20" s="17" customFormat="1" ht="15" x14ac:dyDescent="0.25">
      <c r="A14" s="13"/>
      <c r="B14" s="16"/>
      <c r="C14" s="49"/>
      <c r="D14" s="19" t="str">
        <f t="shared" si="4"/>
        <v/>
      </c>
      <c r="E14" s="36"/>
      <c r="F14" s="12" t="str">
        <f t="shared" si="5"/>
        <v/>
      </c>
      <c r="G14" s="12" t="str">
        <f t="shared" si="6"/>
        <v/>
      </c>
      <c r="H14" s="76" t="str">
        <f t="shared" si="7"/>
        <v/>
      </c>
      <c r="I14" s="19" t="str">
        <f t="shared" si="8"/>
        <v/>
      </c>
      <c r="J14" s="21"/>
      <c r="M14" s="32"/>
    </row>
    <row r="15" spans="1:20" s="17" customFormat="1" ht="15" x14ac:dyDescent="0.25">
      <c r="A15" s="13"/>
      <c r="B15" s="16"/>
      <c r="C15" s="49"/>
      <c r="D15" s="19" t="str">
        <f t="shared" si="4"/>
        <v/>
      </c>
      <c r="E15" s="36"/>
      <c r="F15" s="12" t="str">
        <f t="shared" si="5"/>
        <v/>
      </c>
      <c r="G15" s="12" t="str">
        <f t="shared" si="6"/>
        <v/>
      </c>
      <c r="H15" s="76" t="str">
        <f t="shared" si="7"/>
        <v/>
      </c>
      <c r="I15" s="19" t="str">
        <f t="shared" si="8"/>
        <v/>
      </c>
      <c r="J15" s="21"/>
      <c r="M15" s="32"/>
    </row>
    <row r="16" spans="1:20" s="17" customFormat="1" ht="15" x14ac:dyDescent="0.25">
      <c r="A16" s="13"/>
      <c r="B16" s="16"/>
      <c r="C16" s="49"/>
      <c r="D16" s="19" t="str">
        <f t="shared" si="4"/>
        <v/>
      </c>
      <c r="E16" s="36"/>
      <c r="F16" s="12" t="str">
        <f t="shared" si="5"/>
        <v/>
      </c>
      <c r="G16" s="12" t="str">
        <f t="shared" si="6"/>
        <v/>
      </c>
      <c r="H16" s="76" t="str">
        <f t="shared" si="7"/>
        <v/>
      </c>
      <c r="I16" s="19" t="str">
        <f t="shared" si="8"/>
        <v/>
      </c>
      <c r="J16" s="21"/>
      <c r="M16" s="32"/>
    </row>
    <row r="17" spans="1:13" s="17" customFormat="1" ht="15" x14ac:dyDescent="0.25">
      <c r="A17" s="13"/>
      <c r="B17" s="16"/>
      <c r="C17" s="49"/>
      <c r="D17" s="19" t="str">
        <f t="shared" si="4"/>
        <v/>
      </c>
      <c r="E17" s="36"/>
      <c r="F17" s="12" t="str">
        <f t="shared" si="5"/>
        <v/>
      </c>
      <c r="G17" s="12" t="str">
        <f t="shared" si="6"/>
        <v/>
      </c>
      <c r="H17" s="76" t="str">
        <f t="shared" si="7"/>
        <v/>
      </c>
      <c r="I17" s="19" t="str">
        <f t="shared" si="8"/>
        <v/>
      </c>
      <c r="J17" s="21"/>
      <c r="M17" s="32"/>
    </row>
    <row r="18" spans="1:13" s="17" customFormat="1" ht="15" x14ac:dyDescent="0.25">
      <c r="A18" s="13"/>
      <c r="B18" s="16"/>
      <c r="C18" s="49"/>
      <c r="D18" s="19" t="str">
        <f t="shared" si="4"/>
        <v/>
      </c>
      <c r="E18" s="36"/>
      <c r="F18" s="12" t="str">
        <f t="shared" si="5"/>
        <v/>
      </c>
      <c r="G18" s="12" t="str">
        <f t="shared" si="6"/>
        <v/>
      </c>
      <c r="H18" s="76" t="str">
        <f t="shared" si="7"/>
        <v/>
      </c>
      <c r="I18" s="19" t="str">
        <f t="shared" si="8"/>
        <v/>
      </c>
      <c r="J18" s="21"/>
      <c r="M18" s="32"/>
    </row>
    <row r="19" spans="1:13" s="17" customFormat="1" ht="15" x14ac:dyDescent="0.25">
      <c r="A19" s="13"/>
      <c r="B19" s="16"/>
      <c r="C19" s="49"/>
      <c r="D19" s="19" t="str">
        <f t="shared" si="4"/>
        <v/>
      </c>
      <c r="E19" s="36"/>
      <c r="F19" s="12" t="str">
        <f t="shared" si="5"/>
        <v/>
      </c>
      <c r="G19" s="12" t="str">
        <f t="shared" si="6"/>
        <v/>
      </c>
      <c r="H19" s="76" t="str">
        <f t="shared" si="7"/>
        <v/>
      </c>
      <c r="I19" s="19" t="str">
        <f t="shared" si="8"/>
        <v/>
      </c>
      <c r="J19" s="21"/>
      <c r="M19" s="32"/>
    </row>
    <row r="20" spans="1:13" s="17" customFormat="1" ht="15" x14ac:dyDescent="0.25">
      <c r="A20" s="13"/>
      <c r="B20" s="16"/>
      <c r="C20" s="49"/>
      <c r="D20" s="19" t="str">
        <f t="shared" si="4"/>
        <v/>
      </c>
      <c r="E20" s="36"/>
      <c r="F20" s="12" t="str">
        <f t="shared" si="5"/>
        <v/>
      </c>
      <c r="G20" s="12" t="str">
        <f t="shared" si="6"/>
        <v/>
      </c>
      <c r="H20" s="76" t="str">
        <f t="shared" si="7"/>
        <v/>
      </c>
      <c r="I20" s="19" t="str">
        <f t="shared" si="8"/>
        <v/>
      </c>
      <c r="J20" s="21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SUM(F4:F10)</f>
        <v>5814</v>
      </c>
      <c r="D22" s="33">
        <f>IF(ISBLANK(C22),"", C22/$D$24)</f>
        <v>205.08298206317573</v>
      </c>
      <c r="E22" s="58" t="s">
        <v>166</v>
      </c>
      <c r="F22" s="56" t="s">
        <v>165</v>
      </c>
      <c r="G22" s="57" t="s">
        <v>1</v>
      </c>
      <c r="H22" s="79"/>
      <c r="I22" s="57"/>
      <c r="J22" s="29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5814</v>
      </c>
      <c r="E23" s="30" t="s">
        <v>27</v>
      </c>
      <c r="F23" s="5">
        <f>TRUNC(D23/D24/16)</f>
        <v>12</v>
      </c>
      <c r="G23" s="24">
        <f>(D23/D24/16-TRUNC(D23/D24/16))*16</f>
        <v>13.082982063175734</v>
      </c>
      <c r="J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F24" s="18"/>
      <c r="G24" s="18"/>
      <c r="H24" s="76"/>
      <c r="I24" s="18"/>
      <c r="J24" s="18"/>
      <c r="M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G25" s="18"/>
      <c r="H25" s="76"/>
      <c r="I25" s="18"/>
      <c r="J25" s="18"/>
      <c r="M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F26" s="18"/>
      <c r="G26" s="18"/>
      <c r="H26" s="76"/>
      <c r="I26" s="18"/>
      <c r="J26" s="18"/>
      <c r="M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18"/>
      <c r="M27" s="32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F28" s="18"/>
      <c r="G28" s="18"/>
      <c r="H28" s="76"/>
      <c r="I28" s="18"/>
      <c r="J28" s="18"/>
      <c r="M28" s="32"/>
    </row>
    <row r="29" spans="1:13" s="17" customFormat="1" ht="15" x14ac:dyDescent="0.25">
      <c r="A29" s="13"/>
      <c r="B29" s="13"/>
      <c r="C29" s="65"/>
      <c r="D29" s="18"/>
      <c r="E29" s="18"/>
      <c r="H29" s="74"/>
      <c r="M29" s="32"/>
    </row>
    <row r="30" spans="1:13" s="17" customFormat="1" ht="15" x14ac:dyDescent="0.25">
      <c r="A30" s="13"/>
      <c r="B30" s="13"/>
      <c r="C30" s="65"/>
      <c r="D30" s="18"/>
      <c r="E30" s="18"/>
      <c r="H30" s="74"/>
      <c r="M30" s="32"/>
    </row>
    <row r="31" spans="1:13" s="17" customFormat="1" ht="15" x14ac:dyDescent="0.25">
      <c r="A31" s="13"/>
      <c r="B31" s="13"/>
      <c r="C31" s="65"/>
      <c r="D31" s="18"/>
      <c r="E31" s="18"/>
      <c r="H31" s="74"/>
      <c r="M31" s="32"/>
    </row>
    <row r="32" spans="1:13" s="17" customFormat="1" x14ac:dyDescent="0.2">
      <c r="A32" s="13"/>
      <c r="B32" s="13"/>
      <c r="C32" s="52"/>
      <c r="H32" s="74"/>
      <c r="M32" s="32"/>
    </row>
    <row r="33" spans="1:13" s="17" customFormat="1" x14ac:dyDescent="0.2">
      <c r="A33" s="13"/>
      <c r="B33" s="13"/>
      <c r="C33" s="52"/>
      <c r="H33" s="74"/>
      <c r="M33" s="32"/>
    </row>
    <row r="34" spans="1:13" s="17" customFormat="1" x14ac:dyDescent="0.2">
      <c r="A34" s="13"/>
      <c r="B34" s="13"/>
      <c r="C34" s="52"/>
      <c r="E34" s="13"/>
      <c r="H34" s="74"/>
      <c r="M34" s="32"/>
    </row>
    <row r="35" spans="1:13" s="17" customFormat="1" x14ac:dyDescent="0.2">
      <c r="A35" s="13"/>
      <c r="B35" s="13"/>
      <c r="C35" s="52"/>
      <c r="E35" s="13"/>
      <c r="H35" s="74"/>
      <c r="M35" s="32"/>
    </row>
    <row r="36" spans="1:13" s="17" customFormat="1" x14ac:dyDescent="0.2">
      <c r="A36" s="13"/>
      <c r="B36" s="13"/>
      <c r="C36" s="52"/>
      <c r="E36" s="13"/>
      <c r="H36" s="74"/>
      <c r="M36" s="32"/>
    </row>
    <row r="37" spans="1:13" x14ac:dyDescent="0.2">
      <c r="E37" s="13"/>
    </row>
    <row r="38" spans="1:13" x14ac:dyDescent="0.2">
      <c r="E38" s="13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  <row r="52" spans="1:13" s="17" customFormat="1" x14ac:dyDescent="0.2">
      <c r="A52" s="13"/>
      <c r="B52" s="13"/>
      <c r="C52" s="52"/>
      <c r="H52" s="74"/>
      <c r="M52" s="32"/>
    </row>
  </sheetData>
  <conditionalFormatting sqref="B3:B20">
    <cfRule type="expression" dxfId="5" priority="4">
      <formula>AND($B3="x",AND(COUNTBLANK($C3)=0,$C3=0))</formula>
    </cfRule>
  </conditionalFormatting>
  <conditionalFormatting sqref="C3:C20">
    <cfRule type="expression" dxfId="4" priority="3">
      <formula>AND(COUNTBLANK($C3)=0,$C3=0)</formula>
    </cfRule>
  </conditionalFormatting>
  <conditionalFormatting sqref="E3:E20">
    <cfRule type="containsText" priority="1" stopIfTrue="1" operator="containsText" text="~*~*">
      <formula>NOT(ISERROR(SEARCH("~*~*",E3)))</formula>
    </cfRule>
    <cfRule type="containsText" dxfId="3" priority="2" operator="containsText" text="~*">
      <formula>NOT(ISERROR(SEARCH("~*",E3)))</formula>
    </cfRule>
  </conditionalFormatting>
  <dataValidations count="4">
    <dataValidation type="list" allowBlank="1" showInputMessage="1" showErrorMessage="1" sqref="N4" xr:uid="{FF1C5940-ACF1-47BF-82C0-CEE7BC1D226A}">
      <formula1>Backpacks</formula1>
    </dataValidation>
    <dataValidation type="list" allowBlank="1" showInputMessage="1" showErrorMessage="1" sqref="N5" xr:uid="{356D5D27-2991-4A72-BBC9-743676D9840B}">
      <formula1>PackCover</formula1>
    </dataValidation>
    <dataValidation type="list" allowBlank="1" showInputMessage="1" showErrorMessage="1" sqref="N6" xr:uid="{5C4145EA-72EA-4F6D-9E15-B7588549F5A7}">
      <formula1>Hammocks</formula1>
    </dataValidation>
    <dataValidation type="list" allowBlank="1" showInputMessage="1" showErrorMessage="1" sqref="N7" xr:uid="{8D6E3DB1-D571-4F22-8F20-152DAA7A924F}">
      <formula1>AirMatresses</formula1>
    </dataValidation>
  </dataValidations>
  <hyperlinks>
    <hyperlink ref="A1" location="Menu!A1" display="Menu!A1" xr:uid="{AC2584FC-8B2B-468D-954B-3D032910F148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CFCB-14D6-4EAF-8349-2B894D5A1704}">
  <sheetPr codeName="Sheet19"/>
  <dimension ref="A1:T51"/>
  <sheetViews>
    <sheetView zoomScaleNormal="100" workbookViewId="0">
      <pane ySplit="2" topLeftCell="A3" activePane="bottomLeft" state="frozen"/>
      <selection activeCell="E1" sqref="E1"/>
      <selection pane="bottomLeft"/>
    </sheetView>
  </sheetViews>
  <sheetFormatPr defaultRowHeight="12.75" x14ac:dyDescent="0.2"/>
  <cols>
    <col min="1" max="1" width="5.85546875" style="13" customWidth="1"/>
    <col min="2" max="2" width="3.42578125" style="13" customWidth="1"/>
    <col min="3" max="3" width="6" style="52" customWidth="1"/>
    <col min="4" max="4" width="9.140625" style="17" customWidth="1"/>
    <col min="5" max="5" width="31.5703125" style="17" customWidth="1"/>
    <col min="6" max="6" width="6" style="17" customWidth="1"/>
    <col min="7" max="7" width="6.5703125" style="17" bestFit="1" customWidth="1"/>
    <col min="8" max="8" width="8.42578125" style="74" customWidth="1"/>
    <col min="9" max="9" width="5.85546875" style="17" customWidth="1"/>
    <col min="10" max="10" width="32.140625" style="17" customWidth="1"/>
    <col min="11" max="11" width="4" style="17" customWidth="1"/>
    <col min="12" max="12" width="2.140625" style="17" customWidth="1"/>
    <col min="13" max="13" width="7" style="32" customWidth="1"/>
    <col min="14" max="14" width="31.85546875" style="17" customWidth="1"/>
    <col min="15" max="16" width="8.7109375" style="17" customWidth="1"/>
    <col min="17" max="17" width="13.28515625" style="17" customWidth="1"/>
    <col min="18" max="19" width="8.7109375" style="17" customWidth="1"/>
    <col min="20" max="20" width="19" style="17" customWidth="1"/>
    <col min="21" max="1024" width="8.7109375" style="13" customWidth="1"/>
    <col min="1025" max="16384" width="9.140625" style="13"/>
  </cols>
  <sheetData>
    <row r="1" spans="1:20" ht="15" x14ac:dyDescent="0.25">
      <c r="A1" s="128" t="s">
        <v>265</v>
      </c>
      <c r="B1" s="67">
        <f>COUNTIFS(B3:B19,"=x",C3:C19,"=0")</f>
        <v>0</v>
      </c>
      <c r="C1" s="67">
        <f>COUNTIF(C3:C19,"=0")</f>
        <v>0</v>
      </c>
      <c r="D1" s="21" t="s">
        <v>184</v>
      </c>
      <c r="F1" s="34" t="s">
        <v>78</v>
      </c>
    </row>
    <row r="2" spans="1:20" ht="15" x14ac:dyDescent="0.25">
      <c r="B2" s="16" t="s">
        <v>41</v>
      </c>
      <c r="C2" s="64" t="s">
        <v>52</v>
      </c>
      <c r="D2" s="22" t="s">
        <v>53</v>
      </c>
      <c r="E2" s="14" t="s">
        <v>43</v>
      </c>
      <c r="F2" s="15" t="s">
        <v>0</v>
      </c>
      <c r="G2" s="22" t="s">
        <v>1</v>
      </c>
      <c r="H2" s="75" t="s">
        <v>212</v>
      </c>
      <c r="I2" s="22" t="s">
        <v>1</v>
      </c>
      <c r="J2" s="23" t="s">
        <v>179</v>
      </c>
      <c r="K2" s="22" t="s">
        <v>110</v>
      </c>
      <c r="L2" s="22"/>
      <c r="M2" s="31"/>
      <c r="N2" s="23"/>
      <c r="O2" s="22"/>
      <c r="P2" s="22"/>
      <c r="Q2" s="23"/>
      <c r="R2" s="22"/>
      <c r="S2" s="22"/>
      <c r="T2" s="23"/>
    </row>
    <row r="3" spans="1:20" ht="15.75" x14ac:dyDescent="0.25">
      <c r="B3" s="16" t="s">
        <v>42</v>
      </c>
      <c r="C3" s="49"/>
      <c r="D3" s="19" t="str">
        <f t="shared" ref="D3:D8" si="0">IF(ISBLANK(C3),"", C3/$D$24)</f>
        <v/>
      </c>
      <c r="E3" s="38" t="s">
        <v>90</v>
      </c>
      <c r="F3" s="12" t="str">
        <f t="shared" ref="F3:F19" si="1">IF(B3="x",IF(C3=0,"",C3),"")</f>
        <v/>
      </c>
      <c r="G3" s="12" t="str">
        <f t="shared" ref="G3:G20" si="2">IF(B3="x",D3,"")</f>
        <v/>
      </c>
      <c r="H3" s="76" t="str">
        <f t="shared" ref="H3:H19" si="3">IF(C3="","",INT(D3/16))</f>
        <v/>
      </c>
      <c r="I3" s="19" t="str">
        <f t="shared" ref="I3:I19" si="4">IF(D3="","",MOD(D3,16))</f>
        <v/>
      </c>
      <c r="J3" s="154"/>
      <c r="K3" s="22"/>
      <c r="L3" s="22"/>
      <c r="M3" s="31"/>
      <c r="N3" s="23"/>
      <c r="O3" s="22"/>
      <c r="P3" s="22"/>
      <c r="Q3" s="23"/>
      <c r="R3" s="22"/>
      <c r="S3" s="22"/>
      <c r="T3" s="23"/>
    </row>
    <row r="4" spans="1:20" ht="15" x14ac:dyDescent="0.25">
      <c r="B4" s="16" t="s">
        <v>42</v>
      </c>
      <c r="C4" s="49"/>
      <c r="D4" s="19" t="str">
        <f t="shared" si="0"/>
        <v/>
      </c>
      <c r="E4" s="21" t="s">
        <v>151</v>
      </c>
      <c r="F4" s="12" t="str">
        <f t="shared" si="1"/>
        <v/>
      </c>
      <c r="G4" s="12" t="str">
        <f t="shared" si="2"/>
        <v/>
      </c>
      <c r="H4" s="76" t="str">
        <f t="shared" si="3"/>
        <v/>
      </c>
      <c r="I4" s="19" t="str">
        <f t="shared" si="4"/>
        <v/>
      </c>
      <c r="J4" s="88"/>
      <c r="K4" s="18"/>
      <c r="L4" s="18"/>
      <c r="M4" s="19"/>
      <c r="N4" s="21"/>
      <c r="O4" s="18"/>
      <c r="P4" s="19"/>
      <c r="Q4" s="21"/>
      <c r="R4" s="18"/>
      <c r="S4" s="19"/>
      <c r="T4" s="21"/>
    </row>
    <row r="5" spans="1:20" ht="15" x14ac:dyDescent="0.25">
      <c r="B5" s="16" t="s">
        <v>42</v>
      </c>
      <c r="C5" s="49"/>
      <c r="D5" s="19" t="str">
        <f t="shared" si="0"/>
        <v/>
      </c>
      <c r="E5" s="21" t="s">
        <v>145</v>
      </c>
      <c r="F5" s="12" t="str">
        <f t="shared" si="1"/>
        <v/>
      </c>
      <c r="G5" s="12" t="str">
        <f t="shared" si="2"/>
        <v/>
      </c>
      <c r="H5" s="76" t="str">
        <f t="shared" si="3"/>
        <v/>
      </c>
      <c r="I5" s="19" t="str">
        <f t="shared" si="4"/>
        <v/>
      </c>
      <c r="J5" s="88"/>
      <c r="K5" s="18"/>
      <c r="L5" s="18"/>
      <c r="M5" s="19"/>
      <c r="N5" s="21"/>
      <c r="O5" s="21"/>
      <c r="P5" s="21"/>
      <c r="Q5" s="21"/>
      <c r="R5" s="21"/>
      <c r="S5" s="21"/>
      <c r="T5" s="21"/>
    </row>
    <row r="6" spans="1:20" ht="15" x14ac:dyDescent="0.25">
      <c r="B6" s="16" t="s">
        <v>42</v>
      </c>
      <c r="C6" s="49"/>
      <c r="D6" s="19" t="str">
        <f t="shared" si="0"/>
        <v/>
      </c>
      <c r="E6" s="21" t="s">
        <v>4</v>
      </c>
      <c r="F6" s="12" t="str">
        <f t="shared" si="1"/>
        <v/>
      </c>
      <c r="G6" s="12" t="str">
        <f t="shared" si="2"/>
        <v/>
      </c>
      <c r="H6" s="76" t="str">
        <f t="shared" si="3"/>
        <v/>
      </c>
      <c r="I6" s="19" t="str">
        <f t="shared" si="4"/>
        <v/>
      </c>
      <c r="J6" s="88"/>
      <c r="K6" s="18"/>
      <c r="L6" s="18"/>
      <c r="M6" s="19"/>
      <c r="N6" s="21"/>
      <c r="O6" s="21"/>
      <c r="P6" s="21"/>
      <c r="Q6" s="21"/>
      <c r="R6" s="21"/>
      <c r="S6" s="21"/>
      <c r="T6" s="21"/>
    </row>
    <row r="7" spans="1:20" s="17" customFormat="1" ht="15" x14ac:dyDescent="0.25">
      <c r="A7" s="13"/>
      <c r="B7" s="16" t="s">
        <v>42</v>
      </c>
      <c r="C7" s="49"/>
      <c r="D7" s="19" t="str">
        <f t="shared" si="0"/>
        <v/>
      </c>
      <c r="E7" s="21" t="s">
        <v>5</v>
      </c>
      <c r="F7" s="12" t="str">
        <f t="shared" si="1"/>
        <v/>
      </c>
      <c r="G7" s="12" t="str">
        <f t="shared" si="2"/>
        <v/>
      </c>
      <c r="H7" s="76" t="str">
        <f t="shared" si="3"/>
        <v/>
      </c>
      <c r="I7" s="19" t="str">
        <f t="shared" si="4"/>
        <v/>
      </c>
      <c r="J7" s="21"/>
      <c r="M7" s="32"/>
    </row>
    <row r="8" spans="1:20" s="17" customFormat="1" ht="15" x14ac:dyDescent="0.25">
      <c r="A8" s="13"/>
      <c r="B8" s="16" t="s">
        <v>42</v>
      </c>
      <c r="C8" s="49"/>
      <c r="D8" s="19" t="str">
        <f t="shared" si="0"/>
        <v/>
      </c>
      <c r="E8" s="21" t="s">
        <v>46</v>
      </c>
      <c r="F8" s="12" t="str">
        <f t="shared" si="1"/>
        <v/>
      </c>
      <c r="G8" s="12" t="str">
        <f t="shared" si="2"/>
        <v/>
      </c>
      <c r="H8" s="76" t="str">
        <f t="shared" si="3"/>
        <v/>
      </c>
      <c r="I8" s="19" t="str">
        <f t="shared" si="4"/>
        <v/>
      </c>
      <c r="J8" s="21"/>
      <c r="M8" s="32"/>
    </row>
    <row r="9" spans="1:20" s="17" customFormat="1" ht="15" x14ac:dyDescent="0.25">
      <c r="A9" s="13"/>
      <c r="B9" s="16" t="s">
        <v>42</v>
      </c>
      <c r="C9" s="49"/>
      <c r="D9" s="19" t="str">
        <f t="shared" ref="D9:D19" si="5">IF(ISBLANK(C9),"", C9/$D$24)</f>
        <v/>
      </c>
      <c r="E9" s="21" t="s">
        <v>146</v>
      </c>
      <c r="F9" s="12" t="str">
        <f t="shared" si="1"/>
        <v/>
      </c>
      <c r="G9" s="12" t="str">
        <f t="shared" si="2"/>
        <v/>
      </c>
      <c r="H9" s="76" t="str">
        <f t="shared" si="3"/>
        <v/>
      </c>
      <c r="I9" s="19" t="str">
        <f t="shared" si="4"/>
        <v/>
      </c>
      <c r="J9" s="21"/>
      <c r="M9" s="32"/>
    </row>
    <row r="10" spans="1:20" s="17" customFormat="1" ht="15" x14ac:dyDescent="0.25">
      <c r="A10" s="13"/>
      <c r="B10" s="16" t="s">
        <v>42</v>
      </c>
      <c r="C10" s="49"/>
      <c r="D10" s="19" t="str">
        <f t="shared" si="5"/>
        <v/>
      </c>
      <c r="E10" s="21" t="s">
        <v>6</v>
      </c>
      <c r="F10" s="12" t="str">
        <f t="shared" si="1"/>
        <v/>
      </c>
      <c r="G10" s="12" t="str">
        <f t="shared" si="2"/>
        <v/>
      </c>
      <c r="H10" s="76" t="str">
        <f t="shared" si="3"/>
        <v/>
      </c>
      <c r="I10" s="19" t="str">
        <f t="shared" si="4"/>
        <v/>
      </c>
      <c r="J10" s="21"/>
      <c r="M10" s="32"/>
    </row>
    <row r="11" spans="1:20" s="17" customFormat="1" ht="15" x14ac:dyDescent="0.25">
      <c r="A11" s="13"/>
      <c r="B11" s="16" t="s">
        <v>42</v>
      </c>
      <c r="C11" s="49"/>
      <c r="D11" s="19" t="str">
        <f t="shared" si="5"/>
        <v/>
      </c>
      <c r="E11" s="21" t="s">
        <v>147</v>
      </c>
      <c r="F11" s="12" t="str">
        <f t="shared" si="1"/>
        <v/>
      </c>
      <c r="G11" s="12" t="str">
        <f t="shared" si="2"/>
        <v/>
      </c>
      <c r="H11" s="76" t="str">
        <f t="shared" si="3"/>
        <v/>
      </c>
      <c r="I11" s="19" t="str">
        <f t="shared" si="4"/>
        <v/>
      </c>
      <c r="J11" s="21"/>
      <c r="M11" s="32"/>
    </row>
    <row r="12" spans="1:20" s="17" customFormat="1" ht="15" x14ac:dyDescent="0.25">
      <c r="A12" s="13"/>
      <c r="B12" s="16" t="s">
        <v>42</v>
      </c>
      <c r="C12" s="49"/>
      <c r="D12" s="19" t="str">
        <f t="shared" si="5"/>
        <v/>
      </c>
      <c r="E12" s="21" t="s">
        <v>2</v>
      </c>
      <c r="F12" s="12" t="str">
        <f t="shared" si="1"/>
        <v/>
      </c>
      <c r="G12" s="12" t="str">
        <f t="shared" si="2"/>
        <v/>
      </c>
      <c r="H12" s="76" t="str">
        <f t="shared" si="3"/>
        <v/>
      </c>
      <c r="I12" s="19" t="str">
        <f t="shared" si="4"/>
        <v/>
      </c>
      <c r="J12" s="21"/>
      <c r="M12" s="32"/>
    </row>
    <row r="13" spans="1:20" s="17" customFormat="1" ht="15" x14ac:dyDescent="0.25">
      <c r="A13" s="13"/>
      <c r="B13" s="16" t="s">
        <v>42</v>
      </c>
      <c r="C13" s="49"/>
      <c r="D13" s="19" t="str">
        <f t="shared" si="5"/>
        <v/>
      </c>
      <c r="E13" s="21" t="s">
        <v>44</v>
      </c>
      <c r="F13" s="12" t="str">
        <f t="shared" si="1"/>
        <v/>
      </c>
      <c r="G13" s="12" t="str">
        <f t="shared" si="2"/>
        <v/>
      </c>
      <c r="H13" s="76" t="str">
        <f t="shared" si="3"/>
        <v/>
      </c>
      <c r="I13" s="19" t="str">
        <f t="shared" si="4"/>
        <v/>
      </c>
      <c r="J13" s="21"/>
      <c r="M13" s="32"/>
    </row>
    <row r="14" spans="1:20" s="17" customFormat="1" ht="15" x14ac:dyDescent="0.25">
      <c r="A14" s="13"/>
      <c r="B14" s="16" t="s">
        <v>42</v>
      </c>
      <c r="C14" s="49"/>
      <c r="D14" s="19" t="str">
        <f t="shared" si="5"/>
        <v/>
      </c>
      <c r="E14" s="21" t="s">
        <v>9</v>
      </c>
      <c r="F14" s="12" t="str">
        <f t="shared" si="1"/>
        <v/>
      </c>
      <c r="G14" s="12" t="str">
        <f t="shared" si="2"/>
        <v/>
      </c>
      <c r="H14" s="76" t="str">
        <f t="shared" si="3"/>
        <v/>
      </c>
      <c r="I14" s="19" t="str">
        <f t="shared" si="4"/>
        <v/>
      </c>
      <c r="J14" s="21"/>
      <c r="M14" s="32"/>
    </row>
    <row r="15" spans="1:20" s="17" customFormat="1" ht="15" x14ac:dyDescent="0.25">
      <c r="A15" s="13"/>
      <c r="B15" s="16" t="s">
        <v>42</v>
      </c>
      <c r="C15" s="49"/>
      <c r="D15" s="19" t="str">
        <f t="shared" si="5"/>
        <v/>
      </c>
      <c r="E15" s="21" t="s">
        <v>150</v>
      </c>
      <c r="F15" s="12" t="str">
        <f t="shared" si="1"/>
        <v/>
      </c>
      <c r="G15" s="12" t="str">
        <f t="shared" si="2"/>
        <v/>
      </c>
      <c r="H15" s="76" t="str">
        <f t="shared" si="3"/>
        <v/>
      </c>
      <c r="I15" s="19" t="str">
        <f t="shared" si="4"/>
        <v/>
      </c>
      <c r="J15" s="21"/>
      <c r="M15" s="32"/>
    </row>
    <row r="16" spans="1:20" s="17" customFormat="1" ht="15" x14ac:dyDescent="0.25">
      <c r="A16" s="13"/>
      <c r="B16" s="16" t="s">
        <v>42</v>
      </c>
      <c r="C16" s="49"/>
      <c r="D16" s="19" t="str">
        <f t="shared" si="5"/>
        <v/>
      </c>
      <c r="E16" s="12" t="s">
        <v>140</v>
      </c>
      <c r="F16" s="12" t="str">
        <f t="shared" si="1"/>
        <v/>
      </c>
      <c r="G16" s="12" t="str">
        <f t="shared" si="2"/>
        <v/>
      </c>
      <c r="H16" s="76" t="str">
        <f t="shared" si="3"/>
        <v/>
      </c>
      <c r="I16" s="19" t="str">
        <f t="shared" si="4"/>
        <v/>
      </c>
      <c r="J16" s="21"/>
      <c r="M16" s="32"/>
    </row>
    <row r="17" spans="1:13" s="17" customFormat="1" ht="15" x14ac:dyDescent="0.25">
      <c r="A17" s="13"/>
      <c r="B17" s="21" t="s">
        <v>42</v>
      </c>
      <c r="C17" s="49"/>
      <c r="D17" s="19" t="str">
        <f t="shared" si="5"/>
        <v/>
      </c>
      <c r="E17" s="21" t="s">
        <v>11</v>
      </c>
      <c r="F17" s="12" t="str">
        <f t="shared" si="1"/>
        <v/>
      </c>
      <c r="G17" s="12" t="str">
        <f t="shared" si="2"/>
        <v/>
      </c>
      <c r="H17" s="76" t="str">
        <f t="shared" si="3"/>
        <v/>
      </c>
      <c r="I17" s="19" t="str">
        <f t="shared" si="4"/>
        <v/>
      </c>
      <c r="J17" s="21"/>
      <c r="M17" s="32"/>
    </row>
    <row r="18" spans="1:13" s="17" customFormat="1" ht="15" x14ac:dyDescent="0.25">
      <c r="A18" s="13"/>
      <c r="B18" s="49" t="s">
        <v>42</v>
      </c>
      <c r="C18" s="49"/>
      <c r="D18" s="19" t="str">
        <f t="shared" si="5"/>
        <v/>
      </c>
      <c r="E18" s="21" t="s">
        <v>92</v>
      </c>
      <c r="F18" s="12" t="str">
        <f t="shared" si="1"/>
        <v/>
      </c>
      <c r="G18" s="12" t="str">
        <f t="shared" si="2"/>
        <v/>
      </c>
      <c r="H18" s="76" t="str">
        <f t="shared" si="3"/>
        <v/>
      </c>
      <c r="I18" s="19" t="str">
        <f t="shared" si="4"/>
        <v/>
      </c>
      <c r="J18" s="21"/>
      <c r="M18" s="32"/>
    </row>
    <row r="19" spans="1:13" s="17" customFormat="1" ht="15" x14ac:dyDescent="0.25">
      <c r="A19" s="13"/>
      <c r="B19" s="48" t="s">
        <v>42</v>
      </c>
      <c r="C19" s="81"/>
      <c r="D19" s="19" t="str">
        <f t="shared" si="5"/>
        <v/>
      </c>
      <c r="E19" s="21" t="s">
        <v>93</v>
      </c>
      <c r="F19" s="12" t="str">
        <f t="shared" si="1"/>
        <v/>
      </c>
      <c r="G19" s="12" t="str">
        <f t="shared" si="2"/>
        <v/>
      </c>
      <c r="H19" s="76" t="str">
        <f t="shared" si="3"/>
        <v/>
      </c>
      <c r="I19" s="19" t="str">
        <f t="shared" si="4"/>
        <v/>
      </c>
      <c r="J19" s="21"/>
      <c r="M19" s="32"/>
    </row>
    <row r="20" spans="1:13" s="17" customFormat="1" ht="15" x14ac:dyDescent="0.25">
      <c r="A20" s="13"/>
      <c r="B20" s="92"/>
      <c r="C20" s="49"/>
      <c r="D20" s="19"/>
      <c r="E20" s="13"/>
      <c r="F20" s="12" t="str">
        <f>IF(B20="x",IF(#REF!=0,"",#REF!),"")</f>
        <v/>
      </c>
      <c r="G20" s="12" t="str">
        <f t="shared" si="2"/>
        <v/>
      </c>
      <c r="H20" s="77"/>
      <c r="I20" s="12"/>
      <c r="J20" s="21"/>
      <c r="M20" s="32"/>
    </row>
    <row r="21" spans="1:13" s="17" customFormat="1" ht="15.75" thickBot="1" x14ac:dyDescent="0.3">
      <c r="A21" s="13"/>
      <c r="B21" s="16" t="s">
        <v>79</v>
      </c>
      <c r="C21" s="49"/>
      <c r="D21" s="19"/>
      <c r="E21" s="21"/>
      <c r="F21" s="21"/>
      <c r="G21" s="21"/>
      <c r="H21" s="78"/>
      <c r="I21" s="21"/>
      <c r="J21" s="21"/>
      <c r="M21" s="32"/>
    </row>
    <row r="22" spans="1:13" s="17" customFormat="1" ht="16.5" thickTop="1" thickBot="1" x14ac:dyDescent="0.3">
      <c r="A22" s="13"/>
      <c r="B22" s="16"/>
      <c r="C22" s="66">
        <f>SUM(F4:F19)</f>
        <v>0</v>
      </c>
      <c r="D22" s="33">
        <f>IF(ISBLANK(C22),"", C22/$D$24)</f>
        <v>0</v>
      </c>
      <c r="E22" s="58" t="s">
        <v>166</v>
      </c>
      <c r="F22" s="56" t="s">
        <v>165</v>
      </c>
      <c r="G22" s="57" t="s">
        <v>1</v>
      </c>
      <c r="H22" s="79"/>
      <c r="I22" s="57"/>
      <c r="J22" s="21"/>
      <c r="M22" s="32"/>
    </row>
    <row r="23" spans="1:13" s="17" customFormat="1" ht="16.5" thickTop="1" thickBot="1" x14ac:dyDescent="0.3">
      <c r="A23" s="13"/>
      <c r="B23" s="16"/>
      <c r="C23" s="65"/>
      <c r="D23" s="7">
        <f>C22</f>
        <v>0</v>
      </c>
      <c r="E23" s="30" t="s">
        <v>27</v>
      </c>
      <c r="F23" s="5">
        <f>TRUNC(D23/D24/16)</f>
        <v>0</v>
      </c>
      <c r="G23" s="24">
        <f>(D23/D24/16-TRUNC(D23/D24/16))*16</f>
        <v>0</v>
      </c>
      <c r="J23" s="21"/>
      <c r="M23" s="32"/>
    </row>
    <row r="24" spans="1:13" s="17" customFormat="1" ht="15.75" thickBot="1" x14ac:dyDescent="0.3">
      <c r="A24" s="13"/>
      <c r="B24" s="16"/>
      <c r="C24" s="65"/>
      <c r="D24" s="9">
        <v>28.349499999999999</v>
      </c>
      <c r="E24" s="5" t="s">
        <v>31</v>
      </c>
      <c r="H24" s="32"/>
      <c r="J24" s="21"/>
      <c r="M24" s="32"/>
    </row>
    <row r="25" spans="1:13" s="17" customFormat="1" ht="15.75" thickBot="1" x14ac:dyDescent="0.3">
      <c r="A25" s="13"/>
      <c r="B25" s="16"/>
      <c r="C25" s="65"/>
      <c r="D25" s="9">
        <v>3.5274E-2</v>
      </c>
      <c r="E25" s="6" t="s">
        <v>35</v>
      </c>
      <c r="H25" s="32"/>
      <c r="J25" s="21"/>
      <c r="M25" s="32"/>
    </row>
    <row r="26" spans="1:13" s="17" customFormat="1" ht="15" x14ac:dyDescent="0.25">
      <c r="A26" s="13"/>
      <c r="B26" s="16"/>
      <c r="C26" s="65"/>
      <c r="D26" s="18"/>
      <c r="E26" s="1" t="s">
        <v>36</v>
      </c>
      <c r="H26" s="32"/>
      <c r="J26" s="29"/>
      <c r="M26" s="32"/>
    </row>
    <row r="27" spans="1:13" s="17" customFormat="1" ht="15" x14ac:dyDescent="0.25">
      <c r="A27" s="13"/>
      <c r="B27" s="16"/>
      <c r="C27" s="65"/>
      <c r="D27" s="18"/>
      <c r="E27" s="11" t="s">
        <v>33</v>
      </c>
      <c r="F27" s="18"/>
      <c r="G27" s="18"/>
      <c r="H27" s="76"/>
      <c r="I27" s="18"/>
      <c r="J27" s="32"/>
    </row>
    <row r="28" spans="1:13" s="17" customFormat="1" ht="15" x14ac:dyDescent="0.25">
      <c r="A28" s="13"/>
      <c r="B28" s="16"/>
      <c r="C28" s="65"/>
      <c r="D28" s="18" t="s">
        <v>29</v>
      </c>
      <c r="E28" s="18" t="s">
        <v>30</v>
      </c>
      <c r="G28" s="18"/>
      <c r="H28" s="76"/>
      <c r="I28" s="18"/>
    </row>
    <row r="29" spans="1:13" s="17" customFormat="1" ht="15" x14ac:dyDescent="0.25">
      <c r="A29" s="13"/>
      <c r="B29" s="13"/>
      <c r="C29" s="65"/>
      <c r="D29" s="18"/>
      <c r="E29" s="18"/>
      <c r="F29" s="18"/>
      <c r="G29" s="18"/>
      <c r="H29" s="76"/>
      <c r="I29" s="18"/>
    </row>
    <row r="30" spans="1:13" s="17" customFormat="1" ht="15" x14ac:dyDescent="0.25">
      <c r="A30" s="13"/>
      <c r="B30" s="13"/>
      <c r="C30" s="65"/>
      <c r="D30" s="18"/>
      <c r="E30" s="18"/>
      <c r="F30" s="18"/>
      <c r="G30" s="18"/>
      <c r="H30" s="76"/>
      <c r="I30" s="18"/>
    </row>
    <row r="31" spans="1:13" s="17" customFormat="1" ht="15" x14ac:dyDescent="0.25">
      <c r="A31" s="13"/>
      <c r="B31" s="13"/>
      <c r="C31" s="65"/>
      <c r="D31" s="18"/>
      <c r="E31" s="18"/>
      <c r="F31" s="18"/>
      <c r="G31" s="18"/>
      <c r="H31" s="76"/>
      <c r="I31" s="18"/>
      <c r="J31" s="18"/>
      <c r="M31" s="32"/>
    </row>
    <row r="32" spans="1:13" s="17" customFormat="1" ht="15" x14ac:dyDescent="0.25">
      <c r="A32" s="13"/>
      <c r="B32" s="13"/>
      <c r="C32" s="52"/>
      <c r="H32" s="74"/>
      <c r="J32" s="18"/>
      <c r="M32" s="32"/>
    </row>
    <row r="33" spans="1:13" s="17" customFormat="1" ht="15" x14ac:dyDescent="0.25">
      <c r="A33" s="13"/>
      <c r="B33" s="13"/>
      <c r="C33" s="52"/>
      <c r="H33" s="74"/>
      <c r="J33" s="18"/>
      <c r="M33" s="32"/>
    </row>
    <row r="34" spans="1:13" s="17" customFormat="1" ht="15" x14ac:dyDescent="0.25">
      <c r="A34" s="13"/>
      <c r="B34" s="13"/>
      <c r="C34" s="52"/>
      <c r="E34" s="13"/>
      <c r="H34" s="74"/>
      <c r="J34" s="18"/>
      <c r="M34" s="32"/>
    </row>
    <row r="35" spans="1:13" s="17" customFormat="1" ht="15" x14ac:dyDescent="0.25">
      <c r="A35" s="13"/>
      <c r="B35" s="13"/>
      <c r="C35" s="52"/>
      <c r="E35" s="13"/>
      <c r="H35" s="74"/>
      <c r="J35" s="18"/>
      <c r="M35" s="32"/>
    </row>
    <row r="36" spans="1:13" x14ac:dyDescent="0.2">
      <c r="E36" s="13"/>
    </row>
    <row r="37" spans="1:13" x14ac:dyDescent="0.2">
      <c r="E37" s="13"/>
    </row>
    <row r="38" spans="1:13" s="17" customFormat="1" x14ac:dyDescent="0.2">
      <c r="A38" s="13"/>
      <c r="B38" s="13"/>
      <c r="C38" s="52"/>
      <c r="E38" s="13"/>
      <c r="H38" s="74"/>
      <c r="M38" s="32"/>
    </row>
    <row r="39" spans="1:13" s="17" customFormat="1" x14ac:dyDescent="0.2">
      <c r="A39" s="13"/>
      <c r="B39" s="13"/>
      <c r="C39" s="52"/>
      <c r="E39" s="13"/>
      <c r="H39" s="74"/>
      <c r="M39" s="32"/>
    </row>
    <row r="40" spans="1:13" s="17" customFormat="1" x14ac:dyDescent="0.2">
      <c r="A40" s="13"/>
      <c r="B40" s="13"/>
      <c r="C40" s="52"/>
      <c r="E40" s="13"/>
      <c r="H40" s="74"/>
      <c r="M40" s="32"/>
    </row>
    <row r="41" spans="1:13" s="17" customFormat="1" x14ac:dyDescent="0.2">
      <c r="A41" s="13"/>
      <c r="B41" s="13"/>
      <c r="C41" s="52"/>
      <c r="E41" s="13"/>
      <c r="H41" s="74"/>
      <c r="M41" s="32"/>
    </row>
    <row r="42" spans="1:13" s="17" customFormat="1" x14ac:dyDescent="0.2">
      <c r="A42" s="13"/>
      <c r="B42" s="13"/>
      <c r="C42" s="52"/>
      <c r="E42" s="13"/>
      <c r="H42" s="74"/>
      <c r="M42" s="32"/>
    </row>
    <row r="43" spans="1:13" s="17" customFormat="1" x14ac:dyDescent="0.2">
      <c r="A43" s="13"/>
      <c r="B43" s="13"/>
      <c r="C43" s="52"/>
      <c r="E43" s="13"/>
      <c r="H43" s="74"/>
      <c r="M43" s="32"/>
    </row>
    <row r="44" spans="1:13" s="17" customFormat="1" x14ac:dyDescent="0.2">
      <c r="A44" s="13"/>
      <c r="B44" s="13"/>
      <c r="C44" s="52"/>
      <c r="E44" s="13"/>
      <c r="H44" s="74"/>
      <c r="M44" s="32"/>
    </row>
    <row r="45" spans="1:13" s="17" customFormat="1" x14ac:dyDescent="0.2">
      <c r="A45" s="13"/>
      <c r="B45" s="13"/>
      <c r="C45" s="52"/>
      <c r="E45" s="13"/>
      <c r="H45" s="74"/>
      <c r="M45" s="32"/>
    </row>
    <row r="46" spans="1:13" s="17" customFormat="1" x14ac:dyDescent="0.2">
      <c r="A46" s="13"/>
      <c r="B46" s="13"/>
      <c r="C46" s="52"/>
      <c r="E46" s="13"/>
      <c r="H46" s="74"/>
      <c r="M46" s="32"/>
    </row>
    <row r="47" spans="1:13" s="17" customFormat="1" x14ac:dyDescent="0.2">
      <c r="A47" s="13"/>
      <c r="B47" s="13"/>
      <c r="C47" s="52"/>
      <c r="E47" s="13"/>
      <c r="H47" s="74"/>
      <c r="M47" s="32"/>
    </row>
    <row r="48" spans="1:13" s="17" customFormat="1" x14ac:dyDescent="0.2">
      <c r="A48" s="13"/>
      <c r="B48" s="13"/>
      <c r="C48" s="52"/>
      <c r="H48" s="74"/>
      <c r="M48" s="32"/>
    </row>
    <row r="49" spans="1:13" s="17" customFormat="1" x14ac:dyDescent="0.2">
      <c r="A49" s="13"/>
      <c r="B49" s="13"/>
      <c r="C49" s="52"/>
      <c r="H49" s="74"/>
      <c r="M49" s="32"/>
    </row>
    <row r="50" spans="1:13" s="17" customFormat="1" x14ac:dyDescent="0.2">
      <c r="A50" s="13"/>
      <c r="B50" s="13"/>
      <c r="C50" s="52"/>
      <c r="H50" s="74"/>
      <c r="M50" s="32"/>
    </row>
    <row r="51" spans="1:13" s="17" customFormat="1" x14ac:dyDescent="0.2">
      <c r="A51" s="13"/>
      <c r="B51" s="13"/>
      <c r="C51" s="52"/>
      <c r="H51" s="74"/>
      <c r="M51" s="32"/>
    </row>
  </sheetData>
  <conditionalFormatting sqref="B3:B19">
    <cfRule type="expression" dxfId="2" priority="4">
      <formula>AND($B3="x",AND(COUNTBLANK($C3)=0,$C3=0))</formula>
    </cfRule>
  </conditionalFormatting>
  <conditionalFormatting sqref="C3:C19">
    <cfRule type="expression" dxfId="1" priority="3">
      <formula>AND(COUNTBLANK($C3)=0,$C3=0)</formula>
    </cfRule>
  </conditionalFormatting>
  <conditionalFormatting sqref="E3:E19">
    <cfRule type="containsText" priority="1" stopIfTrue="1" operator="containsText" text="~*~*">
      <formula>NOT(ISERROR(SEARCH("~*~*",E3)))</formula>
    </cfRule>
    <cfRule type="containsText" dxfId="0" priority="2" operator="containsText" text="~*">
      <formula>NOT(ISERROR(SEARCH("~*",E3)))</formula>
    </cfRule>
  </conditionalFormatting>
  <dataValidations count="3">
    <dataValidation type="list" allowBlank="1" showInputMessage="1" showErrorMessage="1" sqref="N6" xr:uid="{49FB2B9B-5995-46A0-9363-E4CE756EF8F6}">
      <formula1>Hammocks</formula1>
    </dataValidation>
    <dataValidation type="list" allowBlank="1" showInputMessage="1" showErrorMessage="1" sqref="N5" xr:uid="{5288100F-89D4-4A93-9BDB-B63478380DFB}">
      <formula1>PackCover</formula1>
    </dataValidation>
    <dataValidation type="list" allowBlank="1" showInputMessage="1" showErrorMessage="1" sqref="N4" xr:uid="{B86745A3-AD3A-4C70-A2F4-2185000EA28B}">
      <formula1>Backpacks</formula1>
    </dataValidation>
  </dataValidations>
  <hyperlinks>
    <hyperlink ref="A1" location="Menu!A1" display="Menu!A1" xr:uid="{6530AC96-5B10-416D-B6B6-7E1B328439B4}"/>
  </hyperlinks>
  <printOptions gridLines="1"/>
  <pageMargins left="0.5" right="0.5" top="0.5" bottom="0.5" header="0.51180555555555496" footer="0.51180555555555496"/>
  <pageSetup firstPageNumber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BE1AB5-58DA-4A94-818C-B63F1F9862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39</vt:i4>
      </vt:variant>
    </vt:vector>
  </HeadingPairs>
  <TitlesOfParts>
    <vt:vector size="58" baseType="lpstr">
      <vt:lpstr>Menu</vt:lpstr>
      <vt:lpstr>GearListAll</vt:lpstr>
      <vt:lpstr>SingleSheet</vt:lpstr>
      <vt:lpstr>SingleColumn</vt:lpstr>
      <vt:lpstr>GearCombos</vt:lpstr>
      <vt:lpstr>Pack</vt:lpstr>
      <vt:lpstr>Shelter</vt:lpstr>
      <vt:lpstr>SleepingGear</vt:lpstr>
      <vt:lpstr>SleepingClothes</vt:lpstr>
      <vt:lpstr>RainGear</vt:lpstr>
      <vt:lpstr>Kitchen</vt:lpstr>
      <vt:lpstr>Hygiene</vt:lpstr>
      <vt:lpstr>Navigation</vt:lpstr>
      <vt:lpstr>FirstAid</vt:lpstr>
      <vt:lpstr>Repair</vt:lpstr>
      <vt:lpstr>Misc</vt:lpstr>
      <vt:lpstr>ClothingPacked</vt:lpstr>
      <vt:lpstr>Consumables</vt:lpstr>
      <vt:lpstr>ClothingWorn</vt:lpstr>
      <vt:lpstr>SleepingGear!AirMatresses</vt:lpstr>
      <vt:lpstr>Pack!Backpacks</vt:lpstr>
      <vt:lpstr>Pack!Hammocks</vt:lpstr>
      <vt:lpstr>Shelter!Hammocks</vt:lpstr>
      <vt:lpstr>Links</vt:lpstr>
      <vt:lpstr>Pack!PackCover</vt:lpstr>
      <vt:lpstr>ClothingPacked!Print_Titles</vt:lpstr>
      <vt:lpstr>ClothingWorn!Print_Titles</vt:lpstr>
      <vt:lpstr>Consumables!Print_Titles</vt:lpstr>
      <vt:lpstr>FirstAid!Print_Titles</vt:lpstr>
      <vt:lpstr>GearListAll!Print_Titles</vt:lpstr>
      <vt:lpstr>Hygiene!Print_Titles</vt:lpstr>
      <vt:lpstr>Kitchen!Print_Titles</vt:lpstr>
      <vt:lpstr>Misc!Print_Titles</vt:lpstr>
      <vt:lpstr>Navigation!Print_Titles</vt:lpstr>
      <vt:lpstr>Pack!Print_Titles</vt:lpstr>
      <vt:lpstr>RainGear!Print_Titles</vt:lpstr>
      <vt:lpstr>Repair!Print_Titles</vt:lpstr>
      <vt:lpstr>Shelter!Print_Titles</vt:lpstr>
      <vt:lpstr>SleepingClothes!Print_Titles</vt:lpstr>
      <vt:lpstr>SleepingGear!Print_Titles</vt:lpstr>
      <vt:lpstr>ClothingPacked!Print_Titles_0</vt:lpstr>
      <vt:lpstr>ClothingWorn!Print_Titles_0</vt:lpstr>
      <vt:lpstr>Consumables!Print_Titles_0</vt:lpstr>
      <vt:lpstr>FirstAid!Print_Titles_0</vt:lpstr>
      <vt:lpstr>GearListAll!Print_Titles_0</vt:lpstr>
      <vt:lpstr>Hygiene!Print_Titles_0</vt:lpstr>
      <vt:lpstr>Kitchen!Print_Titles_0</vt:lpstr>
      <vt:lpstr>Misc!Print_Titles_0</vt:lpstr>
      <vt:lpstr>Navigation!Print_Titles_0</vt:lpstr>
      <vt:lpstr>Pack!Print_Titles_0</vt:lpstr>
      <vt:lpstr>RainGear!Print_Titles_0</vt:lpstr>
      <vt:lpstr>Repair!Print_Titles_0</vt:lpstr>
      <vt:lpstr>Shelter!Print_Titles_0</vt:lpstr>
      <vt:lpstr>SleepingClothes!Print_Titles_0</vt:lpstr>
      <vt:lpstr>SleepingGear!Print_Titles_0</vt:lpstr>
      <vt:lpstr>SleepingGear!SleepingBagLiners</vt:lpstr>
      <vt:lpstr>SleepingGear!SleepingBags</vt:lpstr>
      <vt:lpstr>Shelter!Tarps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Smith Personal</dc:creator>
  <cp:keywords/>
  <dc:description/>
  <cp:lastModifiedBy>Smith, David P</cp:lastModifiedBy>
  <cp:revision/>
  <cp:lastPrinted>2024-08-27T18:35:27Z</cp:lastPrinted>
  <dcterms:created xsi:type="dcterms:W3CDTF">2020-09-07T11:43:12Z</dcterms:created>
  <dcterms:modified xsi:type="dcterms:W3CDTF">2026-04-06T17:49:26Z</dcterms:modified>
  <cp:category/>
  <cp:contentStatus/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separator idQ="doc:sep1" visible="true"/>
        <mso:button idQ="doc:ListSheetNamesInNewWorkbook_1" visible="true" label="ListSheetNamesInNewWorkbook" imageMso="ListMacros" onAction="ListSheetNamesInNewWorkbook"/>
      </mso:documentControls>
    </mso:qat>
  </mso:ribbon>
</mso:customUI>
</file>