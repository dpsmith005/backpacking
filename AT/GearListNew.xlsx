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wellspan-my.sharepoint.com/personal/dsmith14_wellspan_org/Documents/Documents/GitHub/dps/AT/"/>
    </mc:Choice>
  </mc:AlternateContent>
  <xr:revisionPtr revIDLastSave="1108" documentId="8_{1551697D-00C6-4CE6-A106-D804D9434B95}" xr6:coauthVersionLast="47" xr6:coauthVersionMax="47" xr10:uidLastSave="{333B2FE3-6D6B-4859-95EB-739BE215FF09}"/>
  <bookViews>
    <workbookView xWindow="1590" yWindow="1005" windowWidth="27210" windowHeight="15195" xr2:uid="{68AAFF99-797A-4764-8C30-A0E86570531C}"/>
  </bookViews>
  <sheets>
    <sheet name="New Gear Checklist" sheetId="6" r:id="rId1"/>
    <sheet name="Single Sheet" sheetId="7" r:id="rId2"/>
    <sheet name="Single Column" sheetId="8" r:id="rId3"/>
    <sheet name="Gear combos" sheetId="9" r:id="rId4"/>
  </sheets>
  <definedNames>
    <definedName name="AirMatresses">'New Gear Checklist'!$E$50:$E$51</definedName>
    <definedName name="Backpacks">'New Gear Checklist'!$E$4:$E$8</definedName>
    <definedName name="Hammocks">'New Gear Checklist'!$E$16:$E$19</definedName>
    <definedName name="PackCover">'New Gear Checklist'!$E$11:$E$13</definedName>
    <definedName name="_xlnm.Print_Titles" localSheetId="0">'New Gear Checklist'!$2:$2</definedName>
    <definedName name="Print_Titles_0" localSheetId="0">'New Gear Checklist'!$2:$2</definedName>
    <definedName name="SleepingBagLiners">'New Gear Checklist'!$E$46:$E$47</definedName>
    <definedName name="SleepingBags">'New Gear Checklist'!$E$42:$E$45</definedName>
    <definedName name="Tarps">'New Gear Checklist'!$E$26:$E$27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6" l="1" a="1"/>
  <c r="J4" i="6" s="1"/>
  <c r="D106" i="6"/>
  <c r="G106" i="6" s="1"/>
  <c r="M10" i="9"/>
  <c r="M11" i="9" s="1"/>
  <c r="M9" i="9"/>
  <c r="L9" i="9"/>
  <c r="F32" i="9"/>
  <c r="F33" i="9"/>
  <c r="N33" i="9"/>
  <c r="N32" i="9"/>
  <c r="M33" i="9"/>
  <c r="M32" i="9"/>
  <c r="L33" i="9"/>
  <c r="L32" i="9"/>
  <c r="G35" i="9"/>
  <c r="A45" i="9"/>
  <c r="D45" i="9" s="1"/>
  <c r="I106" i="6" l="1"/>
  <c r="H106" i="6"/>
  <c r="P33" i="9"/>
  <c r="P32" i="9"/>
  <c r="I35" i="9"/>
  <c r="O32" i="9"/>
  <c r="O33" i="9"/>
  <c r="G33" i="9" s="1"/>
  <c r="J35" i="9"/>
  <c r="C45" i="9"/>
  <c r="J33" i="9" l="1"/>
  <c r="I33" i="9"/>
  <c r="G32" i="9"/>
  <c r="F34" i="9"/>
  <c r="G34" i="9" s="1"/>
  <c r="G38" i="9" s="1"/>
  <c r="J38" i="9" l="1"/>
  <c r="I38" i="9"/>
  <c r="J32" i="9"/>
  <c r="J34" i="9" s="1"/>
  <c r="I32" i="9"/>
  <c r="I34" i="9" s="1"/>
  <c r="A31" i="9" l="1" a="1"/>
  <c r="C55" i="6"/>
  <c r="C14" i="6"/>
  <c r="D14" i="6" s="1"/>
  <c r="C40" i="6"/>
  <c r="F40" i="6" s="1"/>
  <c r="M9" i="6"/>
  <c r="M8" i="6"/>
  <c r="M6" i="6"/>
  <c r="F18" i="6"/>
  <c r="G18" i="6"/>
  <c r="H18" i="6"/>
  <c r="F19" i="6"/>
  <c r="G19" i="6"/>
  <c r="H19" i="6"/>
  <c r="I19" i="6"/>
  <c r="D18" i="6"/>
  <c r="I18" i="6" s="1"/>
  <c r="D19" i="6"/>
  <c r="G21" i="9"/>
  <c r="J21" i="9" s="1"/>
  <c r="G12" i="9"/>
  <c r="I12" i="9" s="1"/>
  <c r="J12" i="9"/>
  <c r="G13" i="9"/>
  <c r="I13" i="9" s="1"/>
  <c r="G11" i="9"/>
  <c r="I11" i="9" s="1"/>
  <c r="F21" i="9"/>
  <c r="G3" i="9"/>
  <c r="G10" i="9"/>
  <c r="I10" i="9" s="1"/>
  <c r="G18" i="9"/>
  <c r="J18" i="9" s="1"/>
  <c r="G9" i="9"/>
  <c r="J9" i="9" s="1"/>
  <c r="C179" i="6"/>
  <c r="F179" i="6" s="1"/>
  <c r="C164" i="6"/>
  <c r="F164" i="6" s="1"/>
  <c r="C142" i="6"/>
  <c r="C132" i="6"/>
  <c r="C125" i="6"/>
  <c r="C109" i="6"/>
  <c r="C79" i="6"/>
  <c r="C70" i="6"/>
  <c r="H180" i="6"/>
  <c r="H181" i="6"/>
  <c r="H182" i="6"/>
  <c r="H183" i="6"/>
  <c r="H184" i="6"/>
  <c r="H185" i="6"/>
  <c r="I185" i="6"/>
  <c r="H186" i="6"/>
  <c r="H187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15" i="6"/>
  <c r="H41" i="6"/>
  <c r="H52" i="6"/>
  <c r="I52" i="6"/>
  <c r="H56" i="6"/>
  <c r="H71" i="6"/>
  <c r="H80" i="6"/>
  <c r="H100" i="6"/>
  <c r="H101" i="6"/>
  <c r="H102" i="6"/>
  <c r="H103" i="6"/>
  <c r="H104" i="6"/>
  <c r="H110" i="6"/>
  <c r="H111" i="6"/>
  <c r="H113" i="6"/>
  <c r="H114" i="6"/>
  <c r="H115" i="6"/>
  <c r="H116" i="6"/>
  <c r="H126" i="6"/>
  <c r="H127" i="6"/>
  <c r="H129" i="6"/>
  <c r="H133" i="6"/>
  <c r="H135" i="6"/>
  <c r="H136" i="6"/>
  <c r="H137" i="6"/>
  <c r="H138" i="6"/>
  <c r="H140" i="6"/>
  <c r="H143" i="6"/>
  <c r="H165" i="6"/>
  <c r="H177" i="6"/>
  <c r="I177" i="6"/>
  <c r="F52" i="6"/>
  <c r="G52" i="6"/>
  <c r="D20" i="6"/>
  <c r="G20" i="6" s="1"/>
  <c r="D21" i="6"/>
  <c r="H21" i="6" s="1"/>
  <c r="F20" i="6"/>
  <c r="F21" i="6"/>
  <c r="G21" i="6"/>
  <c r="D37" i="6"/>
  <c r="H37" i="6" s="1"/>
  <c r="G37" i="6"/>
  <c r="F37" i="6"/>
  <c r="C153" i="6"/>
  <c r="D153" i="6" s="1"/>
  <c r="G153" i="6" s="1"/>
  <c r="D75" i="6"/>
  <c r="H75" i="6" s="1"/>
  <c r="D76" i="6"/>
  <c r="G76" i="6" s="1"/>
  <c r="F76" i="6"/>
  <c r="F106" i="6"/>
  <c r="D148" i="6"/>
  <c r="G148" i="6" s="1"/>
  <c r="F148" i="6"/>
  <c r="H1" i="7" a="1"/>
  <c r="H1" i="7" s="1"/>
  <c r="F163" i="6"/>
  <c r="G163" i="6"/>
  <c r="F165" i="6"/>
  <c r="F166" i="6"/>
  <c r="F167" i="6"/>
  <c r="F168" i="6"/>
  <c r="G168" i="6"/>
  <c r="F169" i="6"/>
  <c r="F170" i="6"/>
  <c r="F171" i="6"/>
  <c r="G171" i="6"/>
  <c r="F172" i="6"/>
  <c r="F173" i="6"/>
  <c r="G173" i="6"/>
  <c r="F174" i="6"/>
  <c r="F175" i="6"/>
  <c r="F176" i="6"/>
  <c r="F178" i="6"/>
  <c r="G178" i="6"/>
  <c r="F180" i="6"/>
  <c r="F181" i="6"/>
  <c r="F182" i="6"/>
  <c r="F183" i="6"/>
  <c r="F184" i="6"/>
  <c r="G184" i="6"/>
  <c r="F186" i="6"/>
  <c r="G186" i="6"/>
  <c r="F187" i="6"/>
  <c r="G187" i="6"/>
  <c r="F188" i="6"/>
  <c r="G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56" i="6"/>
  <c r="F57" i="6"/>
  <c r="F29" i="6"/>
  <c r="F30" i="6"/>
  <c r="F31" i="6"/>
  <c r="F32" i="6"/>
  <c r="F33" i="6"/>
  <c r="D45" i="6"/>
  <c r="H45" i="6" s="1"/>
  <c r="D100" i="6"/>
  <c r="I100" i="6" s="1"/>
  <c r="D49" i="6"/>
  <c r="G49" i="6" s="1"/>
  <c r="F49" i="6"/>
  <c r="F145" i="6"/>
  <c r="D145" i="6"/>
  <c r="G145" i="6" s="1"/>
  <c r="I9" i="9" l="1"/>
  <c r="I18" i="9"/>
  <c r="A31" i="9"/>
  <c r="G36" i="9"/>
  <c r="I21" i="9"/>
  <c r="J13" i="9"/>
  <c r="J11" i="9"/>
  <c r="J10" i="9"/>
  <c r="I148" i="6"/>
  <c r="I75" i="6"/>
  <c r="H148" i="6"/>
  <c r="I37" i="6"/>
  <c r="I21" i="6"/>
  <c r="I153" i="6"/>
  <c r="I145" i="6"/>
  <c r="I76" i="6"/>
  <c r="I49" i="6"/>
  <c r="I45" i="6"/>
  <c r="I20" i="6"/>
  <c r="H153" i="6"/>
  <c r="H145" i="6"/>
  <c r="H76" i="6"/>
  <c r="H49" i="6"/>
  <c r="H20" i="6"/>
  <c r="F14" i="6"/>
  <c r="F206" i="6"/>
  <c r="I14" i="6"/>
  <c r="G14" i="6"/>
  <c r="F207" i="6"/>
  <c r="G207" i="6"/>
  <c r="F153" i="6"/>
  <c r="D180" i="6"/>
  <c r="D181" i="6"/>
  <c r="D182" i="6"/>
  <c r="D183" i="6"/>
  <c r="D184" i="6"/>
  <c r="I184" i="6" s="1"/>
  <c r="D186" i="6"/>
  <c r="I186" i="6" s="1"/>
  <c r="D187" i="6"/>
  <c r="I187" i="6" s="1"/>
  <c r="D188" i="6"/>
  <c r="I188" i="6" s="1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172" i="6"/>
  <c r="D173" i="6"/>
  <c r="D174" i="6"/>
  <c r="D175" i="6"/>
  <c r="D176" i="6"/>
  <c r="D178" i="6"/>
  <c r="D179" i="6"/>
  <c r="D163" i="6"/>
  <c r="D164" i="6"/>
  <c r="D165" i="6"/>
  <c r="D166" i="6"/>
  <c r="D167" i="6"/>
  <c r="D168" i="6"/>
  <c r="D169" i="6"/>
  <c r="D170" i="6"/>
  <c r="D171" i="6"/>
  <c r="F1" i="7" a="1"/>
  <c r="F1" i="7" s="1"/>
  <c r="D1" i="7" a="1"/>
  <c r="D1" i="7" s="1"/>
  <c r="F10" i="6"/>
  <c r="F11" i="6"/>
  <c r="F12" i="6"/>
  <c r="F13" i="6"/>
  <c r="G11" i="6"/>
  <c r="M5" i="6" s="1"/>
  <c r="G13" i="6"/>
  <c r="J36" i="9" l="1"/>
  <c r="I36" i="9"/>
  <c r="G170" i="6"/>
  <c r="H170" i="6"/>
  <c r="I170" i="6"/>
  <c r="G205" i="6"/>
  <c r="I205" i="6"/>
  <c r="G197" i="6"/>
  <c r="I197" i="6"/>
  <c r="G189" i="6"/>
  <c r="I189" i="6"/>
  <c r="G180" i="6"/>
  <c r="I180" i="6"/>
  <c r="G198" i="6"/>
  <c r="I198" i="6"/>
  <c r="G169" i="6"/>
  <c r="H169" i="6"/>
  <c r="I169" i="6"/>
  <c r="H168" i="6"/>
  <c r="I168" i="6"/>
  <c r="G176" i="6"/>
  <c r="H176" i="6"/>
  <c r="I176" i="6"/>
  <c r="G203" i="6"/>
  <c r="I203" i="6"/>
  <c r="G195" i="6"/>
  <c r="I195" i="6"/>
  <c r="H163" i="6"/>
  <c r="I163" i="6"/>
  <c r="G190" i="6"/>
  <c r="I190" i="6"/>
  <c r="G181" i="6"/>
  <c r="I181" i="6"/>
  <c r="G204" i="6"/>
  <c r="I204" i="6"/>
  <c r="G167" i="6"/>
  <c r="H167" i="6"/>
  <c r="I167" i="6"/>
  <c r="G175" i="6"/>
  <c r="H175" i="6"/>
  <c r="I175" i="6"/>
  <c r="G202" i="6"/>
  <c r="I202" i="6"/>
  <c r="G194" i="6"/>
  <c r="I194" i="6"/>
  <c r="H171" i="6"/>
  <c r="I171" i="6"/>
  <c r="H178" i="6"/>
  <c r="I178" i="6"/>
  <c r="G196" i="6"/>
  <c r="I196" i="6"/>
  <c r="G166" i="6"/>
  <c r="H166" i="6"/>
  <c r="I166" i="6"/>
  <c r="G174" i="6"/>
  <c r="H174" i="6"/>
  <c r="I174" i="6"/>
  <c r="G201" i="6"/>
  <c r="I201" i="6"/>
  <c r="G193" i="6"/>
  <c r="I193" i="6"/>
  <c r="G165" i="6"/>
  <c r="I165" i="6"/>
  <c r="H173" i="6"/>
  <c r="I173" i="6"/>
  <c r="G200" i="6"/>
  <c r="I200" i="6"/>
  <c r="G192" i="6"/>
  <c r="I192" i="6"/>
  <c r="G183" i="6"/>
  <c r="I183" i="6"/>
  <c r="G172" i="6"/>
  <c r="H172" i="6"/>
  <c r="I172" i="6"/>
  <c r="G199" i="6"/>
  <c r="I199" i="6"/>
  <c r="G191" i="6"/>
  <c r="I191" i="6"/>
  <c r="G182" i="6"/>
  <c r="I182" i="6"/>
  <c r="G206" i="6"/>
  <c r="I206" i="6"/>
  <c r="H206" i="6"/>
  <c r="H188" i="6"/>
  <c r="G179" i="6"/>
  <c r="I179" i="6"/>
  <c r="H179" i="6"/>
  <c r="G164" i="6"/>
  <c r="H164" i="6"/>
  <c r="I164" i="6"/>
  <c r="F55" i="6"/>
  <c r="D55" i="6"/>
  <c r="D56" i="6"/>
  <c r="D65" i="6"/>
  <c r="F65" i="6"/>
  <c r="F99" i="6"/>
  <c r="F101" i="6"/>
  <c r="F102" i="6"/>
  <c r="F103" i="6"/>
  <c r="F104" i="6"/>
  <c r="D99" i="6"/>
  <c r="D101" i="6"/>
  <c r="D102" i="6"/>
  <c r="D103" i="6"/>
  <c r="D104" i="6"/>
  <c r="D105" i="6"/>
  <c r="F105" i="6"/>
  <c r="D107" i="6"/>
  <c r="F107" i="6"/>
  <c r="D108" i="6"/>
  <c r="F108" i="6"/>
  <c r="D109" i="6"/>
  <c r="F109" i="6"/>
  <c r="D110" i="6"/>
  <c r="F110" i="6"/>
  <c r="D111" i="6"/>
  <c r="F111" i="6"/>
  <c r="D112" i="6"/>
  <c r="F112" i="6"/>
  <c r="D113" i="6"/>
  <c r="F113" i="6"/>
  <c r="D114" i="6"/>
  <c r="F114" i="6"/>
  <c r="D115" i="6"/>
  <c r="F115" i="6"/>
  <c r="D116" i="6"/>
  <c r="F116" i="6"/>
  <c r="F98" i="6"/>
  <c r="D98" i="6"/>
  <c r="D87" i="6"/>
  <c r="F87" i="6"/>
  <c r="G87" i="6"/>
  <c r="D88" i="6"/>
  <c r="D89" i="6"/>
  <c r="D90" i="6"/>
  <c r="D91" i="6"/>
  <c r="D92" i="6"/>
  <c r="D93" i="6"/>
  <c r="D94" i="6"/>
  <c r="D95" i="6"/>
  <c r="G95" i="6" s="1"/>
  <c r="D96" i="6"/>
  <c r="F88" i="6"/>
  <c r="G88" i="6"/>
  <c r="F89" i="6"/>
  <c r="F90" i="6"/>
  <c r="F91" i="6"/>
  <c r="F92" i="6"/>
  <c r="G92" i="6"/>
  <c r="F93" i="6"/>
  <c r="G93" i="6"/>
  <c r="F94" i="6"/>
  <c r="F95" i="6"/>
  <c r="F96" i="6"/>
  <c r="F97" i="6"/>
  <c r="D77" i="6"/>
  <c r="F77" i="6"/>
  <c r="G77" i="6"/>
  <c r="D70" i="6"/>
  <c r="F70" i="6"/>
  <c r="D80" i="6"/>
  <c r="F80" i="6"/>
  <c r="D81" i="6"/>
  <c r="F81" i="6"/>
  <c r="G81" i="6"/>
  <c r="D82" i="6"/>
  <c r="F82" i="6"/>
  <c r="D83" i="6"/>
  <c r="F83" i="6"/>
  <c r="D84" i="6"/>
  <c r="F84" i="6"/>
  <c r="G84" i="6"/>
  <c r="D85" i="6"/>
  <c r="F85" i="6"/>
  <c r="G85" i="6"/>
  <c r="D86" i="6"/>
  <c r="F86" i="6"/>
  <c r="D97" i="6"/>
  <c r="D117" i="6"/>
  <c r="F117" i="6"/>
  <c r="G117" i="6"/>
  <c r="D118" i="6"/>
  <c r="F118" i="6"/>
  <c r="D119" i="6"/>
  <c r="F119" i="6"/>
  <c r="G119" i="6"/>
  <c r="D120" i="6"/>
  <c r="F120" i="6"/>
  <c r="D121" i="6"/>
  <c r="F121" i="6"/>
  <c r="D122" i="6"/>
  <c r="F122" i="6"/>
  <c r="D123" i="6"/>
  <c r="F123" i="6"/>
  <c r="G123" i="6"/>
  <c r="D124" i="6"/>
  <c r="F124" i="6"/>
  <c r="D125" i="6"/>
  <c r="F125" i="6"/>
  <c r="D126" i="6"/>
  <c r="F126" i="6"/>
  <c r="D127" i="6"/>
  <c r="F127" i="6"/>
  <c r="D128" i="6"/>
  <c r="F128" i="6"/>
  <c r="D129" i="6"/>
  <c r="F129" i="6"/>
  <c r="D130" i="6"/>
  <c r="F130" i="6"/>
  <c r="D131" i="6"/>
  <c r="F131" i="6"/>
  <c r="D132" i="6"/>
  <c r="F132" i="6"/>
  <c r="D133" i="6"/>
  <c r="F133" i="6"/>
  <c r="D134" i="6"/>
  <c r="F134" i="6"/>
  <c r="D135" i="6"/>
  <c r="F135" i="6"/>
  <c r="D136" i="6"/>
  <c r="F136" i="6"/>
  <c r="D137" i="6"/>
  <c r="F137" i="6"/>
  <c r="D138" i="6"/>
  <c r="F138" i="6"/>
  <c r="D139" i="6"/>
  <c r="F139" i="6"/>
  <c r="D140" i="6"/>
  <c r="F140" i="6"/>
  <c r="D141" i="6"/>
  <c r="F141" i="6"/>
  <c r="D142" i="6"/>
  <c r="F142" i="6"/>
  <c r="D143" i="6"/>
  <c r="F143" i="6"/>
  <c r="D144" i="6"/>
  <c r="F144" i="6"/>
  <c r="D146" i="6"/>
  <c r="F146" i="6"/>
  <c r="G146" i="6"/>
  <c r="D147" i="6"/>
  <c r="F147" i="6"/>
  <c r="G147" i="6"/>
  <c r="D149" i="6"/>
  <c r="F149" i="6"/>
  <c r="D150" i="6"/>
  <c r="F150" i="6"/>
  <c r="D151" i="6"/>
  <c r="F151" i="6"/>
  <c r="G151" i="6"/>
  <c r="D152" i="6"/>
  <c r="F152" i="6"/>
  <c r="D154" i="6"/>
  <c r="F154" i="6"/>
  <c r="G154" i="6"/>
  <c r="D155" i="6"/>
  <c r="F155" i="6"/>
  <c r="D156" i="6"/>
  <c r="F156" i="6"/>
  <c r="D157" i="6"/>
  <c r="F157" i="6"/>
  <c r="G157" i="6"/>
  <c r="D158" i="6"/>
  <c r="F158" i="6"/>
  <c r="G158" i="6"/>
  <c r="D159" i="6"/>
  <c r="F159" i="6"/>
  <c r="G159" i="6"/>
  <c r="D160" i="6"/>
  <c r="F160" i="6"/>
  <c r="G160" i="6"/>
  <c r="D161" i="6"/>
  <c r="F161" i="6"/>
  <c r="D162" i="6"/>
  <c r="F162" i="6"/>
  <c r="G162" i="6"/>
  <c r="F47" i="6"/>
  <c r="G47" i="6"/>
  <c r="D47" i="6"/>
  <c r="F45" i="6"/>
  <c r="G45" i="6"/>
  <c r="D48" i="6"/>
  <c r="D67" i="6"/>
  <c r="D68" i="6"/>
  <c r="D69" i="6"/>
  <c r="D71" i="6"/>
  <c r="D72" i="6"/>
  <c r="D73" i="6"/>
  <c r="D74" i="6"/>
  <c r="G75" i="6"/>
  <c r="D78" i="6"/>
  <c r="D79" i="6"/>
  <c r="D57" i="6"/>
  <c r="D66" i="6"/>
  <c r="F66" i="6"/>
  <c r="F67" i="6"/>
  <c r="G67" i="6"/>
  <c r="F68" i="6"/>
  <c r="G68" i="6"/>
  <c r="F69" i="6"/>
  <c r="F71" i="6"/>
  <c r="F72" i="6"/>
  <c r="F73" i="6"/>
  <c r="G73" i="6"/>
  <c r="F74" i="6"/>
  <c r="F75" i="6"/>
  <c r="F78" i="6"/>
  <c r="F79" i="6"/>
  <c r="F48" i="6"/>
  <c r="D64" i="6"/>
  <c r="F64" i="6"/>
  <c r="H162" i="6" l="1"/>
  <c r="I162" i="6"/>
  <c r="G139" i="6"/>
  <c r="I139" i="6"/>
  <c r="H139" i="6"/>
  <c r="H93" i="6"/>
  <c r="I93" i="6"/>
  <c r="G74" i="6"/>
  <c r="H74" i="6"/>
  <c r="I74" i="6"/>
  <c r="H147" i="6"/>
  <c r="I147" i="6"/>
  <c r="H123" i="6"/>
  <c r="I123" i="6"/>
  <c r="G80" i="6"/>
  <c r="I80" i="6"/>
  <c r="H92" i="6"/>
  <c r="I92" i="6"/>
  <c r="G98" i="6"/>
  <c r="H98" i="6"/>
  <c r="I98" i="6"/>
  <c r="G104" i="6"/>
  <c r="I104" i="6"/>
  <c r="G156" i="6"/>
  <c r="H156" i="6"/>
  <c r="I156" i="6"/>
  <c r="G131" i="6"/>
  <c r="H131" i="6"/>
  <c r="I131" i="6"/>
  <c r="G110" i="6"/>
  <c r="I110" i="6"/>
  <c r="H151" i="6"/>
  <c r="I151" i="6"/>
  <c r="G134" i="6"/>
  <c r="H134" i="6"/>
  <c r="I134" i="6"/>
  <c r="G86" i="6"/>
  <c r="H86" i="6"/>
  <c r="I86" i="6"/>
  <c r="G72" i="6"/>
  <c r="H72" i="6"/>
  <c r="I72" i="6"/>
  <c r="H47" i="6"/>
  <c r="I47" i="6"/>
  <c r="H158" i="6"/>
  <c r="I158" i="6"/>
  <c r="G122" i="6"/>
  <c r="H122" i="6"/>
  <c r="I122" i="6"/>
  <c r="G90" i="6"/>
  <c r="H90" i="6"/>
  <c r="I90" i="6"/>
  <c r="G102" i="6"/>
  <c r="I102" i="6"/>
  <c r="H159" i="6"/>
  <c r="I159" i="6"/>
  <c r="G135" i="6"/>
  <c r="I135" i="6"/>
  <c r="H84" i="6"/>
  <c r="I84" i="6"/>
  <c r="G114" i="6"/>
  <c r="I114" i="6"/>
  <c r="H73" i="6"/>
  <c r="I73" i="6"/>
  <c r="G113" i="6"/>
  <c r="I113" i="6"/>
  <c r="G150" i="6"/>
  <c r="H150" i="6"/>
  <c r="I150" i="6"/>
  <c r="H146" i="6"/>
  <c r="I146" i="6"/>
  <c r="G141" i="6"/>
  <c r="H141" i="6"/>
  <c r="I141" i="6"/>
  <c r="G137" i="6"/>
  <c r="I137" i="6"/>
  <c r="G133" i="6"/>
  <c r="I133" i="6"/>
  <c r="G129" i="6"/>
  <c r="I129" i="6"/>
  <c r="G118" i="6"/>
  <c r="H118" i="6"/>
  <c r="I118" i="6"/>
  <c r="G82" i="6"/>
  <c r="H82" i="6"/>
  <c r="I82" i="6"/>
  <c r="G89" i="6"/>
  <c r="H89" i="6"/>
  <c r="I89" i="6"/>
  <c r="G116" i="6"/>
  <c r="I116" i="6"/>
  <c r="G112" i="6"/>
  <c r="H112" i="6"/>
  <c r="I112" i="6"/>
  <c r="G108" i="6"/>
  <c r="H108" i="6"/>
  <c r="I108" i="6"/>
  <c r="G101" i="6"/>
  <c r="I101" i="6"/>
  <c r="G65" i="6"/>
  <c r="H65" i="6"/>
  <c r="I65" i="6"/>
  <c r="G48" i="6"/>
  <c r="H48" i="6"/>
  <c r="I48" i="6"/>
  <c r="G143" i="6"/>
  <c r="I143" i="6"/>
  <c r="G127" i="6"/>
  <c r="I127" i="6"/>
  <c r="G97" i="6"/>
  <c r="H97" i="6"/>
  <c r="I97" i="6"/>
  <c r="H87" i="6"/>
  <c r="I87" i="6"/>
  <c r="G155" i="6"/>
  <c r="H155" i="6"/>
  <c r="I155" i="6"/>
  <c r="G138" i="6"/>
  <c r="I138" i="6"/>
  <c r="H119" i="6"/>
  <c r="I119" i="6"/>
  <c r="G91" i="6"/>
  <c r="H91" i="6"/>
  <c r="I91" i="6"/>
  <c r="G103" i="6"/>
  <c r="I103" i="6"/>
  <c r="G66" i="6"/>
  <c r="H66" i="6"/>
  <c r="I66" i="6"/>
  <c r="G71" i="6"/>
  <c r="I71" i="6"/>
  <c r="G57" i="6"/>
  <c r="H57" i="6"/>
  <c r="I57" i="6"/>
  <c r="G69" i="6"/>
  <c r="H69" i="6"/>
  <c r="I69" i="6"/>
  <c r="H160" i="6"/>
  <c r="I160" i="6"/>
  <c r="H154" i="6"/>
  <c r="I154" i="6"/>
  <c r="G121" i="6"/>
  <c r="I121" i="6"/>
  <c r="H121" i="6"/>
  <c r="H85" i="6"/>
  <c r="I85" i="6"/>
  <c r="H96" i="6"/>
  <c r="I96" i="6"/>
  <c r="H88" i="6"/>
  <c r="I88" i="6"/>
  <c r="G99" i="6"/>
  <c r="H99" i="6"/>
  <c r="I99" i="6"/>
  <c r="G56" i="6"/>
  <c r="I56" i="6"/>
  <c r="G105" i="6"/>
  <c r="H105" i="6"/>
  <c r="I105" i="6"/>
  <c r="G161" i="6"/>
  <c r="H161" i="6"/>
  <c r="I161" i="6"/>
  <c r="G126" i="6"/>
  <c r="I126" i="6"/>
  <c r="G64" i="6"/>
  <c r="H64" i="6"/>
  <c r="I64" i="6"/>
  <c r="H68" i="6"/>
  <c r="I68" i="6"/>
  <c r="H157" i="6"/>
  <c r="I157" i="6"/>
  <c r="G149" i="6"/>
  <c r="H149" i="6"/>
  <c r="I149" i="6"/>
  <c r="G144" i="6"/>
  <c r="H144" i="6"/>
  <c r="I144" i="6"/>
  <c r="G140" i="6"/>
  <c r="I140" i="6"/>
  <c r="G136" i="6"/>
  <c r="I136" i="6"/>
  <c r="G128" i="6"/>
  <c r="H128" i="6"/>
  <c r="I128" i="6"/>
  <c r="G124" i="6"/>
  <c r="H124" i="6"/>
  <c r="I124" i="6"/>
  <c r="H77" i="6"/>
  <c r="I77" i="6"/>
  <c r="H95" i="6"/>
  <c r="I95" i="6"/>
  <c r="G115" i="6"/>
  <c r="I115" i="6"/>
  <c r="G111" i="6"/>
  <c r="I111" i="6"/>
  <c r="G107" i="6"/>
  <c r="H107" i="6"/>
  <c r="I107" i="6"/>
  <c r="G130" i="6"/>
  <c r="I130" i="6"/>
  <c r="H130" i="6"/>
  <c r="G83" i="6"/>
  <c r="H83" i="6"/>
  <c r="I83" i="6"/>
  <c r="G78" i="6"/>
  <c r="H78" i="6"/>
  <c r="I78" i="6"/>
  <c r="H67" i="6"/>
  <c r="I67" i="6"/>
  <c r="H152" i="6"/>
  <c r="I152" i="6"/>
  <c r="G120" i="6"/>
  <c r="H120" i="6"/>
  <c r="I120" i="6"/>
  <c r="H117" i="6"/>
  <c r="I117" i="6"/>
  <c r="H81" i="6"/>
  <c r="I81" i="6"/>
  <c r="G94" i="6"/>
  <c r="H94" i="6"/>
  <c r="I94" i="6"/>
  <c r="G142" i="6"/>
  <c r="I142" i="6"/>
  <c r="H142" i="6"/>
  <c r="G132" i="6"/>
  <c r="I132" i="6"/>
  <c r="H132" i="6"/>
  <c r="G125" i="6"/>
  <c r="H125" i="6"/>
  <c r="I125" i="6"/>
  <c r="G109" i="6"/>
  <c r="H109" i="6"/>
  <c r="I109" i="6"/>
  <c r="G79" i="6"/>
  <c r="H79" i="6"/>
  <c r="I79" i="6"/>
  <c r="G70" i="6"/>
  <c r="I70" i="6"/>
  <c r="H70" i="6"/>
  <c r="G55" i="6"/>
  <c r="H55" i="6"/>
  <c r="I55" i="6"/>
  <c r="G152" i="6"/>
  <c r="G96" i="6"/>
  <c r="F5" i="6"/>
  <c r="F6" i="6"/>
  <c r="F7" i="6"/>
  <c r="F8" i="6"/>
  <c r="F9" i="6"/>
  <c r="F16" i="6"/>
  <c r="F17" i="6"/>
  <c r="F22" i="6"/>
  <c r="F23" i="6"/>
  <c r="F24" i="6"/>
  <c r="F25" i="6"/>
  <c r="F26" i="6"/>
  <c r="F28" i="6"/>
  <c r="F34" i="6"/>
  <c r="F35" i="6"/>
  <c r="F36" i="6"/>
  <c r="F38" i="6"/>
  <c r="F39" i="6"/>
  <c r="F41" i="6"/>
  <c r="F42" i="6"/>
  <c r="F43" i="6"/>
  <c r="F44" i="6"/>
  <c r="F46" i="6"/>
  <c r="F50" i="6"/>
  <c r="F51" i="6"/>
  <c r="F53" i="6"/>
  <c r="F58" i="6"/>
  <c r="F59" i="6"/>
  <c r="F60" i="6"/>
  <c r="F61" i="6"/>
  <c r="F62" i="6"/>
  <c r="F63" i="6"/>
  <c r="F4" i="6"/>
  <c r="G5" i="6"/>
  <c r="G6" i="6"/>
  <c r="G7" i="6"/>
  <c r="G8" i="6"/>
  <c r="G30" i="6"/>
  <c r="G31" i="6"/>
  <c r="G32" i="6"/>
  <c r="G33" i="6"/>
  <c r="G34" i="6"/>
  <c r="G38" i="6"/>
  <c r="G50" i="6"/>
  <c r="G59" i="6"/>
  <c r="G60" i="6"/>
  <c r="G62" i="6"/>
  <c r="D7" i="6"/>
  <c r="D8" i="6"/>
  <c r="D9" i="6"/>
  <c r="D10" i="6"/>
  <c r="D11" i="6"/>
  <c r="D12" i="6"/>
  <c r="D13" i="6"/>
  <c r="D15" i="6"/>
  <c r="D16" i="6"/>
  <c r="D17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8" i="6"/>
  <c r="D39" i="6"/>
  <c r="D41" i="6"/>
  <c r="D42" i="6"/>
  <c r="D43" i="6"/>
  <c r="D44" i="6"/>
  <c r="D46" i="6"/>
  <c r="D50" i="6"/>
  <c r="D51" i="6"/>
  <c r="G51" i="6" s="1"/>
  <c r="M7" i="6" s="1"/>
  <c r="D53" i="6"/>
  <c r="D58" i="6"/>
  <c r="D59" i="6"/>
  <c r="D60" i="6"/>
  <c r="D61" i="6"/>
  <c r="D62" i="6"/>
  <c r="D63" i="6"/>
  <c r="D5" i="6"/>
  <c r="D6" i="6"/>
  <c r="D4" i="6"/>
  <c r="G9" i="6" l="1"/>
  <c r="I9" i="6"/>
  <c r="H9" i="6"/>
  <c r="H8" i="6"/>
  <c r="I8" i="6"/>
  <c r="G42" i="6"/>
  <c r="H42" i="6"/>
  <c r="I42" i="6"/>
  <c r="G24" i="6"/>
  <c r="H24" i="6"/>
  <c r="I24" i="6"/>
  <c r="H11" i="6"/>
  <c r="I11" i="6"/>
  <c r="G53" i="6"/>
  <c r="H53" i="6"/>
  <c r="I53" i="6"/>
  <c r="I5" i="6"/>
  <c r="H5" i="6"/>
  <c r="H59" i="6"/>
  <c r="I59" i="6"/>
  <c r="H32" i="6"/>
  <c r="I32" i="6"/>
  <c r="I4" i="6"/>
  <c r="H4" i="6"/>
  <c r="G58" i="6"/>
  <c r="H58" i="6"/>
  <c r="I58" i="6"/>
  <c r="G41" i="6"/>
  <c r="I41" i="6"/>
  <c r="I31" i="6"/>
  <c r="H31" i="6"/>
  <c r="G23" i="6"/>
  <c r="H23" i="6"/>
  <c r="I23" i="6"/>
  <c r="G10" i="6"/>
  <c r="H10" i="6"/>
  <c r="I10" i="6"/>
  <c r="G22" i="6"/>
  <c r="H22" i="6"/>
  <c r="I22" i="6"/>
  <c r="H38" i="6"/>
  <c r="I38" i="6"/>
  <c r="H50" i="6"/>
  <c r="I50" i="6"/>
  <c r="G36" i="6"/>
  <c r="H36" i="6"/>
  <c r="I36" i="6"/>
  <c r="G28" i="6"/>
  <c r="H28" i="6"/>
  <c r="I28" i="6"/>
  <c r="G16" i="6"/>
  <c r="H16" i="6"/>
  <c r="I16" i="6"/>
  <c r="H7" i="6"/>
  <c r="I7" i="6"/>
  <c r="G39" i="6"/>
  <c r="I39" i="6"/>
  <c r="H39" i="6"/>
  <c r="G29" i="6"/>
  <c r="H29" i="6"/>
  <c r="I29" i="6"/>
  <c r="G63" i="6"/>
  <c r="H63" i="6"/>
  <c r="I63" i="6"/>
  <c r="H62" i="6"/>
  <c r="I62" i="6"/>
  <c r="G46" i="6"/>
  <c r="H46" i="6"/>
  <c r="I46" i="6"/>
  <c r="G35" i="6"/>
  <c r="H35" i="6"/>
  <c r="I35" i="6"/>
  <c r="G27" i="6"/>
  <c r="H27" i="6"/>
  <c r="I27" i="6"/>
  <c r="G15" i="6"/>
  <c r="I15" i="6"/>
  <c r="H6" i="6"/>
  <c r="I6" i="6"/>
  <c r="G17" i="6"/>
  <c r="H17" i="6"/>
  <c r="I17" i="6"/>
  <c r="G61" i="6"/>
  <c r="H61" i="6"/>
  <c r="I61" i="6"/>
  <c r="H34" i="6"/>
  <c r="I34" i="6"/>
  <c r="H13" i="6"/>
  <c r="I13" i="6"/>
  <c r="H30" i="6"/>
  <c r="I30" i="6"/>
  <c r="H51" i="6"/>
  <c r="I51" i="6"/>
  <c r="G44" i="6"/>
  <c r="H44" i="6"/>
  <c r="I44" i="6"/>
  <c r="G26" i="6"/>
  <c r="H26" i="6"/>
  <c r="I26" i="6"/>
  <c r="H60" i="6"/>
  <c r="I60" i="6"/>
  <c r="G43" i="6"/>
  <c r="H43" i="6"/>
  <c r="I43" i="6"/>
  <c r="H33" i="6"/>
  <c r="I33" i="6"/>
  <c r="G25" i="6"/>
  <c r="H25" i="6"/>
  <c r="I25" i="6"/>
  <c r="G12" i="6"/>
  <c r="H12" i="6"/>
  <c r="I12" i="6"/>
  <c r="G4" i="6"/>
  <c r="M4" i="6" s="1"/>
  <c r="H14" i="6" l="1"/>
  <c r="B1" i="6"/>
  <c r="B1" i="7" s="1" a="1"/>
  <c r="B1" i="7" s="1"/>
  <c r="C209" i="6"/>
  <c r="D209" i="6" s="1"/>
  <c r="D40" i="6"/>
  <c r="I40" i="6" s="1"/>
  <c r="C1" i="6"/>
  <c r="A2" i="9" l="1" a="1"/>
  <c r="A2" i="9" s="1"/>
  <c r="A6" i="9" s="1"/>
  <c r="C6" i="9" s="1"/>
  <c r="D6" i="9" s="1"/>
  <c r="A9" i="9" a="1"/>
  <c r="A9" i="9" s="1"/>
  <c r="A15" i="9" s="1"/>
  <c r="C15" i="9" s="1"/>
  <c r="D15" i="9" s="1"/>
  <c r="H40" i="6"/>
  <c r="G40" i="6"/>
  <c r="D210" i="6"/>
  <c r="A23" i="9" l="1" a="1"/>
  <c r="A23" i="9" s="1"/>
  <c r="A28" i="9" s="1"/>
  <c r="C28" i="9" s="1"/>
  <c r="D28" i="9" s="1"/>
  <c r="B1" i="8" a="1"/>
  <c r="B1" i="8" s="1"/>
  <c r="B131" i="8" s="1"/>
  <c r="B132" i="8" s="1"/>
  <c r="G210" i="6"/>
  <c r="G213" i="6" s="1"/>
  <c r="A18" i="9" s="1" a="1"/>
  <c r="A18" i="9" s="1"/>
  <c r="A20" i="9" s="1"/>
  <c r="C20" i="9" s="1"/>
  <c r="D20" i="9" s="1"/>
  <c r="F210" i="6"/>
  <c r="F213" i="6" s="1"/>
  <c r="B133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<sst xmlns="http://schemas.openxmlformats.org/spreadsheetml/2006/main" count="569" uniqueCount="265">
  <si>
    <t>gm</t>
  </si>
  <si>
    <t>oz</t>
  </si>
  <si>
    <t>runners cap</t>
  </si>
  <si>
    <t>Bathroom kit</t>
  </si>
  <si>
    <t>liner socks</t>
  </si>
  <si>
    <t>wool socks</t>
  </si>
  <si>
    <t>underwear</t>
  </si>
  <si>
    <t>head lamp</t>
  </si>
  <si>
    <t>tooth brush</t>
  </si>
  <si>
    <t>lip balm</t>
  </si>
  <si>
    <t>red bandana</t>
  </si>
  <si>
    <t>bandana</t>
  </si>
  <si>
    <t>Water Filter Kit</t>
  </si>
  <si>
    <t>rain kilt</t>
  </si>
  <si>
    <t>Maps</t>
  </si>
  <si>
    <t>bear bag and rope</t>
  </si>
  <si>
    <t>Trail details</t>
  </si>
  <si>
    <t>rope pieces</t>
  </si>
  <si>
    <t>shorts</t>
  </si>
  <si>
    <t>notepad / journal</t>
  </si>
  <si>
    <t>pen / pencil</t>
  </si>
  <si>
    <t>running tights *</t>
  </si>
  <si>
    <t>Philmont Seat</t>
  </si>
  <si>
    <t>thermal shirt *</t>
  </si>
  <si>
    <t>Ultralight chair</t>
  </si>
  <si>
    <t>balaclava *</t>
  </si>
  <si>
    <t>puffy</t>
  </si>
  <si>
    <t>Total grams</t>
  </si>
  <si>
    <t>Total base lb &amp; oz</t>
  </si>
  <si>
    <t>23oz=</t>
  </si>
  <si>
    <t>1 lb 7 oz X 7 days = 10 lbs</t>
  </si>
  <si>
    <t>gram per oz</t>
  </si>
  <si>
    <t>Food</t>
  </si>
  <si>
    <t>* heavy clothing</t>
  </si>
  <si>
    <t>Water</t>
  </si>
  <si>
    <t>oz per gram</t>
  </si>
  <si>
    <t>**Fuel 2oz/day</t>
  </si>
  <si>
    <t>Total lb &amp; oz</t>
  </si>
  <si>
    <t>Blue Pack</t>
  </si>
  <si>
    <t>Red Pack</t>
  </si>
  <si>
    <t>Yellow Pack</t>
  </si>
  <si>
    <t xml:space="preserve"> </t>
  </si>
  <si>
    <t>x</t>
  </si>
  <si>
    <t>Items</t>
  </si>
  <si>
    <t>pocket knife</t>
  </si>
  <si>
    <t>sewing kit</t>
  </si>
  <si>
    <t>gators</t>
  </si>
  <si>
    <t>2 ounce fuel per day</t>
  </si>
  <si>
    <t>24-32 ounces food per day</t>
  </si>
  <si>
    <t>Zip lock bags (1 gallon) food</t>
  </si>
  <si>
    <t>Zip lock bags (2 gallon) food</t>
  </si>
  <si>
    <t>sunscreen</t>
  </si>
  <si>
    <t>grams</t>
  </si>
  <si>
    <t>ounces</t>
  </si>
  <si>
    <t>Pack Group</t>
  </si>
  <si>
    <t>Orange Pack #1</t>
  </si>
  <si>
    <t>New Pack</t>
  </si>
  <si>
    <t>Green/Tan Pack Cover</t>
  </si>
  <si>
    <t>Orange Pack Cover</t>
  </si>
  <si>
    <t>Pack hip pockets</t>
  </si>
  <si>
    <t>Pack Liner/Garbage bag</t>
  </si>
  <si>
    <t>Shelter Group</t>
  </si>
  <si>
    <t>Tree straps black</t>
  </si>
  <si>
    <t>Whoopie slings #1</t>
  </si>
  <si>
    <t>Tarp grey &amp; lines</t>
  </si>
  <si>
    <t>bug net original</t>
  </si>
  <si>
    <t>bug net new</t>
  </si>
  <si>
    <t>stakes AL red</t>
  </si>
  <si>
    <t>stakes AL orange</t>
  </si>
  <si>
    <t>stakes Ti</t>
  </si>
  <si>
    <t>tent outside</t>
  </si>
  <si>
    <t>tent inside</t>
  </si>
  <si>
    <t>Air matress Big Birtha</t>
  </si>
  <si>
    <t>Air matress blue</t>
  </si>
  <si>
    <t>Tyvek 4x3</t>
  </si>
  <si>
    <t>plastic footprint</t>
  </si>
  <si>
    <t>Sleeping Group</t>
  </si>
  <si>
    <r>
      <t>30</t>
    </r>
    <r>
      <rPr>
        <sz val="11"/>
        <rFont val="Times New Roman"/>
        <family val="1"/>
      </rPr>
      <t>°</t>
    </r>
    <r>
      <rPr>
        <sz val="11"/>
        <rFont val="Calibri"/>
        <family val="2"/>
        <scheme val="minor"/>
      </rPr>
      <t xml:space="preserve"> sleeping bag</t>
    </r>
  </si>
  <si>
    <t>Pack Weight</t>
  </si>
  <si>
    <t>Mylar blanket</t>
  </si>
  <si>
    <t>Fleece hat</t>
  </si>
  <si>
    <t>Kitchen Group</t>
  </si>
  <si>
    <t>Hygiene Group</t>
  </si>
  <si>
    <t>Navigation Group</t>
  </si>
  <si>
    <t>Repair Group</t>
  </si>
  <si>
    <t>First Aid Group</t>
  </si>
  <si>
    <t>Misc Group</t>
  </si>
  <si>
    <t>Rain Gear Group</t>
  </si>
  <si>
    <t>Clothing in Pack Group</t>
  </si>
  <si>
    <t>Clothing Worn Group</t>
  </si>
  <si>
    <t>Consumables Group</t>
  </si>
  <si>
    <t>belt</t>
  </si>
  <si>
    <t>suspenders</t>
  </si>
  <si>
    <t>eye glass case - soft</t>
  </si>
  <si>
    <t>Headband</t>
  </si>
  <si>
    <t>short sleeve shirt</t>
  </si>
  <si>
    <t>long sleeve shirt</t>
  </si>
  <si>
    <t>Down booties</t>
  </si>
  <si>
    <t>Wool socks</t>
  </si>
  <si>
    <t>camp shoes</t>
  </si>
  <si>
    <t>Fleece sleeping bag</t>
  </si>
  <si>
    <t>sleeping bag liner #2</t>
  </si>
  <si>
    <t>sleeping bag liner blue</t>
  </si>
  <si>
    <t>pillow orange/gray</t>
  </si>
  <si>
    <t>Rain pants black *</t>
  </si>
  <si>
    <t>Rain jacket Green *</t>
  </si>
  <si>
    <t>IsoPro Stove w/ ignitor</t>
  </si>
  <si>
    <t>New Rain Pants Xeon</t>
  </si>
  <si>
    <t>DutchGear $55</t>
  </si>
  <si>
    <t>pot .7 gt cup &amp; windscreen</t>
  </si>
  <si>
    <t>New</t>
  </si>
  <si>
    <t>New Items</t>
  </si>
  <si>
    <t>lighter</t>
  </si>
  <si>
    <t>maches</t>
  </si>
  <si>
    <t>dryer lint</t>
  </si>
  <si>
    <t>spork short</t>
  </si>
  <si>
    <t>Fuel botle **</t>
  </si>
  <si>
    <t>Alcohol Stove **</t>
  </si>
  <si>
    <t>cozy for freezer bag meals</t>
  </si>
  <si>
    <t>IsoPro canister stand</t>
  </si>
  <si>
    <t>IsoPro canister 8oz</t>
  </si>
  <si>
    <t>IsoPro canister 4oz</t>
  </si>
  <si>
    <t>Refer to Recipies.txt</t>
  </si>
  <si>
    <t>water jug botom</t>
  </si>
  <si>
    <t>food bag yellow</t>
  </si>
  <si>
    <t>3 liter bladder</t>
  </si>
  <si>
    <t>smart water bottles</t>
  </si>
  <si>
    <t>water bottles collapsable</t>
  </si>
  <si>
    <t xml:space="preserve">  --tubing</t>
  </si>
  <si>
    <t xml:space="preserve">   --CNOC 3 liter</t>
  </si>
  <si>
    <t xml:space="preserve">  --sawyer squeze</t>
  </si>
  <si>
    <t>pack towel</t>
  </si>
  <si>
    <t xml:space="preserve">  --TP</t>
  </si>
  <si>
    <t xml:space="preserve">  --wet wipes</t>
  </si>
  <si>
    <t xml:space="preserve">  --Gold Bond</t>
  </si>
  <si>
    <t>Shovel Titanium</t>
  </si>
  <si>
    <t>Bandana blue</t>
  </si>
  <si>
    <t>hand sanitizer on pack</t>
  </si>
  <si>
    <t>Compass</t>
  </si>
  <si>
    <t>First aid kit</t>
  </si>
  <si>
    <t>Tenacious tape</t>
  </si>
  <si>
    <t>extra buckle</t>
  </si>
  <si>
    <t>mosquito head net</t>
  </si>
  <si>
    <t>license / money / credit card</t>
  </si>
  <si>
    <t>flashlight</t>
  </si>
  <si>
    <t>Nylon water bag</t>
  </si>
  <si>
    <t>Medication</t>
  </si>
  <si>
    <t>64 ounces water</t>
  </si>
  <si>
    <t>hiking boots</t>
  </si>
  <si>
    <t>tech shirt</t>
  </si>
  <si>
    <t>Kilt / Zip-offs</t>
  </si>
  <si>
    <t>Shovel plastic</t>
  </si>
  <si>
    <t>hand sanitizer (extra)</t>
  </si>
  <si>
    <t>phone (in zip-loc)</t>
  </si>
  <si>
    <t xml:space="preserve">  -- hand sanitizer</t>
  </si>
  <si>
    <t>trekking poles</t>
  </si>
  <si>
    <t>foam pad 12 x 18</t>
  </si>
  <si>
    <t>foam pad 17 x 24</t>
  </si>
  <si>
    <t>Liner socks</t>
  </si>
  <si>
    <t>dropdown samples</t>
  </si>
  <si>
    <t>Sleeping Clothes Group</t>
  </si>
  <si>
    <t>zip-offs</t>
  </si>
  <si>
    <t>gloves/mittens</t>
  </si>
  <si>
    <t xml:space="preserve">long sleeve shirt </t>
  </si>
  <si>
    <t>long sleeve shirt heavy</t>
  </si>
  <si>
    <t>thermal underwear</t>
  </si>
  <si>
    <t>neck gaiter</t>
  </si>
  <si>
    <t>bug spray</t>
  </si>
  <si>
    <t>Pounds</t>
  </si>
  <si>
    <t>Ounces</t>
  </si>
  <si>
    <t>lbs</t>
  </si>
  <si>
    <t xml:space="preserve">  grams | ounces</t>
  </si>
  <si>
    <t>phone battery 10,000mAh</t>
  </si>
  <si>
    <t>phone battery 4,000mAh</t>
  </si>
  <si>
    <t>pillow black (Outdoor Vitals)</t>
  </si>
  <si>
    <t>Duct tape on trekking poles</t>
  </si>
  <si>
    <t>spare batteries 3 AAA</t>
  </si>
  <si>
    <t>tooth  dots / paste</t>
  </si>
  <si>
    <t>spare batteries 3 AA</t>
  </si>
  <si>
    <t>RTB or DutchGear</t>
  </si>
  <si>
    <t>BRS 3000T Backpacking Stove</t>
  </si>
  <si>
    <t>Cocoon Silk MummyLiner 4oz</t>
  </si>
  <si>
    <t>¨</t>
  </si>
  <si>
    <t>Total Ounces</t>
  </si>
  <si>
    <t>.67oz noseeum RBT; 4oz</t>
  </si>
  <si>
    <t>HydroBlu Versa Filter 40g</t>
  </si>
  <si>
    <t>Notes</t>
  </si>
  <si>
    <t xml:space="preserve">  --Filter  (New: Versa Filter)</t>
  </si>
  <si>
    <t>1.1oz polysil 8yds RBTR;  12.9 sq yds;1.1=14.2; 1.6=20.6</t>
  </si>
  <si>
    <t>Kilt</t>
  </si>
  <si>
    <t>Rain jacket white/green</t>
  </si>
  <si>
    <t>Need Weight</t>
  </si>
  <si>
    <t>Zip lock bags (1 quart) food</t>
  </si>
  <si>
    <t>hammock chair (green)</t>
  </si>
  <si>
    <r>
      <t>0</t>
    </r>
    <r>
      <rPr>
        <sz val="11"/>
        <rFont val="Times New Roman"/>
        <family val="1"/>
      </rPr>
      <t>°</t>
    </r>
    <r>
      <rPr>
        <sz val="11"/>
        <rFont val="Calibri"/>
        <family val="2"/>
      </rPr>
      <t xml:space="preserve"> sleeping bag</t>
    </r>
    <r>
      <rPr>
        <sz val="11"/>
        <rFont val="Calibri"/>
        <family val="2"/>
        <scheme val="minor"/>
      </rPr>
      <t xml:space="preserve"> - Antero</t>
    </r>
  </si>
  <si>
    <r>
      <t>15</t>
    </r>
    <r>
      <rPr>
        <sz val="11"/>
        <rFont val="Times New Roman"/>
        <family val="1"/>
      </rPr>
      <t>°</t>
    </r>
    <r>
      <rPr>
        <sz val="11"/>
        <rFont val="Calibri"/>
        <family val="2"/>
      </rPr>
      <t xml:space="preserve"> sleeping bag</t>
    </r>
    <r>
      <rPr>
        <sz val="11"/>
        <rFont val="Calibri"/>
        <family val="2"/>
        <scheme val="minor"/>
      </rPr>
      <t xml:space="preserve"> - Katahdin</t>
    </r>
  </si>
  <si>
    <t>Hammock Olive</t>
  </si>
  <si>
    <t>Camp chair - heavy</t>
  </si>
  <si>
    <t>Tarp Forest green &amp; lines</t>
  </si>
  <si>
    <t>spoon long</t>
  </si>
  <si>
    <t>Helinox Chair Zero Ultralight 1.2lbs $129.99</t>
  </si>
  <si>
    <t>Bridge Hammock; 1.2 Hexon Olive</t>
  </si>
  <si>
    <t>Tree straps spider poly</t>
  </si>
  <si>
    <t>UCR</t>
  </si>
  <si>
    <t>Rain jacket blue FroggTog</t>
  </si>
  <si>
    <t>Rain pants blue FroggTog</t>
  </si>
  <si>
    <t>food bag Blue</t>
  </si>
  <si>
    <t>BRS 3000T Stove</t>
  </si>
  <si>
    <t>older; Do NOT Use</t>
  </si>
  <si>
    <t>Top Quilt</t>
  </si>
  <si>
    <t>Tyvek 7.5' x 5' footprint</t>
  </si>
  <si>
    <t>Tyvek 8x3 footprint</t>
  </si>
  <si>
    <t>Spreader Bars 28"</t>
  </si>
  <si>
    <t>Spreader Bars 32"</t>
  </si>
  <si>
    <t>1.25 Qt. Pot &amp; windscreen Large</t>
  </si>
  <si>
    <t xml:space="preserve">  --bleach/polar pure/ tablets</t>
  </si>
  <si>
    <t xml:space="preserve">  --6 large safety pins</t>
  </si>
  <si>
    <t xml:space="preserve">  --nail clippers</t>
  </si>
  <si>
    <t>lb</t>
  </si>
  <si>
    <t>Tot oz</t>
  </si>
  <si>
    <t>P</t>
  </si>
  <si>
    <t>C</t>
  </si>
  <si>
    <t>H</t>
  </si>
  <si>
    <t>T</t>
  </si>
  <si>
    <t>New Under Quilt</t>
  </si>
  <si>
    <t>Bridge Hammock</t>
  </si>
  <si>
    <t>Tent</t>
  </si>
  <si>
    <t>Tarp</t>
  </si>
  <si>
    <t>Backpack</t>
  </si>
  <si>
    <t>Lighten bug net</t>
  </si>
  <si>
    <t>Convert to treking poles</t>
  </si>
  <si>
    <t>Tent Hammock</t>
  </si>
  <si>
    <t>sq. inches per yard</t>
  </si>
  <si>
    <t>Poles</t>
  </si>
  <si>
    <t>bag</t>
  </si>
  <si>
    <t>pole bag</t>
  </si>
  <si>
    <t>Hammock w/ bugnet</t>
  </si>
  <si>
    <t>straps, stakes, shock cord, bag</t>
  </si>
  <si>
    <t>Griz Arieal Hammock; 1.6ox Hexon</t>
  </si>
  <si>
    <t>New Pack Cover x</t>
  </si>
  <si>
    <t>15° sleeping bag - Katahdin</t>
  </si>
  <si>
    <t>Total</t>
  </si>
  <si>
    <t>Sleeping Bags</t>
  </si>
  <si>
    <t>New Top Quilt</t>
  </si>
  <si>
    <t>New liner</t>
  </si>
  <si>
    <t>naturehike 4.5oz 29.99</t>
  </si>
  <si>
    <t>sq yards</t>
  </si>
  <si>
    <t>Combined (hammock)</t>
  </si>
  <si>
    <t>Material Weight gm</t>
  </si>
  <si>
    <t>Copmbined</t>
  </si>
  <si>
    <t>Weight Saved</t>
  </si>
  <si>
    <t>Argon 90</t>
  </si>
  <si>
    <t>Climashield</t>
  </si>
  <si>
    <t>Climashied</t>
  </si>
  <si>
    <t>40 F</t>
  </si>
  <si>
    <t>30 F</t>
  </si>
  <si>
    <t>20 F</t>
  </si>
  <si>
    <t>10 F</t>
  </si>
  <si>
    <t>1.6 OZ Xeon</t>
  </si>
  <si>
    <t>.67 oz bugnet</t>
  </si>
  <si>
    <t>Hammock weight</t>
  </si>
  <si>
    <t>50 F</t>
  </si>
  <si>
    <t>Selected Items Weight for base pack weight</t>
  </si>
  <si>
    <t>Under Quilt Blue 5.0 Climashield</t>
  </si>
  <si>
    <t>get 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</si>
</sst>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 0;\-0;;@"/>
    <numFmt numFmtId="166" formatCode="0;\-0;;\ @"/>
  </numFmts>
  <fonts count="20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</font>
    <font>
      <sz val="11"/>
      <name val="Arial"/>
      <family val="2"/>
    </font>
    <font>
      <b/>
      <u/>
      <sz val="12"/>
      <name val="Calibri"/>
      <family val="2"/>
      <scheme val="minor"/>
    </font>
    <font>
      <b/>
      <i/>
      <u/>
      <sz val="12"/>
      <name val="Calibri"/>
      <family val="2"/>
      <scheme val="minor"/>
    </font>
    <font>
      <sz val="11"/>
      <color theme="1"/>
      <name val="Wingdings"/>
      <charset val="2"/>
    </font>
    <font>
      <b/>
      <u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EB8B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 style="double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25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2" borderId="0" xfId="0" applyFont="1" applyFill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9" xfId="0" applyFont="1" applyBorder="1"/>
    <xf numFmtId="2" fontId="0" fillId="0" borderId="0" xfId="0" applyNumberFormat="1"/>
    <xf numFmtId="0" fontId="2" fillId="0" borderId="2" xfId="0" applyFont="1" applyBorder="1" applyAlignment="1">
      <alignment horizontal="left"/>
    </xf>
    <xf numFmtId="0" fontId="2" fillId="0" borderId="12" xfId="0" applyFont="1" applyBorder="1"/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Font="1"/>
    <xf numFmtId="0" fontId="4" fillId="0" borderId="0" xfId="1"/>
    <xf numFmtId="0" fontId="6" fillId="0" borderId="0" xfId="1" applyFont="1"/>
    <xf numFmtId="0" fontId="6" fillId="0" borderId="0" xfId="1" applyFont="1" applyAlignment="1">
      <alignment horizontal="center"/>
    </xf>
    <xf numFmtId="0" fontId="7" fillId="0" borderId="0" xfId="1" applyFont="1"/>
    <xf numFmtId="0" fontId="8" fillId="0" borderId="0" xfId="1" applyFont="1"/>
    <xf numFmtId="0" fontId="5" fillId="0" borderId="0" xfId="0" applyFont="1"/>
    <xf numFmtId="2" fontId="5" fillId="0" borderId="0" xfId="0" applyNumberFormat="1" applyFont="1"/>
    <xf numFmtId="0" fontId="5" fillId="0" borderId="11" xfId="0" applyFont="1" applyBorder="1"/>
    <xf numFmtId="0" fontId="5" fillId="0" borderId="5" xfId="0" applyFont="1" applyBorder="1"/>
    <xf numFmtId="0" fontId="5" fillId="0" borderId="6" xfId="0" applyFont="1" applyBorder="1"/>
    <xf numFmtId="0" fontId="3" fillId="0" borderId="0" xfId="1" applyFont="1"/>
    <xf numFmtId="0" fontId="9" fillId="0" borderId="0" xfId="1" applyFont="1" applyAlignment="1">
      <alignment horizontal="center"/>
    </xf>
    <xf numFmtId="0" fontId="9" fillId="0" borderId="0" xfId="1" applyFont="1"/>
    <xf numFmtId="2" fontId="2" fillId="0" borderId="3" xfId="0" applyNumberFormat="1" applyFont="1" applyBorder="1"/>
    <xf numFmtId="0" fontId="5" fillId="3" borderId="0" xfId="0" applyFont="1" applyFill="1"/>
    <xf numFmtId="0" fontId="3" fillId="3" borderId="0" xfId="1" applyFont="1" applyFill="1"/>
    <xf numFmtId="0" fontId="10" fillId="3" borderId="0" xfId="1" applyFont="1" applyFill="1"/>
    <xf numFmtId="2" fontId="5" fillId="0" borderId="0" xfId="0" applyNumberFormat="1" applyFont="1" applyBorder="1"/>
    <xf numFmtId="0" fontId="5" fillId="0" borderId="0" xfId="0" applyFont="1" applyBorder="1"/>
    <xf numFmtId="0" fontId="2" fillId="0" borderId="13" xfId="0" applyFont="1" applyBorder="1"/>
    <xf numFmtId="2" fontId="9" fillId="0" borderId="0" xfId="1" applyNumberFormat="1" applyFont="1" applyAlignment="1">
      <alignment horizontal="center"/>
    </xf>
    <xf numFmtId="2" fontId="8" fillId="0" borderId="0" xfId="1" applyNumberFormat="1" applyFont="1"/>
    <xf numFmtId="0" fontId="0" fillId="0" borderId="0" xfId="0" applyFont="1" applyBorder="1"/>
    <xf numFmtId="2" fontId="0" fillId="0" borderId="0" xfId="0" applyNumberFormat="1" applyFont="1" applyBorder="1"/>
    <xf numFmtId="2" fontId="5" fillId="0" borderId="15" xfId="0" applyNumberFormat="1" applyFont="1" applyBorder="1"/>
    <xf numFmtId="0" fontId="9" fillId="0" borderId="0" xfId="1" applyFont="1" applyAlignment="1">
      <alignment horizontal="left"/>
    </xf>
    <xf numFmtId="0" fontId="10" fillId="0" borderId="0" xfId="1" applyFont="1" applyFill="1"/>
    <xf numFmtId="0" fontId="3" fillId="0" borderId="0" xfId="1" applyFont="1" applyProtection="1">
      <protection locked="0"/>
    </xf>
    <xf numFmtId="0" fontId="13" fillId="0" borderId="0" xfId="1" applyFont="1"/>
    <xf numFmtId="0" fontId="14" fillId="0" borderId="0" xfId="1" applyFont="1"/>
    <xf numFmtId="0" fontId="3" fillId="5" borderId="0" xfId="1" applyFont="1" applyFill="1"/>
    <xf numFmtId="0" fontId="10" fillId="5" borderId="0" xfId="1" applyFont="1" applyFill="1"/>
    <xf numFmtId="0" fontId="8" fillId="3" borderId="0" xfId="1" applyFont="1" applyFill="1"/>
    <xf numFmtId="0" fontId="0" fillId="2" borderId="0" xfId="0" quotePrefix="1" applyFill="1"/>
    <xf numFmtId="0" fontId="0" fillId="0" borderId="0" xfId="0" applyFont="1" applyAlignment="1">
      <alignment vertical="center"/>
    </xf>
    <xf numFmtId="0" fontId="0" fillId="5" borderId="0" xfId="0" applyFont="1" applyFill="1"/>
    <xf numFmtId="2" fontId="3" fillId="0" borderId="0" xfId="1" applyNumberFormat="1" applyFont="1"/>
    <xf numFmtId="0" fontId="10" fillId="4" borderId="0" xfId="1" applyFont="1" applyFill="1"/>
    <xf numFmtId="0" fontId="3" fillId="4" borderId="0" xfId="1" quotePrefix="1" applyFont="1" applyFill="1"/>
    <xf numFmtId="0" fontId="7" fillId="4" borderId="0" xfId="1" quotePrefix="1" applyFont="1" applyFill="1"/>
    <xf numFmtId="0" fontId="7" fillId="0" borderId="0" xfId="1" applyFont="1" applyFill="1"/>
    <xf numFmtId="0" fontId="3" fillId="0" borderId="0" xfId="1" applyFont="1" applyFill="1"/>
    <xf numFmtId="2" fontId="5" fillId="0" borderId="0" xfId="0" applyNumberFormat="1" applyFont="1" applyFill="1"/>
    <xf numFmtId="0" fontId="0" fillId="0" borderId="0" xfId="0" applyFont="1" applyFill="1"/>
    <xf numFmtId="0" fontId="8" fillId="0" borderId="0" xfId="1" applyFont="1" applyFill="1"/>
    <xf numFmtId="2" fontId="8" fillId="0" borderId="0" xfId="1" applyNumberFormat="1" applyFont="1" applyFill="1"/>
    <xf numFmtId="0" fontId="1" fillId="5" borderId="0" xfId="0" applyFont="1" applyFill="1"/>
    <xf numFmtId="0" fontId="0" fillId="0" borderId="10" xfId="0" applyFont="1" applyBorder="1"/>
    <xf numFmtId="0" fontId="2" fillId="0" borderId="14" xfId="0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0" fontId="2" fillId="0" borderId="1" xfId="0" quotePrefix="1" applyFont="1" applyBorder="1"/>
    <xf numFmtId="0" fontId="3" fillId="6" borderId="0" xfId="1" applyFont="1" applyFill="1"/>
    <xf numFmtId="0" fontId="3" fillId="0" borderId="0" xfId="1" applyFont="1" applyAlignment="1">
      <alignment wrapText="1"/>
    </xf>
    <xf numFmtId="0" fontId="16" fillId="0" borderId="0" xfId="0" applyFont="1" applyAlignment="1">
      <alignment horizontal="right"/>
    </xf>
    <xf numFmtId="0" fontId="2" fillId="0" borderId="17" xfId="0" applyFont="1" applyBorder="1"/>
    <xf numFmtId="0" fontId="2" fillId="0" borderId="19" xfId="0" applyFont="1" applyBorder="1"/>
    <xf numFmtId="0" fontId="2" fillId="0" borderId="21" xfId="0" applyFont="1" applyBorder="1"/>
    <xf numFmtId="0" fontId="15" fillId="7" borderId="0" xfId="1" applyFont="1" applyFill="1"/>
    <xf numFmtId="0" fontId="3" fillId="7" borderId="22" xfId="1" applyFont="1" applyFill="1" applyBorder="1"/>
    <xf numFmtId="0" fontId="3" fillId="7" borderId="23" xfId="1" applyFont="1" applyFill="1" applyBorder="1"/>
    <xf numFmtId="0" fontId="3" fillId="7" borderId="24" xfId="1" applyFont="1" applyFill="1" applyBorder="1"/>
    <xf numFmtId="0" fontId="9" fillId="0" borderId="0" xfId="1" applyFont="1" applyFill="1" applyAlignment="1">
      <alignment horizontal="center"/>
    </xf>
    <xf numFmtId="0" fontId="5" fillId="0" borderId="0" xfId="0" applyFont="1" applyFill="1"/>
    <xf numFmtId="0" fontId="5" fillId="0" borderId="8" xfId="0" applyFont="1" applyFill="1" applyBorder="1"/>
    <xf numFmtId="0" fontId="3" fillId="8" borderId="0" xfId="1" applyFont="1" applyFill="1"/>
    <xf numFmtId="0" fontId="3" fillId="3" borderId="0" xfId="1" applyFont="1" applyFill="1" applyAlignment="1">
      <alignment wrapText="1"/>
    </xf>
    <xf numFmtId="2" fontId="0" fillId="0" borderId="0" xfId="0" applyNumberFormat="1" applyFont="1"/>
    <xf numFmtId="2" fontId="0" fillId="0" borderId="0" xfId="0" applyNumberFormat="1" applyFont="1" applyFill="1"/>
    <xf numFmtId="0" fontId="10" fillId="3" borderId="0" xfId="1" applyFont="1" applyFill="1" applyAlignment="1">
      <alignment wrapText="1"/>
    </xf>
    <xf numFmtId="164" fontId="0" fillId="0" borderId="0" xfId="0" applyNumberFormat="1"/>
    <xf numFmtId="0" fontId="17" fillId="0" borderId="0" xfId="0" applyFont="1"/>
    <xf numFmtId="165" fontId="0" fillId="0" borderId="0" xfId="0" applyNumberFormat="1"/>
    <xf numFmtId="165" fontId="8" fillId="0" borderId="0" xfId="1" applyNumberFormat="1" applyFont="1"/>
    <xf numFmtId="165" fontId="9" fillId="0" borderId="0" xfId="1" applyNumberFormat="1" applyFont="1" applyAlignment="1">
      <alignment horizontal="center"/>
    </xf>
    <xf numFmtId="165" fontId="5" fillId="0" borderId="0" xfId="0" applyNumberFormat="1" applyFont="1"/>
    <xf numFmtId="165" fontId="0" fillId="0" borderId="0" xfId="0" applyNumberFormat="1" applyFont="1"/>
    <xf numFmtId="165" fontId="3" fillId="0" borderId="0" xfId="1" applyNumberFormat="1" applyFont="1"/>
    <xf numFmtId="165" fontId="2" fillId="0" borderId="0" xfId="0" applyNumberFormat="1" applyFont="1" applyBorder="1" applyAlignment="1">
      <alignment horizontal="right"/>
    </xf>
    <xf numFmtId="165" fontId="2" fillId="0" borderId="3" xfId="0" applyNumberFormat="1" applyFont="1" applyBorder="1"/>
    <xf numFmtId="165" fontId="5" fillId="0" borderId="11" xfId="0" applyNumberFormat="1" applyFont="1" applyBorder="1"/>
    <xf numFmtId="165" fontId="5" fillId="0" borderId="6" xfId="0" applyNumberFormat="1" applyFont="1" applyBorder="1"/>
    <xf numFmtId="0" fontId="2" fillId="0" borderId="0" xfId="0" applyFont="1" applyBorder="1"/>
    <xf numFmtId="2" fontId="2" fillId="0" borderId="0" xfId="0" applyNumberFormat="1" applyFont="1" applyBorder="1"/>
    <xf numFmtId="2" fontId="2" fillId="0" borderId="0" xfId="0" applyNumberFormat="1" applyFont="1"/>
    <xf numFmtId="0" fontId="18" fillId="0" borderId="0" xfId="1" applyFont="1" applyFill="1"/>
    <xf numFmtId="2" fontId="1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18" xfId="0" applyNumberFormat="1" applyFont="1" applyBorder="1" applyAlignment="1">
      <alignment horizontal="center"/>
    </xf>
    <xf numFmtId="2" fontId="2" fillId="0" borderId="20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2" fillId="0" borderId="0" xfId="0" applyNumberFormat="1" applyFont="1" applyBorder="1" applyAlignment="1">
      <alignment horizontal="left"/>
    </xf>
    <xf numFmtId="166" fontId="17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7" fillId="9" borderId="0" xfId="1" applyFont="1" applyFill="1"/>
    <xf numFmtId="0" fontId="18" fillId="9" borderId="0" xfId="1" applyFont="1" applyFill="1"/>
    <xf numFmtId="0" fontId="0" fillId="0" borderId="0" xfId="0" applyAlignment="1">
      <alignment horizontal="center"/>
    </xf>
    <xf numFmtId="0" fontId="19" fillId="3" borderId="0" xfId="1" applyFont="1" applyFill="1" applyAlignment="1">
      <alignment wrapText="1"/>
    </xf>
    <xf numFmtId="2" fontId="0" fillId="10" borderId="0" xfId="0" applyNumberFormat="1" applyFill="1"/>
    <xf numFmtId="0" fontId="0" fillId="10" borderId="0" xfId="0" applyFill="1"/>
    <xf numFmtId="0" fontId="0" fillId="11" borderId="0" xfId="0" applyFill="1"/>
    <xf numFmtId="2" fontId="0" fillId="11" borderId="0" xfId="0" applyNumberFormat="1" applyFill="1"/>
    <xf numFmtId="2" fontId="0" fillId="4" borderId="0" xfId="0" applyNumberFormat="1" applyFill="1"/>
    <xf numFmtId="0" fontId="0" fillId="4" borderId="0" xfId="0" applyFill="1"/>
    <xf numFmtId="2" fontId="0" fillId="12" borderId="0" xfId="0" applyNumberFormat="1" applyFill="1"/>
    <xf numFmtId="0" fontId="0" fillId="12" borderId="0" xfId="0" applyFill="1"/>
    <xf numFmtId="0" fontId="0" fillId="0" borderId="0" xfId="0" applyAlignment="1">
      <alignment horizontal="left"/>
    </xf>
    <xf numFmtId="0" fontId="4" fillId="0" borderId="0" xfId="1" applyFont="1"/>
  </cellXfs>
  <cellStyles count="2">
    <cellStyle name="Normal" xfId="0" builtinId="0"/>
    <cellStyle name="Normal 2" xfId="1" xr:uid="{11F929FC-84B5-425F-A422-9C245DCEA07D}"/>
  </cellStyles>
  <dxfs count="9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99FF99"/>
      <color rgb="FFFEB8B8"/>
      <color rgb="FFFD9D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5E0B-C1FC-4E25-B755-9A69A39BCA8A}">
  <dimension ref="A1:T234"/>
  <sheetViews>
    <sheetView tabSelected="1" zoomScaleNormal="100" workbookViewId="0">
      <pane ySplit="2" topLeftCell="A3" activePane="bottomLeft" state="frozen"/>
      <selection activeCell="E1" sqref="E1"/>
      <selection pane="bottomLeft" activeCell="E19" sqref="E19"/>
    </sheetView>
  </sheetViews>
  <sheetFormatPr defaultRowHeight="12.75" x14ac:dyDescent="0.2"/>
  <cols>
    <col min="1" max="1" width="5.85546875" style="15" customWidth="1"/>
    <col min="2" max="2" width="3.42578125" style="15" customWidth="1"/>
    <col min="3" max="3" width="6" style="59" customWidth="1"/>
    <col min="4" max="4" width="9.140625" style="19" customWidth="1"/>
    <col min="5" max="5" width="31.5703125" style="19" customWidth="1"/>
    <col min="6" max="6" width="6" style="19" customWidth="1"/>
    <col min="7" max="7" width="6.5703125" style="19" bestFit="1" customWidth="1"/>
    <col min="8" max="8" width="8.42578125" style="87" customWidth="1"/>
    <col min="9" max="9" width="5.85546875" style="19" customWidth="1"/>
    <col min="10" max="10" width="32.140625" style="19" customWidth="1"/>
    <col min="11" max="11" width="4" style="19" customWidth="1"/>
    <col min="12" max="12" width="2.140625" style="19" customWidth="1"/>
    <col min="13" max="13" width="10.140625" style="36" customWidth="1"/>
    <col min="14" max="14" width="31.85546875" style="19" customWidth="1"/>
    <col min="15" max="16" width="8.7109375" style="19" customWidth="1"/>
    <col min="17" max="17" width="13.28515625" style="19" customWidth="1"/>
    <col min="18" max="19" width="8.7109375" style="19" customWidth="1"/>
    <col min="20" max="20" width="19" style="19" customWidth="1"/>
    <col min="21" max="1024" width="8.7109375" style="15" customWidth="1"/>
    <col min="1025" max="16384" width="9.140625" style="15"/>
  </cols>
  <sheetData>
    <row r="1" spans="1:20" ht="15" x14ac:dyDescent="0.25">
      <c r="B1" s="79">
        <f>COUNTIFS(B3:B206,"=x",C3:C206,"=0")</f>
        <v>1</v>
      </c>
      <c r="C1" s="79">
        <f>COUNTIF(C3:C206,"=0")</f>
        <v>17</v>
      </c>
      <c r="D1" s="25" t="s">
        <v>191</v>
      </c>
      <c r="F1" s="40" t="s">
        <v>78</v>
      </c>
    </row>
    <row r="2" spans="1:20" ht="15" x14ac:dyDescent="0.25">
      <c r="B2" s="18" t="s">
        <v>41</v>
      </c>
      <c r="C2" s="76" t="s">
        <v>52</v>
      </c>
      <c r="D2" s="26" t="s">
        <v>53</v>
      </c>
      <c r="E2" s="16" t="s">
        <v>43</v>
      </c>
      <c r="F2" s="17" t="s">
        <v>0</v>
      </c>
      <c r="G2" s="26" t="s">
        <v>1</v>
      </c>
      <c r="H2" s="88" t="s">
        <v>218</v>
      </c>
      <c r="I2" s="26" t="s">
        <v>1</v>
      </c>
      <c r="J2" s="27" t="s">
        <v>186</v>
      </c>
      <c r="K2" s="26" t="s">
        <v>110</v>
      </c>
      <c r="L2" s="26"/>
      <c r="M2" s="35"/>
      <c r="N2" s="27"/>
      <c r="O2" s="26"/>
      <c r="P2" s="26"/>
      <c r="Q2" s="27"/>
      <c r="R2" s="26"/>
      <c r="S2" s="26"/>
      <c r="T2" s="27"/>
    </row>
    <row r="3" spans="1:20" ht="15.75" x14ac:dyDescent="0.25">
      <c r="A3" s="18"/>
      <c r="B3" s="18" t="s">
        <v>42</v>
      </c>
      <c r="C3" s="76" t="s">
        <v>0</v>
      </c>
      <c r="D3" s="26" t="s">
        <v>53</v>
      </c>
      <c r="E3" s="44" t="s">
        <v>54</v>
      </c>
      <c r="F3" s="26" t="s">
        <v>0</v>
      </c>
      <c r="G3" s="35" t="s">
        <v>219</v>
      </c>
      <c r="H3" s="88" t="s">
        <v>218</v>
      </c>
      <c r="I3" s="35" t="s">
        <v>1</v>
      </c>
      <c r="J3" s="72" t="s">
        <v>111</v>
      </c>
      <c r="K3" s="26"/>
      <c r="L3" s="26"/>
      <c r="M3" s="35"/>
      <c r="N3" s="27" t="s">
        <v>159</v>
      </c>
      <c r="O3" s="26"/>
      <c r="P3" s="26"/>
      <c r="Q3" s="27"/>
      <c r="R3" s="26"/>
      <c r="S3" s="26"/>
      <c r="T3" s="27"/>
    </row>
    <row r="4" spans="1:20" ht="15" x14ac:dyDescent="0.25">
      <c r="A4" s="15" t="s">
        <v>220</v>
      </c>
      <c r="B4" s="18" t="s">
        <v>42</v>
      </c>
      <c r="C4" s="77">
        <v>1290</v>
      </c>
      <c r="D4" s="21">
        <f t="shared" ref="D4:D47" si="0">IF(ISBLANK(C4),"", C4/$D$211)</f>
        <v>45.50344803259317</v>
      </c>
      <c r="E4" s="29" t="s">
        <v>38</v>
      </c>
      <c r="F4" s="20">
        <f>IF(B4="x",IF(C4=0,"",C4),"")</f>
        <v>1290</v>
      </c>
      <c r="G4" s="21">
        <f>IF(B4="x",D4,"")</f>
        <v>45.50344803259317</v>
      </c>
      <c r="H4" s="89">
        <f>IF(C4="","",INT(D4/16))</f>
        <v>2</v>
      </c>
      <c r="I4" s="21">
        <f>IF(D4="","",MOD(D4,16))</f>
        <v>13.50344803259317</v>
      </c>
      <c r="J4" s="73" t="str" cm="1">
        <f t="array" ref="J4:J13">_xlfn._xlws.FILTER(E4:E206,"x"=K4:K206)</f>
        <v>New Pack</v>
      </c>
      <c r="K4" s="20"/>
      <c r="L4" s="20"/>
      <c r="M4" s="21">
        <f>VLOOKUP(N4,E4:G8,3,FALSE)</f>
        <v>45.50344803259317</v>
      </c>
      <c r="N4" s="25" t="s">
        <v>38</v>
      </c>
      <c r="O4" s="20"/>
      <c r="P4" s="21"/>
      <c r="Q4" s="25"/>
      <c r="R4" s="20"/>
      <c r="S4" s="21"/>
      <c r="T4" s="25"/>
    </row>
    <row r="5" spans="1:20" ht="15" x14ac:dyDescent="0.25">
      <c r="B5" s="18"/>
      <c r="C5" s="56">
        <v>1175</v>
      </c>
      <c r="D5" s="21">
        <f t="shared" si="0"/>
        <v>41.446939099455015</v>
      </c>
      <c r="E5" s="30" t="s">
        <v>55</v>
      </c>
      <c r="F5" s="20" t="str">
        <f t="shared" ref="F5:F64" si="1">IF(B5="x",IF(C5=0,"",C5),"")</f>
        <v/>
      </c>
      <c r="G5" s="21" t="str">
        <f t="shared" ref="G5:G64" si="2">IF(B5="x",D5,"")</f>
        <v/>
      </c>
      <c r="H5" s="89">
        <f t="shared" ref="H5:H70" si="3">IF(C5="","",INT(D5/16))</f>
        <v>2</v>
      </c>
      <c r="I5" s="21">
        <f t="shared" ref="I5:I70" si="4">IF(D5="","",MOD(D5,16))</f>
        <v>9.4469390994550153</v>
      </c>
      <c r="J5" s="74" t="str">
        <v>New Pack Cover x</v>
      </c>
      <c r="K5" s="20"/>
      <c r="L5" s="20"/>
      <c r="M5" s="21">
        <f>VLOOKUP(N5,E11:G13,3,FALSE)</f>
        <v>5.1500026455493044</v>
      </c>
      <c r="N5" s="25" t="s">
        <v>58</v>
      </c>
      <c r="O5" s="25"/>
      <c r="P5" s="25"/>
      <c r="Q5" s="25"/>
      <c r="R5" s="25"/>
      <c r="S5" s="25"/>
      <c r="T5" s="25"/>
    </row>
    <row r="6" spans="1:20" ht="15" x14ac:dyDescent="0.25">
      <c r="C6" s="56">
        <v>0</v>
      </c>
      <c r="D6" s="21">
        <f t="shared" si="0"/>
        <v>0</v>
      </c>
      <c r="E6" s="31" t="s">
        <v>56</v>
      </c>
      <c r="F6" s="20" t="str">
        <f t="shared" si="1"/>
        <v/>
      </c>
      <c r="G6" s="21" t="str">
        <f t="shared" si="2"/>
        <v/>
      </c>
      <c r="H6" s="89">
        <f t="shared" si="3"/>
        <v>0</v>
      </c>
      <c r="I6" s="21">
        <f t="shared" si="4"/>
        <v>0</v>
      </c>
      <c r="J6" s="74" t="str">
        <v>Griz Arieal Hammock; 1.6ox Hexon</v>
      </c>
      <c r="K6" s="20" t="s">
        <v>42</v>
      </c>
      <c r="L6" s="20"/>
      <c r="M6" s="21">
        <f>VLOOKUP(N6,E16:G19,3,FALSE)</f>
        <v>8.2188398384451222</v>
      </c>
      <c r="N6" s="25" t="s">
        <v>201</v>
      </c>
      <c r="O6" s="25"/>
      <c r="P6" s="25"/>
      <c r="Q6" s="25"/>
      <c r="R6" s="25"/>
      <c r="S6" s="25"/>
      <c r="T6" s="25"/>
    </row>
    <row r="7" spans="1:20" ht="15" x14ac:dyDescent="0.25">
      <c r="C7" s="56">
        <v>0</v>
      </c>
      <c r="D7" s="21">
        <f t="shared" si="0"/>
        <v>0</v>
      </c>
      <c r="E7" s="30" t="s">
        <v>39</v>
      </c>
      <c r="F7" s="20" t="str">
        <f t="shared" si="1"/>
        <v/>
      </c>
      <c r="G7" s="21" t="str">
        <f t="shared" si="2"/>
        <v/>
      </c>
      <c r="H7" s="89">
        <f t="shared" si="3"/>
        <v>0</v>
      </c>
      <c r="I7" s="21">
        <f t="shared" si="4"/>
        <v>0</v>
      </c>
      <c r="J7" s="74" t="str">
        <v>bug net new</v>
      </c>
      <c r="K7" s="20"/>
      <c r="L7" s="20"/>
      <c r="M7" s="21" t="str">
        <f>VLOOKUP(N7,E50:G51,3,FALSE)</f>
        <v/>
      </c>
      <c r="N7" s="25" t="s">
        <v>73</v>
      </c>
      <c r="O7" s="25"/>
      <c r="P7" s="25"/>
      <c r="Q7" s="25"/>
      <c r="R7" s="25"/>
      <c r="S7" s="25"/>
      <c r="T7" s="25"/>
    </row>
    <row r="8" spans="1:20" ht="15" x14ac:dyDescent="0.25">
      <c r="C8" s="56">
        <v>0</v>
      </c>
      <c r="D8" s="21">
        <f t="shared" si="0"/>
        <v>0</v>
      </c>
      <c r="E8" s="30" t="s">
        <v>40</v>
      </c>
      <c r="F8" s="20" t="str">
        <f t="shared" si="1"/>
        <v/>
      </c>
      <c r="G8" s="21" t="str">
        <f t="shared" si="2"/>
        <v/>
      </c>
      <c r="H8" s="89">
        <f t="shared" si="3"/>
        <v>0</v>
      </c>
      <c r="I8" s="21">
        <f t="shared" si="4"/>
        <v>0</v>
      </c>
      <c r="J8" s="74" t="str">
        <v>sleeping bag liner #2</v>
      </c>
      <c r="K8" s="20"/>
      <c r="L8" s="20"/>
      <c r="M8" s="21">
        <f>VLOOKUP(N8,E42:G45,3,FALSE)</f>
        <v>44.797968218134358</v>
      </c>
      <c r="N8" s="25" t="s">
        <v>240</v>
      </c>
      <c r="O8" s="25"/>
      <c r="P8" s="25"/>
      <c r="Q8" s="25"/>
      <c r="R8" s="25"/>
      <c r="S8" s="25"/>
      <c r="T8" s="25"/>
    </row>
    <row r="9" spans="1:20" ht="15" x14ac:dyDescent="0.25">
      <c r="A9" s="15" t="s">
        <v>220</v>
      </c>
      <c r="B9" s="18" t="s">
        <v>42</v>
      </c>
      <c r="C9" s="59">
        <v>27</v>
      </c>
      <c r="D9" s="21">
        <f t="shared" si="0"/>
        <v>0.95239774951939193</v>
      </c>
      <c r="E9" s="25" t="s">
        <v>59</v>
      </c>
      <c r="F9" s="20">
        <f t="shared" si="1"/>
        <v>27</v>
      </c>
      <c r="G9" s="21">
        <f t="shared" si="2"/>
        <v>0.95239774951939193</v>
      </c>
      <c r="H9" s="89">
        <f t="shared" si="3"/>
        <v>0</v>
      </c>
      <c r="I9" s="21">
        <f t="shared" si="4"/>
        <v>0.95239774951939193</v>
      </c>
      <c r="J9" s="74" t="str">
        <v>Top Quilt</v>
      </c>
      <c r="K9" s="20"/>
      <c r="L9" s="20"/>
      <c r="M9" s="21" t="str">
        <f>VLOOKUP(N9,E46:G47,3,FALSE)</f>
        <v/>
      </c>
      <c r="N9" s="25" t="s">
        <v>101</v>
      </c>
      <c r="O9" s="25"/>
      <c r="P9" s="25"/>
      <c r="Q9" s="25"/>
      <c r="R9" s="25"/>
      <c r="S9" s="25"/>
      <c r="T9" s="25"/>
    </row>
    <row r="10" spans="1:20" ht="15" x14ac:dyDescent="0.25">
      <c r="A10" s="15" t="s">
        <v>220</v>
      </c>
      <c r="B10" s="18" t="s">
        <v>42</v>
      </c>
      <c r="C10" s="56">
        <v>143</v>
      </c>
      <c r="D10" s="21">
        <f t="shared" si="0"/>
        <v>5.0441806733804828</v>
      </c>
      <c r="E10" s="25" t="s">
        <v>60</v>
      </c>
      <c r="F10" s="20">
        <f t="shared" si="1"/>
        <v>143</v>
      </c>
      <c r="G10" s="21">
        <f t="shared" si="2"/>
        <v>5.0441806733804828</v>
      </c>
      <c r="H10" s="89">
        <f t="shared" si="3"/>
        <v>0</v>
      </c>
      <c r="I10" s="21">
        <f t="shared" si="4"/>
        <v>5.0441806733804828</v>
      </c>
      <c r="J10" s="74" t="str">
        <v>New Under Quilt</v>
      </c>
      <c r="K10" s="20"/>
      <c r="L10" s="20"/>
      <c r="M10" s="21"/>
      <c r="N10" s="25"/>
      <c r="O10" s="25"/>
      <c r="P10" s="25"/>
      <c r="Q10" s="25"/>
      <c r="R10" s="25"/>
      <c r="S10" s="25"/>
      <c r="T10" s="25"/>
    </row>
    <row r="11" spans="1:20" ht="15" x14ac:dyDescent="0.25">
      <c r="B11" s="18"/>
      <c r="C11" s="56">
        <v>200</v>
      </c>
      <c r="D11" s="21">
        <f t="shared" si="0"/>
        <v>7.0547981445880881</v>
      </c>
      <c r="E11" s="30" t="s">
        <v>57</v>
      </c>
      <c r="F11" s="20" t="str">
        <f t="shared" si="1"/>
        <v/>
      </c>
      <c r="G11" s="21" t="str">
        <f t="shared" si="2"/>
        <v/>
      </c>
      <c r="H11" s="89">
        <f t="shared" si="3"/>
        <v>0</v>
      </c>
      <c r="I11" s="21">
        <f t="shared" si="4"/>
        <v>7.0547981445880881</v>
      </c>
      <c r="J11" s="74" t="str">
        <v>New Rain Pants Xeon</v>
      </c>
      <c r="K11" s="20"/>
      <c r="L11" s="20"/>
      <c r="M11" s="21"/>
      <c r="N11" s="25"/>
      <c r="O11" s="25"/>
      <c r="P11" s="25"/>
      <c r="Q11" s="25"/>
      <c r="R11" s="25"/>
      <c r="S11" s="25"/>
      <c r="T11" s="25"/>
    </row>
    <row r="12" spans="1:20" ht="15" x14ac:dyDescent="0.25">
      <c r="A12" s="15" t="s">
        <v>220</v>
      </c>
      <c r="B12" s="18" t="s">
        <v>42</v>
      </c>
      <c r="C12" s="56">
        <v>146</v>
      </c>
      <c r="D12" s="21">
        <f t="shared" si="0"/>
        <v>5.1500026455493044</v>
      </c>
      <c r="E12" s="30" t="s">
        <v>58</v>
      </c>
      <c r="F12" s="20">
        <f t="shared" si="1"/>
        <v>146</v>
      </c>
      <c r="G12" s="21">
        <f t="shared" si="2"/>
        <v>5.1500026455493044</v>
      </c>
      <c r="H12" s="89">
        <f t="shared" si="3"/>
        <v>0</v>
      </c>
      <c r="I12" s="21">
        <f t="shared" si="4"/>
        <v>5.1500026455493044</v>
      </c>
      <c r="J12" s="74" t="str">
        <v>BRS 3000T Stove</v>
      </c>
      <c r="K12" s="20"/>
      <c r="L12" s="20"/>
      <c r="M12" s="21"/>
      <c r="N12" s="25"/>
      <c r="O12" s="25"/>
      <c r="P12" s="25"/>
      <c r="Q12" s="25"/>
      <c r="R12" s="25"/>
      <c r="S12" s="25"/>
      <c r="T12" s="25"/>
    </row>
    <row r="13" spans="1:20" ht="15" x14ac:dyDescent="0.25">
      <c r="B13" s="18"/>
      <c r="C13" s="56"/>
      <c r="D13" s="21" t="str">
        <f t="shared" si="0"/>
        <v/>
      </c>
      <c r="E13" s="31" t="s">
        <v>239</v>
      </c>
      <c r="F13" s="20" t="str">
        <f t="shared" si="1"/>
        <v/>
      </c>
      <c r="G13" s="21" t="str">
        <f t="shared" si="2"/>
        <v/>
      </c>
      <c r="H13" s="89" t="str">
        <f t="shared" si="3"/>
        <v/>
      </c>
      <c r="I13" s="21" t="str">
        <f t="shared" si="4"/>
        <v/>
      </c>
      <c r="J13" s="74" t="str">
        <v>Ultralight chair</v>
      </c>
      <c r="K13" s="20" t="s">
        <v>42</v>
      </c>
      <c r="L13" s="20"/>
      <c r="M13" s="21"/>
      <c r="N13" s="25"/>
      <c r="O13" s="25"/>
      <c r="P13" s="25"/>
      <c r="Q13" s="25"/>
      <c r="R13" s="25"/>
      <c r="S13" s="25"/>
      <c r="T13" s="25"/>
    </row>
    <row r="14" spans="1:20" ht="15" x14ac:dyDescent="0.25">
      <c r="B14" s="18" t="s">
        <v>42</v>
      </c>
      <c r="C14" s="99">
        <f>SUMIF(B4:B13,"x",F4:F13)</f>
        <v>1606</v>
      </c>
      <c r="D14" s="21">
        <f t="shared" si="0"/>
        <v>56.65002910104235</v>
      </c>
      <c r="E14" s="41" t="s">
        <v>41</v>
      </c>
      <c r="F14" s="20">
        <f t="shared" si="1"/>
        <v>1606</v>
      </c>
      <c r="G14" s="21">
        <f t="shared" ref="G14" si="5">IF(B14="x",D14,"")</f>
        <v>56.65002910104235</v>
      </c>
      <c r="H14" s="89">
        <f t="shared" si="3"/>
        <v>3</v>
      </c>
      <c r="I14" s="21">
        <f t="shared" si="4"/>
        <v>8.6500291010423496</v>
      </c>
      <c r="J14" s="74"/>
      <c r="K14" s="20"/>
      <c r="L14" s="20"/>
      <c r="M14" s="21"/>
      <c r="N14" s="25"/>
      <c r="O14" s="25"/>
      <c r="P14" s="25"/>
      <c r="Q14" s="25"/>
      <c r="R14" s="25"/>
      <c r="S14" s="25"/>
      <c r="T14" s="25"/>
    </row>
    <row r="15" spans="1:20" ht="15.75" x14ac:dyDescent="0.25">
      <c r="A15" s="18"/>
      <c r="B15" s="18" t="s">
        <v>42</v>
      </c>
      <c r="C15" s="56"/>
      <c r="D15" s="21" t="str">
        <f t="shared" si="0"/>
        <v/>
      </c>
      <c r="E15" s="44" t="s">
        <v>61</v>
      </c>
      <c r="F15" s="20" t="s">
        <v>41</v>
      </c>
      <c r="G15" s="21" t="str">
        <f t="shared" si="2"/>
        <v/>
      </c>
      <c r="H15" s="89" t="str">
        <f t="shared" si="3"/>
        <v/>
      </c>
      <c r="I15" s="21" t="str">
        <f t="shared" si="4"/>
        <v/>
      </c>
      <c r="J15" s="74"/>
      <c r="K15" s="20"/>
      <c r="L15" s="20"/>
      <c r="M15" s="21"/>
      <c r="N15" s="25"/>
      <c r="O15" s="25"/>
      <c r="P15" s="25"/>
      <c r="Q15" s="25"/>
      <c r="R15" s="25"/>
      <c r="S15" s="25"/>
      <c r="T15" s="25"/>
    </row>
    <row r="16" spans="1:20" ht="15" x14ac:dyDescent="0.25">
      <c r="B16" s="18"/>
      <c r="C16" s="56">
        <v>384</v>
      </c>
      <c r="D16" s="21">
        <f t="shared" si="0"/>
        <v>13.545212437609129</v>
      </c>
      <c r="E16" s="30" t="s">
        <v>196</v>
      </c>
      <c r="F16" s="20" t="str">
        <f t="shared" si="1"/>
        <v/>
      </c>
      <c r="G16" s="21" t="str">
        <f t="shared" si="2"/>
        <v/>
      </c>
      <c r="H16" s="89">
        <f t="shared" si="3"/>
        <v>0</v>
      </c>
      <c r="I16" s="21">
        <f t="shared" si="4"/>
        <v>13.545212437609129</v>
      </c>
      <c r="J16" s="75"/>
      <c r="K16" s="20"/>
      <c r="L16" s="20"/>
      <c r="M16" s="21"/>
      <c r="N16" s="25"/>
      <c r="O16" s="25"/>
      <c r="P16" s="25"/>
      <c r="Q16" s="25"/>
      <c r="R16" s="25"/>
      <c r="S16" s="25"/>
      <c r="T16" s="25"/>
    </row>
    <row r="17" spans="1:20" ht="15" x14ac:dyDescent="0.25">
      <c r="A17" s="18" t="s">
        <v>222</v>
      </c>
      <c r="B17" s="15" t="s">
        <v>42</v>
      </c>
      <c r="C17" s="56">
        <v>233</v>
      </c>
      <c r="D17" s="21">
        <f t="shared" si="0"/>
        <v>8.2188398384451222</v>
      </c>
      <c r="E17" s="80" t="s">
        <v>201</v>
      </c>
      <c r="F17" s="20">
        <f t="shared" si="1"/>
        <v>233</v>
      </c>
      <c r="G17" s="21">
        <f t="shared" si="2"/>
        <v>8.2188398384451222</v>
      </c>
      <c r="H17" s="89">
        <f t="shared" si="3"/>
        <v>0</v>
      </c>
      <c r="I17" s="21">
        <f t="shared" si="4"/>
        <v>8.2188398384451222</v>
      </c>
      <c r="J17" s="25"/>
      <c r="K17" s="20"/>
      <c r="L17" s="20"/>
      <c r="M17" s="21"/>
      <c r="N17" s="25"/>
      <c r="O17" s="25"/>
      <c r="P17" s="25"/>
      <c r="Q17" s="25"/>
      <c r="R17" s="25"/>
      <c r="S17" s="25"/>
      <c r="T17" s="25"/>
    </row>
    <row r="18" spans="1:20" ht="15" customHeight="1" x14ac:dyDescent="0.25">
      <c r="A18" s="18"/>
      <c r="C18" s="56"/>
      <c r="D18" s="21" t="str">
        <f t="shared" si="0"/>
        <v/>
      </c>
      <c r="E18" s="114" t="s">
        <v>238</v>
      </c>
      <c r="F18" s="20" t="str">
        <f t="shared" ref="F18:F19" si="6">IF(B18="x",IF(C18=0,"",C18),"")</f>
        <v/>
      </c>
      <c r="G18" s="21" t="str">
        <f t="shared" ref="G18:G19" si="7">IF(B18="x",D18,"")</f>
        <v/>
      </c>
      <c r="H18" s="89" t="str">
        <f t="shared" ref="H18:H19" si="8">IF(C18="","",INT(D18/16))</f>
        <v/>
      </c>
      <c r="I18" s="21" t="str">
        <f t="shared" ref="I18:I19" si="9">IF(D18="","",MOD(D18,16))</f>
        <v/>
      </c>
      <c r="J18" s="25"/>
      <c r="K18" s="20" t="s">
        <v>42</v>
      </c>
      <c r="L18" s="20"/>
      <c r="M18" s="21"/>
      <c r="N18" s="25"/>
      <c r="O18" s="25"/>
      <c r="P18" s="25"/>
      <c r="Q18" s="25"/>
      <c r="R18" s="25"/>
      <c r="S18" s="25"/>
      <c r="T18" s="25"/>
    </row>
    <row r="19" spans="1:20" ht="15" x14ac:dyDescent="0.25">
      <c r="B19" s="18"/>
      <c r="C19" s="56"/>
      <c r="D19" s="21" t="str">
        <f t="shared" si="0"/>
        <v/>
      </c>
      <c r="E19" s="83"/>
      <c r="F19" s="20" t="str">
        <f t="shared" si="6"/>
        <v/>
      </c>
      <c r="G19" s="21" t="str">
        <f t="shared" si="7"/>
        <v/>
      </c>
      <c r="H19" s="89" t="str">
        <f t="shared" si="8"/>
        <v/>
      </c>
      <c r="I19" s="21" t="str">
        <f t="shared" si="9"/>
        <v/>
      </c>
      <c r="J19" s="25"/>
      <c r="K19" s="20"/>
      <c r="L19" s="20"/>
      <c r="M19" s="21"/>
      <c r="N19" s="25"/>
      <c r="O19" s="25"/>
      <c r="P19" s="25"/>
      <c r="Q19" s="25"/>
      <c r="R19" s="25"/>
      <c r="S19" s="25"/>
      <c r="T19" s="25"/>
    </row>
    <row r="20" spans="1:20" ht="15" x14ac:dyDescent="0.25">
      <c r="A20" s="15" t="s">
        <v>222</v>
      </c>
      <c r="B20" s="18" t="s">
        <v>42</v>
      </c>
      <c r="C20" s="56">
        <v>207</v>
      </c>
      <c r="D20" s="21">
        <f t="shared" si="0"/>
        <v>7.3017160796486715</v>
      </c>
      <c r="E20" s="80" t="s">
        <v>212</v>
      </c>
      <c r="F20" s="20">
        <f t="shared" ref="F20:F21" si="10">IF(B20="x",IF(C20=0,"",C20),"")</f>
        <v>207</v>
      </c>
      <c r="G20" s="21">
        <f t="shared" ref="G20:G21" si="11">IF(B20="x",D20,"")</f>
        <v>7.3017160796486715</v>
      </c>
      <c r="H20" s="89">
        <f t="shared" si="3"/>
        <v>0</v>
      </c>
      <c r="I20" s="21">
        <f t="shared" si="4"/>
        <v>7.3017160796486715</v>
      </c>
      <c r="J20" s="25"/>
      <c r="K20" s="20"/>
      <c r="L20" s="20"/>
      <c r="M20" s="21"/>
      <c r="N20" s="25"/>
      <c r="O20" s="25"/>
      <c r="P20" s="25"/>
      <c r="Q20" s="25"/>
      <c r="R20" s="25"/>
      <c r="S20" s="25"/>
      <c r="T20" s="25"/>
    </row>
    <row r="21" spans="1:20" ht="15" x14ac:dyDescent="0.25">
      <c r="C21" s="56">
        <v>226</v>
      </c>
      <c r="D21" s="21">
        <f t="shared" si="0"/>
        <v>7.9719219033845397</v>
      </c>
      <c r="E21" s="80" t="s">
        <v>213</v>
      </c>
      <c r="F21" s="20" t="str">
        <f t="shared" si="10"/>
        <v/>
      </c>
      <c r="G21" s="21" t="str">
        <f t="shared" si="11"/>
        <v/>
      </c>
      <c r="H21" s="89">
        <f t="shared" si="3"/>
        <v>0</v>
      </c>
      <c r="I21" s="21">
        <f t="shared" si="4"/>
        <v>7.9719219033845397</v>
      </c>
      <c r="J21" s="25"/>
      <c r="K21" s="20"/>
      <c r="L21" s="20"/>
      <c r="M21" s="21"/>
      <c r="N21" s="25"/>
      <c r="O21" s="25"/>
      <c r="P21" s="25"/>
      <c r="Q21" s="25"/>
      <c r="R21" s="25"/>
      <c r="S21" s="25"/>
      <c r="T21" s="25"/>
    </row>
    <row r="22" spans="1:20" ht="15" x14ac:dyDescent="0.25">
      <c r="B22" s="18"/>
      <c r="C22" s="56">
        <v>97</v>
      </c>
      <c r="D22" s="21">
        <f t="shared" si="0"/>
        <v>3.4215771001252229</v>
      </c>
      <c r="E22" s="45" t="s">
        <v>62</v>
      </c>
      <c r="F22" s="20" t="str">
        <f t="shared" si="1"/>
        <v/>
      </c>
      <c r="G22" s="21" t="str">
        <f t="shared" si="2"/>
        <v/>
      </c>
      <c r="H22" s="89">
        <f t="shared" si="3"/>
        <v>0</v>
      </c>
      <c r="I22" s="21">
        <f t="shared" si="4"/>
        <v>3.4215771001252229</v>
      </c>
      <c r="J22" s="25"/>
      <c r="K22" s="20"/>
      <c r="L22" s="20"/>
      <c r="M22" s="21"/>
      <c r="N22" s="25"/>
      <c r="O22" s="25"/>
      <c r="P22" s="25"/>
      <c r="Q22" s="25"/>
      <c r="R22" s="25"/>
      <c r="S22" s="25"/>
      <c r="T22" s="25"/>
    </row>
    <row r="23" spans="1:20" ht="15" x14ac:dyDescent="0.25">
      <c r="A23" s="15" t="s">
        <v>222</v>
      </c>
      <c r="B23" s="18" t="s">
        <v>42</v>
      </c>
      <c r="C23" s="56">
        <v>82</v>
      </c>
      <c r="D23" s="21">
        <f t="shared" si="0"/>
        <v>2.8924672392811162</v>
      </c>
      <c r="E23" s="45" t="s">
        <v>202</v>
      </c>
      <c r="F23" s="20">
        <f t="shared" si="1"/>
        <v>82</v>
      </c>
      <c r="G23" s="21">
        <f t="shared" si="2"/>
        <v>2.8924672392811162</v>
      </c>
      <c r="H23" s="89">
        <f t="shared" si="3"/>
        <v>0</v>
      </c>
      <c r="I23" s="21">
        <f t="shared" si="4"/>
        <v>2.8924672392811162</v>
      </c>
      <c r="J23" s="25" t="s">
        <v>179</v>
      </c>
      <c r="K23" s="20"/>
      <c r="L23" s="20"/>
      <c r="M23" s="21"/>
      <c r="N23" s="25"/>
      <c r="O23" s="25"/>
      <c r="P23" s="25"/>
      <c r="Q23" s="25"/>
      <c r="R23" s="25"/>
      <c r="S23" s="25"/>
      <c r="T23" s="25"/>
    </row>
    <row r="24" spans="1:20" ht="15" x14ac:dyDescent="0.25">
      <c r="B24" s="18"/>
      <c r="C24" s="56">
        <v>40</v>
      </c>
      <c r="D24" s="21">
        <f t="shared" si="0"/>
        <v>1.4109596289176176</v>
      </c>
      <c r="E24" s="30" t="s">
        <v>63</v>
      </c>
      <c r="F24" s="20" t="str">
        <f t="shared" si="1"/>
        <v/>
      </c>
      <c r="G24" s="21" t="str">
        <f t="shared" si="2"/>
        <v/>
      </c>
      <c r="H24" s="89">
        <f t="shared" si="3"/>
        <v>0</v>
      </c>
      <c r="I24" s="21">
        <f t="shared" si="4"/>
        <v>1.4109596289176176</v>
      </c>
      <c r="J24" s="25"/>
      <c r="K24" s="20"/>
      <c r="L24" s="20"/>
      <c r="M24" s="21"/>
      <c r="N24" s="25"/>
      <c r="O24" s="25"/>
      <c r="P24" s="25"/>
      <c r="Q24" s="25"/>
      <c r="R24" s="25"/>
      <c r="S24" s="25"/>
      <c r="T24" s="25"/>
    </row>
    <row r="25" spans="1:20" ht="15" x14ac:dyDescent="0.25">
      <c r="A25" s="15" t="s">
        <v>222</v>
      </c>
      <c r="B25" s="18" t="s">
        <v>42</v>
      </c>
      <c r="C25" s="56">
        <v>40</v>
      </c>
      <c r="D25" s="21">
        <f t="shared" si="0"/>
        <v>1.4109596289176176</v>
      </c>
      <c r="E25" s="30" t="s">
        <v>203</v>
      </c>
      <c r="F25" s="20">
        <f t="shared" si="1"/>
        <v>40</v>
      </c>
      <c r="G25" s="21">
        <f t="shared" si="2"/>
        <v>1.4109596289176176</v>
      </c>
      <c r="H25" s="89">
        <f t="shared" si="3"/>
        <v>0</v>
      </c>
      <c r="I25" s="21">
        <f t="shared" si="4"/>
        <v>1.4109596289176176</v>
      </c>
      <c r="J25" s="25"/>
      <c r="K25" s="20"/>
      <c r="L25" s="20"/>
      <c r="M25" s="21"/>
      <c r="N25" s="25"/>
      <c r="O25" s="25"/>
      <c r="P25" s="25"/>
      <c r="Q25" s="25"/>
      <c r="R25" s="25"/>
      <c r="S25" s="25"/>
      <c r="T25" s="25"/>
    </row>
    <row r="26" spans="1:20" ht="15" x14ac:dyDescent="0.25">
      <c r="B26" s="18"/>
      <c r="C26" s="56">
        <v>750</v>
      </c>
      <c r="D26" s="21">
        <f t="shared" si="0"/>
        <v>26.45549304220533</v>
      </c>
      <c r="E26" s="45" t="s">
        <v>64</v>
      </c>
      <c r="F26" s="20" t="str">
        <f t="shared" si="1"/>
        <v/>
      </c>
      <c r="G26" s="21" t="str">
        <f t="shared" si="2"/>
        <v/>
      </c>
      <c r="H26" s="89">
        <f t="shared" si="3"/>
        <v>1</v>
      </c>
      <c r="I26" s="21">
        <f t="shared" si="4"/>
        <v>10.45549304220533</v>
      </c>
      <c r="J26" s="25"/>
      <c r="K26" s="20"/>
      <c r="L26" s="20"/>
      <c r="M26" s="21"/>
      <c r="N26" s="25"/>
      <c r="O26" s="25"/>
      <c r="P26" s="25"/>
      <c r="Q26" s="25"/>
      <c r="R26" s="25"/>
      <c r="S26" s="25"/>
      <c r="T26" s="25"/>
    </row>
    <row r="27" spans="1:20" ht="30" x14ac:dyDescent="0.25">
      <c r="A27" s="15" t="s">
        <v>221</v>
      </c>
      <c r="B27" s="15" t="s">
        <v>42</v>
      </c>
      <c r="C27" s="56">
        <v>474</v>
      </c>
      <c r="D27" s="21">
        <f t="shared" si="0"/>
        <v>16.71987160267377</v>
      </c>
      <c r="E27" s="45" t="s">
        <v>198</v>
      </c>
      <c r="F27" s="20">
        <v>300</v>
      </c>
      <c r="G27" s="21">
        <f t="shared" si="2"/>
        <v>16.71987160267377</v>
      </c>
      <c r="H27" s="89">
        <f t="shared" si="3"/>
        <v>1</v>
      </c>
      <c r="I27" s="21">
        <f t="shared" si="4"/>
        <v>0.71987160267376993</v>
      </c>
      <c r="J27" s="67" t="s">
        <v>188</v>
      </c>
      <c r="K27" s="20"/>
      <c r="L27" s="20"/>
      <c r="M27" s="21"/>
      <c r="N27" s="25"/>
      <c r="O27" s="25"/>
      <c r="P27" s="25"/>
      <c r="Q27" s="25"/>
      <c r="R27" s="25"/>
      <c r="S27" s="25"/>
      <c r="T27" s="25"/>
    </row>
    <row r="28" spans="1:20" ht="15" x14ac:dyDescent="0.25">
      <c r="A28" s="15" t="s">
        <v>221</v>
      </c>
      <c r="B28" s="15" t="s">
        <v>42</v>
      </c>
      <c r="C28" s="56">
        <v>80</v>
      </c>
      <c r="D28" s="21">
        <f t="shared" si="0"/>
        <v>2.8219192578352352</v>
      </c>
      <c r="E28" s="30" t="s">
        <v>67</v>
      </c>
      <c r="F28" s="20">
        <f t="shared" si="1"/>
        <v>80</v>
      </c>
      <c r="G28" s="21">
        <f t="shared" si="2"/>
        <v>2.8219192578352352</v>
      </c>
      <c r="H28" s="89">
        <f t="shared" si="3"/>
        <v>0</v>
      </c>
      <c r="I28" s="21">
        <f t="shared" si="4"/>
        <v>2.8219192578352352</v>
      </c>
      <c r="J28" s="25"/>
      <c r="K28" s="20"/>
      <c r="L28" s="20"/>
      <c r="M28" s="21"/>
      <c r="N28" s="25"/>
      <c r="O28" s="25"/>
      <c r="P28" s="25"/>
      <c r="Q28" s="25"/>
      <c r="R28" s="25"/>
      <c r="S28" s="25"/>
      <c r="T28" s="25"/>
    </row>
    <row r="29" spans="1:20" ht="15" x14ac:dyDescent="0.25">
      <c r="B29" s="18"/>
      <c r="C29" s="56">
        <v>115</v>
      </c>
      <c r="D29" s="21">
        <f t="shared" si="0"/>
        <v>4.0565089331381508</v>
      </c>
      <c r="E29" s="30" t="s">
        <v>68</v>
      </c>
      <c r="F29" s="20" t="str">
        <f t="shared" si="1"/>
        <v/>
      </c>
      <c r="G29" s="21" t="str">
        <f t="shared" si="2"/>
        <v/>
      </c>
      <c r="H29" s="89">
        <f t="shared" si="3"/>
        <v>0</v>
      </c>
      <c r="I29" s="21">
        <f t="shared" si="4"/>
        <v>4.0565089331381508</v>
      </c>
      <c r="J29" s="25"/>
      <c r="K29" s="20"/>
      <c r="L29" s="20"/>
      <c r="M29" s="21"/>
      <c r="N29" s="25"/>
      <c r="O29" s="25"/>
      <c r="P29" s="25"/>
      <c r="Q29" s="25"/>
      <c r="R29" s="25"/>
      <c r="S29" s="25"/>
      <c r="T29" s="25"/>
    </row>
    <row r="30" spans="1:20" ht="15" x14ac:dyDescent="0.25">
      <c r="A30" s="15" t="s">
        <v>223</v>
      </c>
      <c r="C30" s="56">
        <v>126</v>
      </c>
      <c r="D30" s="21">
        <f t="shared" si="0"/>
        <v>4.4445228310904952</v>
      </c>
      <c r="E30" s="30" t="s">
        <v>69</v>
      </c>
      <c r="F30" s="20" t="str">
        <f t="shared" si="1"/>
        <v/>
      </c>
      <c r="G30" s="21" t="str">
        <f t="shared" si="2"/>
        <v/>
      </c>
      <c r="H30" s="89">
        <f t="shared" si="3"/>
        <v>0</v>
      </c>
      <c r="I30" s="21">
        <f t="shared" si="4"/>
        <v>4.4445228310904952</v>
      </c>
      <c r="J30" s="25"/>
      <c r="K30" s="20"/>
      <c r="L30" s="20"/>
      <c r="M30" s="21"/>
      <c r="N30" s="25"/>
      <c r="O30" s="25"/>
      <c r="P30" s="25"/>
      <c r="Q30" s="25"/>
      <c r="R30" s="25"/>
      <c r="S30" s="25"/>
      <c r="T30" s="25"/>
    </row>
    <row r="31" spans="1:20" ht="15" x14ac:dyDescent="0.25">
      <c r="A31" s="15" t="s">
        <v>222</v>
      </c>
      <c r="C31" s="56">
        <v>311</v>
      </c>
      <c r="D31" s="21">
        <f t="shared" si="0"/>
        <v>10.970211114834477</v>
      </c>
      <c r="E31" s="45" t="s">
        <v>65</v>
      </c>
      <c r="F31" s="20" t="str">
        <f t="shared" si="1"/>
        <v/>
      </c>
      <c r="G31" s="21" t="str">
        <f t="shared" si="2"/>
        <v/>
      </c>
      <c r="H31" s="89">
        <f t="shared" si="3"/>
        <v>0</v>
      </c>
      <c r="I31" s="21">
        <f t="shared" si="4"/>
        <v>10.970211114834477</v>
      </c>
      <c r="J31" s="25"/>
      <c r="K31" s="20"/>
      <c r="L31" s="20"/>
      <c r="M31" s="21"/>
      <c r="N31" s="25"/>
      <c r="O31" s="25"/>
      <c r="P31" s="25"/>
      <c r="Q31" s="25"/>
      <c r="R31" s="25"/>
      <c r="S31" s="25"/>
      <c r="T31" s="25"/>
    </row>
    <row r="32" spans="1:20" ht="15" x14ac:dyDescent="0.25">
      <c r="A32" s="15" t="s">
        <v>222</v>
      </c>
      <c r="C32" s="56">
        <v>0</v>
      </c>
      <c r="D32" s="21">
        <f t="shared" si="0"/>
        <v>0</v>
      </c>
      <c r="E32" s="46" t="s">
        <v>66</v>
      </c>
      <c r="F32" s="20" t="str">
        <f t="shared" si="1"/>
        <v/>
      </c>
      <c r="G32" s="21" t="str">
        <f t="shared" si="2"/>
        <v/>
      </c>
      <c r="H32" s="89">
        <f t="shared" si="3"/>
        <v>0</v>
      </c>
      <c r="I32" s="21">
        <f t="shared" si="4"/>
        <v>0</v>
      </c>
      <c r="J32" s="25" t="s">
        <v>184</v>
      </c>
      <c r="K32" s="20" t="s">
        <v>42</v>
      </c>
      <c r="L32" s="20"/>
      <c r="M32" s="21"/>
      <c r="N32" s="25"/>
      <c r="O32" s="25"/>
      <c r="P32" s="25"/>
      <c r="Q32" s="25"/>
      <c r="R32" s="25"/>
      <c r="S32" s="25"/>
      <c r="T32" s="25"/>
    </row>
    <row r="33" spans="1:20" ht="15" x14ac:dyDescent="0.25">
      <c r="A33" s="15" t="s">
        <v>223</v>
      </c>
      <c r="C33" s="56">
        <v>545</v>
      </c>
      <c r="D33" s="21">
        <f t="shared" si="0"/>
        <v>19.224324944002539</v>
      </c>
      <c r="E33" s="30" t="s">
        <v>70</v>
      </c>
      <c r="F33" s="20" t="str">
        <f t="shared" si="1"/>
        <v/>
      </c>
      <c r="G33" s="21" t="str">
        <f t="shared" si="2"/>
        <v/>
      </c>
      <c r="H33" s="89">
        <f t="shared" si="3"/>
        <v>1</v>
      </c>
      <c r="I33" s="21">
        <f t="shared" si="4"/>
        <v>3.2243249440025394</v>
      </c>
      <c r="J33" s="25"/>
      <c r="K33" s="20"/>
      <c r="L33" s="20"/>
      <c r="M33" s="21"/>
      <c r="N33" s="25"/>
      <c r="O33" s="25"/>
      <c r="P33" s="25"/>
      <c r="Q33" s="25"/>
      <c r="R33" s="25"/>
      <c r="S33" s="25"/>
      <c r="T33" s="25"/>
    </row>
    <row r="34" spans="1:20" ht="15" x14ac:dyDescent="0.25">
      <c r="A34" s="15" t="s">
        <v>223</v>
      </c>
      <c r="C34" s="56">
        <v>305</v>
      </c>
      <c r="D34" s="21">
        <f t="shared" si="0"/>
        <v>10.758567170496834</v>
      </c>
      <c r="E34" s="30" t="s">
        <v>71</v>
      </c>
      <c r="F34" s="20" t="str">
        <f t="shared" si="1"/>
        <v/>
      </c>
      <c r="G34" s="21" t="str">
        <f t="shared" si="2"/>
        <v/>
      </c>
      <c r="H34" s="89">
        <f t="shared" si="3"/>
        <v>0</v>
      </c>
      <c r="I34" s="21">
        <f t="shared" si="4"/>
        <v>10.758567170496834</v>
      </c>
      <c r="J34" s="25"/>
      <c r="K34" s="20"/>
      <c r="L34" s="20"/>
      <c r="M34" s="21"/>
      <c r="N34" s="25"/>
      <c r="O34" s="25"/>
      <c r="P34" s="25"/>
      <c r="Q34" s="25"/>
      <c r="R34" s="25"/>
      <c r="S34" s="25"/>
      <c r="T34" s="25"/>
    </row>
    <row r="35" spans="1:20" ht="15" x14ac:dyDescent="0.25">
      <c r="B35" s="18" t="s">
        <v>42</v>
      </c>
      <c r="C35" s="56">
        <v>71</v>
      </c>
      <c r="D35" s="21">
        <f t="shared" si="0"/>
        <v>2.5044533413287713</v>
      </c>
      <c r="E35" s="25" t="s">
        <v>74</v>
      </c>
      <c r="F35" s="20">
        <f t="shared" si="1"/>
        <v>71</v>
      </c>
      <c r="G35" s="21">
        <f t="shared" si="2"/>
        <v>2.5044533413287713</v>
      </c>
      <c r="H35" s="89">
        <f t="shared" si="3"/>
        <v>0</v>
      </c>
      <c r="I35" s="21">
        <f t="shared" si="4"/>
        <v>2.5044533413287713</v>
      </c>
      <c r="J35" s="25"/>
      <c r="K35" s="20"/>
      <c r="L35" s="20"/>
      <c r="M35" s="21"/>
      <c r="N35" s="25"/>
      <c r="O35" s="25"/>
      <c r="P35" s="25"/>
      <c r="Q35" s="25"/>
      <c r="R35" s="25"/>
      <c r="S35" s="25"/>
      <c r="T35" s="25"/>
    </row>
    <row r="36" spans="1:20" ht="15" x14ac:dyDescent="0.25">
      <c r="A36" s="15" t="s">
        <v>223</v>
      </c>
      <c r="B36" s="18"/>
      <c r="C36" s="56">
        <v>119</v>
      </c>
      <c r="D36" s="21">
        <f t="shared" si="0"/>
        <v>4.1976048960299126</v>
      </c>
      <c r="E36" s="25" t="s">
        <v>211</v>
      </c>
      <c r="F36" s="20" t="str">
        <f t="shared" si="1"/>
        <v/>
      </c>
      <c r="G36" s="21" t="str">
        <f t="shared" si="2"/>
        <v/>
      </c>
      <c r="H36" s="89">
        <f t="shared" si="3"/>
        <v>0</v>
      </c>
      <c r="I36" s="21">
        <f t="shared" si="4"/>
        <v>4.1976048960299126</v>
      </c>
      <c r="J36" s="25"/>
      <c r="K36" s="20"/>
      <c r="L36" s="20"/>
      <c r="M36" s="21"/>
      <c r="N36" s="25"/>
      <c r="O36" s="25"/>
      <c r="P36" s="25"/>
      <c r="Q36" s="25"/>
      <c r="R36" s="25"/>
      <c r="S36" s="25"/>
      <c r="T36" s="25"/>
    </row>
    <row r="37" spans="1:20" ht="15" x14ac:dyDescent="0.25">
      <c r="B37" s="18"/>
      <c r="C37" s="56">
        <v>195</v>
      </c>
      <c r="D37" s="21">
        <f t="shared" si="0"/>
        <v>6.878428190973386</v>
      </c>
      <c r="E37" s="25" t="s">
        <v>210</v>
      </c>
      <c r="F37" s="14" t="str">
        <f t="shared" si="1"/>
        <v/>
      </c>
      <c r="G37" s="21" t="str">
        <f t="shared" si="2"/>
        <v/>
      </c>
      <c r="H37" s="89">
        <f t="shared" si="3"/>
        <v>0</v>
      </c>
      <c r="I37" s="21">
        <f t="shared" si="4"/>
        <v>6.878428190973386</v>
      </c>
      <c r="J37" s="25"/>
      <c r="K37" s="20"/>
      <c r="L37" s="20"/>
      <c r="M37" s="21"/>
      <c r="N37" s="25"/>
      <c r="O37" s="25"/>
      <c r="P37" s="25"/>
      <c r="Q37" s="25"/>
      <c r="R37" s="25"/>
      <c r="S37" s="25"/>
      <c r="T37" s="25"/>
    </row>
    <row r="38" spans="1:20" ht="15" x14ac:dyDescent="0.25">
      <c r="C38" s="56">
        <v>0</v>
      </c>
      <c r="D38" s="21">
        <f t="shared" si="0"/>
        <v>0</v>
      </c>
      <c r="E38" s="25" t="s">
        <v>75</v>
      </c>
      <c r="F38" s="20" t="str">
        <f t="shared" si="1"/>
        <v/>
      </c>
      <c r="G38" s="21" t="str">
        <f t="shared" si="2"/>
        <v/>
      </c>
      <c r="H38" s="89">
        <f t="shared" si="3"/>
        <v>0</v>
      </c>
      <c r="I38" s="21">
        <f t="shared" si="4"/>
        <v>0</v>
      </c>
      <c r="J38" s="25"/>
      <c r="K38" s="20"/>
      <c r="L38" s="20"/>
      <c r="M38" s="21"/>
      <c r="N38" s="25"/>
      <c r="O38" s="25"/>
      <c r="P38" s="25"/>
      <c r="Q38" s="25"/>
      <c r="R38" s="25"/>
      <c r="S38" s="25"/>
      <c r="T38" s="25"/>
    </row>
    <row r="39" spans="1:20" ht="15" x14ac:dyDescent="0.25">
      <c r="B39" s="18" t="s">
        <v>42</v>
      </c>
      <c r="C39" s="56">
        <v>39</v>
      </c>
      <c r="D39" s="21">
        <f t="shared" si="0"/>
        <v>1.3756856381946772</v>
      </c>
      <c r="E39" s="25" t="s">
        <v>79</v>
      </c>
      <c r="F39" s="20">
        <f t="shared" si="1"/>
        <v>39</v>
      </c>
      <c r="G39" s="21">
        <f t="shared" si="2"/>
        <v>1.3756856381946772</v>
      </c>
      <c r="H39" s="89">
        <f t="shared" si="3"/>
        <v>0</v>
      </c>
      <c r="I39" s="21">
        <f t="shared" si="4"/>
        <v>1.3756856381946772</v>
      </c>
      <c r="J39" s="25"/>
      <c r="K39" s="20"/>
      <c r="L39" s="20"/>
      <c r="M39" s="21"/>
      <c r="N39" s="25"/>
      <c r="O39" s="25"/>
      <c r="P39" s="25"/>
      <c r="Q39" s="25"/>
      <c r="R39" s="25"/>
      <c r="S39" s="25"/>
      <c r="T39" s="25"/>
    </row>
    <row r="40" spans="1:20" ht="15" x14ac:dyDescent="0.25">
      <c r="B40" s="18" t="s">
        <v>42</v>
      </c>
      <c r="C40" s="99">
        <f>SUMIF(B16:B39,"x",F16:F39)</f>
        <v>1052</v>
      </c>
      <c r="D40" s="21">
        <f t="shared" si="0"/>
        <v>37.108238240533346</v>
      </c>
      <c r="F40" s="20">
        <f>IF(B40="x",IF(C40=0,"",C40),"")</f>
        <v>1052</v>
      </c>
      <c r="G40" s="21">
        <f t="shared" si="2"/>
        <v>37.108238240533346</v>
      </c>
      <c r="H40" s="89">
        <f t="shared" si="3"/>
        <v>2</v>
      </c>
      <c r="I40" s="21">
        <f t="shared" si="4"/>
        <v>5.1082382405333462</v>
      </c>
      <c r="J40" s="25"/>
      <c r="K40" s="20"/>
      <c r="L40" s="20"/>
      <c r="M40" s="21"/>
      <c r="N40" s="25"/>
      <c r="O40" s="25"/>
      <c r="P40" s="25"/>
      <c r="Q40" s="25"/>
      <c r="R40" s="25"/>
      <c r="S40" s="25"/>
      <c r="T40" s="25"/>
    </row>
    <row r="41" spans="1:20" ht="15.75" x14ac:dyDescent="0.25">
      <c r="B41" s="18" t="s">
        <v>42</v>
      </c>
      <c r="C41" s="56"/>
      <c r="D41" s="21" t="str">
        <f t="shared" si="0"/>
        <v/>
      </c>
      <c r="E41" s="44" t="s">
        <v>76</v>
      </c>
      <c r="F41" s="20" t="str">
        <f t="shared" si="1"/>
        <v/>
      </c>
      <c r="G41" s="21" t="str">
        <f t="shared" si="2"/>
        <v/>
      </c>
      <c r="H41" s="89" t="str">
        <f t="shared" si="3"/>
        <v/>
      </c>
      <c r="I41" s="21" t="str">
        <f t="shared" si="4"/>
        <v/>
      </c>
      <c r="J41" s="25"/>
      <c r="K41" s="20"/>
      <c r="L41" s="20"/>
      <c r="M41" s="21"/>
      <c r="N41" s="25"/>
      <c r="O41" s="25"/>
      <c r="P41" s="25"/>
      <c r="Q41" s="25"/>
      <c r="R41" s="25"/>
      <c r="S41" s="25"/>
      <c r="T41" s="25"/>
    </row>
    <row r="42" spans="1:20" ht="15" x14ac:dyDescent="0.25">
      <c r="B42" s="18" t="s">
        <v>41</v>
      </c>
      <c r="C42" s="56">
        <v>1088</v>
      </c>
      <c r="D42" s="21">
        <f t="shared" si="0"/>
        <v>38.378101906559202</v>
      </c>
      <c r="E42" s="30" t="s">
        <v>77</v>
      </c>
      <c r="F42" s="20" t="str">
        <f t="shared" si="1"/>
        <v/>
      </c>
      <c r="G42" s="21" t="str">
        <f t="shared" si="2"/>
        <v/>
      </c>
      <c r="H42" s="89">
        <f t="shared" si="3"/>
        <v>2</v>
      </c>
      <c r="I42" s="21">
        <f t="shared" si="4"/>
        <v>6.378101906559202</v>
      </c>
      <c r="J42" s="25"/>
      <c r="K42" s="20"/>
      <c r="L42" s="20"/>
      <c r="M42" s="21"/>
      <c r="N42" s="25"/>
      <c r="O42" s="25"/>
      <c r="P42" s="25"/>
      <c r="Q42" s="25"/>
      <c r="R42" s="25"/>
      <c r="S42" s="25"/>
      <c r="T42" s="25"/>
    </row>
    <row r="43" spans="1:20" ht="15" x14ac:dyDescent="0.25">
      <c r="B43" s="15" t="s">
        <v>42</v>
      </c>
      <c r="C43" s="56">
        <v>1270</v>
      </c>
      <c r="D43" s="21">
        <f t="shared" si="0"/>
        <v>44.797968218134358</v>
      </c>
      <c r="E43" s="30" t="s">
        <v>195</v>
      </c>
      <c r="F43" s="20">
        <f t="shared" si="1"/>
        <v>1270</v>
      </c>
      <c r="G43" s="21">
        <f t="shared" si="2"/>
        <v>44.797968218134358</v>
      </c>
      <c r="H43" s="89">
        <f t="shared" si="3"/>
        <v>2</v>
      </c>
      <c r="I43" s="21">
        <f t="shared" si="4"/>
        <v>12.797968218134358</v>
      </c>
      <c r="J43" s="25"/>
      <c r="K43" s="20"/>
      <c r="L43" s="20"/>
      <c r="M43" s="21"/>
      <c r="N43" s="25"/>
      <c r="O43" s="25"/>
      <c r="P43" s="25"/>
      <c r="Q43" s="25"/>
      <c r="R43" s="25"/>
      <c r="S43" s="25"/>
      <c r="T43" s="25"/>
    </row>
    <row r="44" spans="1:20" ht="15" x14ac:dyDescent="0.25">
      <c r="B44" s="18"/>
      <c r="C44" s="56">
        <v>1565</v>
      </c>
      <c r="D44" s="21">
        <f t="shared" si="0"/>
        <v>55.203795481401791</v>
      </c>
      <c r="E44" s="30" t="s">
        <v>194</v>
      </c>
      <c r="F44" s="20" t="str">
        <f t="shared" si="1"/>
        <v/>
      </c>
      <c r="G44" s="21" t="str">
        <f t="shared" si="2"/>
        <v/>
      </c>
      <c r="H44" s="89">
        <f t="shared" si="3"/>
        <v>3</v>
      </c>
      <c r="I44" s="21">
        <f t="shared" si="4"/>
        <v>7.2037954814017908</v>
      </c>
      <c r="J44" s="25"/>
      <c r="K44" s="20"/>
      <c r="L44" s="20"/>
      <c r="M44" s="21"/>
      <c r="N44" s="25"/>
      <c r="O44" s="25"/>
      <c r="P44" s="25"/>
      <c r="Q44" s="25"/>
      <c r="R44" s="25"/>
      <c r="S44" s="25"/>
      <c r="T44" s="25"/>
    </row>
    <row r="45" spans="1:20" ht="15" x14ac:dyDescent="0.25">
      <c r="B45" s="18"/>
      <c r="C45" s="56">
        <v>1089</v>
      </c>
      <c r="D45" s="21">
        <f t="shared" si="0"/>
        <v>38.413375897282137</v>
      </c>
      <c r="E45" s="30" t="s">
        <v>100</v>
      </c>
      <c r="F45" s="20" t="str">
        <f t="shared" ref="F45" si="12">IF(B45="x",IF(C45=0,"",C45),"")</f>
        <v/>
      </c>
      <c r="G45" s="21" t="str">
        <f t="shared" ref="G45" si="13">IF(B45="x",D45,"")</f>
        <v/>
      </c>
      <c r="H45" s="89">
        <f t="shared" si="3"/>
        <v>2</v>
      </c>
      <c r="I45" s="21">
        <f t="shared" si="4"/>
        <v>6.4133758972821369</v>
      </c>
      <c r="J45" s="25"/>
      <c r="K45" s="20"/>
      <c r="L45" s="20"/>
      <c r="M45" s="21"/>
      <c r="N45" s="25"/>
      <c r="O45" s="25"/>
      <c r="P45" s="25"/>
      <c r="Q45" s="25"/>
      <c r="R45" s="25"/>
      <c r="S45" s="25"/>
      <c r="T45" s="25"/>
    </row>
    <row r="46" spans="1:20" ht="15" x14ac:dyDescent="0.25">
      <c r="B46" s="15" t="s">
        <v>42</v>
      </c>
      <c r="C46" s="56">
        <v>176</v>
      </c>
      <c r="D46" s="21">
        <f t="shared" si="0"/>
        <v>6.2082223672375179</v>
      </c>
      <c r="E46" s="45" t="s">
        <v>102</v>
      </c>
      <c r="F46" s="20">
        <f t="shared" si="1"/>
        <v>176</v>
      </c>
      <c r="G46" s="21">
        <f t="shared" si="2"/>
        <v>6.2082223672375179</v>
      </c>
      <c r="H46" s="89">
        <f t="shared" si="3"/>
        <v>0</v>
      </c>
      <c r="I46" s="21">
        <f t="shared" si="4"/>
        <v>6.2082223672375179</v>
      </c>
      <c r="J46" s="25"/>
      <c r="K46" s="20"/>
      <c r="L46" s="20"/>
      <c r="M46" s="21"/>
      <c r="N46" s="25"/>
      <c r="O46" s="25"/>
      <c r="P46" s="25"/>
      <c r="Q46" s="25"/>
      <c r="R46" s="25"/>
      <c r="S46" s="25"/>
      <c r="T46" s="25"/>
    </row>
    <row r="47" spans="1:20" ht="15" x14ac:dyDescent="0.25">
      <c r="C47" s="56">
        <v>0</v>
      </c>
      <c r="D47" s="21">
        <f t="shared" si="0"/>
        <v>0</v>
      </c>
      <c r="E47" s="46" t="s">
        <v>101</v>
      </c>
      <c r="F47" s="20" t="str">
        <f t="shared" ref="F47" si="14">IF(B47="x",IF(C47=0,"",C47),"")</f>
        <v/>
      </c>
      <c r="G47" s="21" t="str">
        <f t="shared" ref="G47" si="15">IF(B47="x",D47,"")</f>
        <v/>
      </c>
      <c r="H47" s="89">
        <f t="shared" si="3"/>
        <v>0</v>
      </c>
      <c r="I47" s="21">
        <f t="shared" si="4"/>
        <v>0</v>
      </c>
      <c r="J47" s="25" t="s">
        <v>181</v>
      </c>
      <c r="K47" s="14" t="s">
        <v>42</v>
      </c>
      <c r="L47" s="14"/>
      <c r="M47" s="21"/>
      <c r="N47" s="25"/>
      <c r="O47" s="25"/>
      <c r="P47" s="25"/>
      <c r="Q47" s="25"/>
      <c r="R47" s="25"/>
      <c r="S47" s="25"/>
      <c r="T47" s="25"/>
    </row>
    <row r="48" spans="1:20" ht="15" x14ac:dyDescent="0.25">
      <c r="B48" s="18"/>
      <c r="C48" s="56">
        <v>86</v>
      </c>
      <c r="D48" s="21">
        <f t="shared" ref="D48:D80" si="16">IF(ISBLANK(C48),"", C48/$D$211)</f>
        <v>3.033563202172878</v>
      </c>
      <c r="E48" s="25" t="s">
        <v>103</v>
      </c>
      <c r="F48" s="20" t="str">
        <f t="shared" ref="F48" si="17">IF(B48="x",IF(C48=0,"",C48),"")</f>
        <v/>
      </c>
      <c r="G48" s="21" t="str">
        <f t="shared" ref="G48" si="18">IF(B48="x",D48,"")</f>
        <v/>
      </c>
      <c r="H48" s="89">
        <f t="shared" si="3"/>
        <v>0</v>
      </c>
      <c r="I48" s="21">
        <f t="shared" si="4"/>
        <v>3.033563202172878</v>
      </c>
      <c r="J48" s="25"/>
      <c r="K48" s="20"/>
      <c r="L48" s="20"/>
      <c r="M48" s="21"/>
      <c r="N48" s="25"/>
      <c r="O48" s="25"/>
      <c r="P48" s="25"/>
      <c r="Q48" s="25"/>
      <c r="R48" s="25"/>
      <c r="S48" s="25"/>
      <c r="T48" s="25"/>
    </row>
    <row r="49" spans="1:20" ht="15" x14ac:dyDescent="0.25">
      <c r="B49" s="18" t="s">
        <v>42</v>
      </c>
      <c r="C49" s="56">
        <v>90</v>
      </c>
      <c r="D49" s="21">
        <f t="shared" si="16"/>
        <v>3.1746591650646399</v>
      </c>
      <c r="E49" s="25" t="s">
        <v>174</v>
      </c>
      <c r="F49" s="20">
        <f t="shared" ref="F49" si="19">IF(B49="x",IF(C49=0,"",C49),"")</f>
        <v>90</v>
      </c>
      <c r="G49" s="21">
        <f t="shared" ref="G49" si="20">IF(B49="x",D49,"")</f>
        <v>3.1746591650646399</v>
      </c>
      <c r="H49" s="89">
        <f t="shared" si="3"/>
        <v>0</v>
      </c>
      <c r="I49" s="21">
        <f t="shared" si="4"/>
        <v>3.1746591650646399</v>
      </c>
      <c r="J49" s="25"/>
      <c r="K49" s="20"/>
      <c r="L49" s="20"/>
      <c r="M49" s="21"/>
      <c r="N49" s="25"/>
      <c r="O49" s="25"/>
      <c r="P49" s="25"/>
      <c r="Q49" s="25"/>
      <c r="R49" s="25"/>
      <c r="S49" s="25"/>
      <c r="T49" s="25"/>
    </row>
    <row r="50" spans="1:20" ht="15" x14ac:dyDescent="0.25">
      <c r="C50" s="56">
        <v>711</v>
      </c>
      <c r="D50" s="21">
        <f t="shared" si="16"/>
        <v>25.079807404010655</v>
      </c>
      <c r="E50" s="30" t="s">
        <v>72</v>
      </c>
      <c r="F50" s="20" t="str">
        <f t="shared" si="1"/>
        <v/>
      </c>
      <c r="G50" s="21" t="str">
        <f t="shared" si="2"/>
        <v/>
      </c>
      <c r="H50" s="89">
        <f t="shared" si="3"/>
        <v>1</v>
      </c>
      <c r="I50" s="21">
        <f t="shared" si="4"/>
        <v>9.0798074040106549</v>
      </c>
      <c r="J50" s="25"/>
      <c r="K50" s="20"/>
      <c r="L50" s="20"/>
      <c r="M50" s="21"/>
      <c r="N50" s="25"/>
      <c r="O50" s="25"/>
      <c r="P50" s="25"/>
      <c r="Q50" s="25"/>
      <c r="R50" s="25"/>
      <c r="S50" s="25"/>
      <c r="T50" s="25"/>
    </row>
    <row r="51" spans="1:20" ht="15" x14ac:dyDescent="0.25">
      <c r="A51" s="18" t="s">
        <v>223</v>
      </c>
      <c r="B51" s="18"/>
      <c r="C51" s="56">
        <v>488</v>
      </c>
      <c r="D51" s="21">
        <f t="shared" si="16"/>
        <v>17.213707472794937</v>
      </c>
      <c r="E51" s="30" t="s">
        <v>73</v>
      </c>
      <c r="F51" s="20" t="str">
        <f t="shared" si="1"/>
        <v/>
      </c>
      <c r="G51" s="21" t="str">
        <f t="shared" si="2"/>
        <v/>
      </c>
      <c r="H51" s="89">
        <f t="shared" si="3"/>
        <v>1</v>
      </c>
      <c r="I51" s="21">
        <f t="shared" si="4"/>
        <v>1.2137074727949368</v>
      </c>
      <c r="J51" s="25"/>
      <c r="K51" s="20"/>
      <c r="L51" s="20"/>
      <c r="M51" s="21"/>
      <c r="N51" s="25"/>
      <c r="O51" s="25"/>
      <c r="P51" s="25"/>
      <c r="Q51" s="25"/>
      <c r="R51" s="25"/>
      <c r="S51" s="25"/>
      <c r="T51" s="25"/>
    </row>
    <row r="52" spans="1:20" ht="15" x14ac:dyDescent="0.25">
      <c r="C52" s="56"/>
      <c r="D52" s="21">
        <v>0</v>
      </c>
      <c r="E52" s="30" t="s">
        <v>209</v>
      </c>
      <c r="F52" s="20" t="str">
        <f t="shared" ref="F52" si="21">IF(B52="x",IF(C52=0,"",C52),"")</f>
        <v/>
      </c>
      <c r="G52" s="21" t="str">
        <f t="shared" ref="G52" si="22">IF(B52="x",D52,"")</f>
        <v/>
      </c>
      <c r="H52" s="89" t="str">
        <f t="shared" si="3"/>
        <v/>
      </c>
      <c r="I52" s="21">
        <f t="shared" si="4"/>
        <v>0</v>
      </c>
      <c r="J52" s="25"/>
      <c r="K52" s="14" t="s">
        <v>42</v>
      </c>
      <c r="L52" s="20"/>
      <c r="M52" s="21"/>
      <c r="N52" s="25"/>
      <c r="O52" s="25"/>
      <c r="P52" s="25"/>
      <c r="Q52" s="25"/>
      <c r="R52" s="25"/>
      <c r="S52" s="25"/>
      <c r="T52" s="25"/>
    </row>
    <row r="53" spans="1:20" ht="15" x14ac:dyDescent="0.25">
      <c r="B53" s="15" t="s">
        <v>42</v>
      </c>
      <c r="C53" s="56">
        <v>898</v>
      </c>
      <c r="D53" s="21">
        <f t="shared" si="16"/>
        <v>31.676043669200517</v>
      </c>
      <c r="E53" s="25" t="s">
        <v>263</v>
      </c>
      <c r="F53" s="20">
        <f t="shared" si="1"/>
        <v>898</v>
      </c>
      <c r="G53" s="21">
        <f t="shared" si="2"/>
        <v>31.676043669200517</v>
      </c>
      <c r="H53" s="89">
        <f t="shared" si="3"/>
        <v>1</v>
      </c>
      <c r="I53" s="21">
        <f t="shared" si="4"/>
        <v>15.676043669200517</v>
      </c>
      <c r="J53" s="25" t="s">
        <v>264</v>
      </c>
      <c r="K53" s="20"/>
      <c r="L53" s="20"/>
      <c r="M53" s="21"/>
      <c r="N53" s="25"/>
      <c r="O53" s="25"/>
      <c r="P53" s="25"/>
      <c r="Q53" s="25"/>
      <c r="R53" s="25"/>
      <c r="S53" s="25"/>
      <c r="T53" s="25"/>
    </row>
    <row r="54" spans="1:20" ht="15" x14ac:dyDescent="0.25">
      <c r="C54" s="56"/>
      <c r="D54" s="21"/>
      <c r="E54" s="25" t="s">
        <v>224</v>
      </c>
      <c r="F54" s="20"/>
      <c r="G54" s="21"/>
      <c r="H54" s="89"/>
      <c r="I54" s="21"/>
      <c r="J54" s="25"/>
      <c r="K54" s="14" t="s">
        <v>42</v>
      </c>
      <c r="L54" s="20"/>
      <c r="M54" s="21"/>
      <c r="N54" s="25"/>
      <c r="O54" s="25"/>
      <c r="P54" s="25"/>
      <c r="Q54" s="25"/>
      <c r="R54" s="25"/>
      <c r="S54" s="25"/>
      <c r="T54" s="25"/>
    </row>
    <row r="55" spans="1:20" ht="15" x14ac:dyDescent="0.25">
      <c r="B55" s="18" t="s">
        <v>42</v>
      </c>
      <c r="C55" s="99">
        <f>SUMIF(B42:B53,"x",F42:F53)</f>
        <v>2434</v>
      </c>
      <c r="D55" s="21">
        <f t="shared" si="16"/>
        <v>85.856893419637032</v>
      </c>
      <c r="E55" s="25" t="s">
        <v>41</v>
      </c>
      <c r="F55" s="20">
        <f t="shared" ref="F55:F57" si="23">IF(B55="x",IF(C55=0,"",C55),"")</f>
        <v>2434</v>
      </c>
      <c r="G55" s="21">
        <f t="shared" ref="G55:G57" si="24">IF(B55="x",D55,"")</f>
        <v>85.856893419637032</v>
      </c>
      <c r="H55" s="89">
        <f t="shared" si="3"/>
        <v>5</v>
      </c>
      <c r="I55" s="21">
        <f t="shared" si="4"/>
        <v>5.8568934196370321</v>
      </c>
      <c r="J55" s="25"/>
      <c r="K55" s="20"/>
      <c r="L55" s="20"/>
      <c r="M55" s="21"/>
      <c r="N55" s="25"/>
      <c r="O55" s="25"/>
      <c r="P55" s="25"/>
      <c r="Q55" s="25"/>
      <c r="R55" s="25"/>
      <c r="S55" s="25"/>
      <c r="T55" s="25"/>
    </row>
    <row r="56" spans="1:20" ht="15" x14ac:dyDescent="0.25">
      <c r="B56" s="18" t="s">
        <v>42</v>
      </c>
      <c r="C56" s="56"/>
      <c r="D56" s="21" t="str">
        <f t="shared" si="16"/>
        <v/>
      </c>
      <c r="E56" s="27" t="s">
        <v>160</v>
      </c>
      <c r="F56" s="20" t="str">
        <f t="shared" si="23"/>
        <v/>
      </c>
      <c r="G56" s="21" t="str">
        <f t="shared" si="24"/>
        <v/>
      </c>
      <c r="H56" s="89" t="str">
        <f t="shared" si="3"/>
        <v/>
      </c>
      <c r="I56" s="21" t="str">
        <f t="shared" si="4"/>
        <v/>
      </c>
      <c r="J56" s="25"/>
      <c r="K56" s="20"/>
      <c r="L56" s="20"/>
      <c r="M56" s="21"/>
      <c r="N56" s="25"/>
      <c r="O56" s="25"/>
      <c r="P56" s="25"/>
      <c r="Q56" s="25"/>
      <c r="R56" s="25"/>
      <c r="S56" s="25"/>
      <c r="T56" s="25"/>
    </row>
    <row r="57" spans="1:20" ht="15" x14ac:dyDescent="0.25">
      <c r="B57" s="18" t="s">
        <v>42</v>
      </c>
      <c r="C57" s="56">
        <v>84</v>
      </c>
      <c r="D57" s="21">
        <f t="shared" si="16"/>
        <v>2.9630152207269971</v>
      </c>
      <c r="E57" s="25" t="s">
        <v>97</v>
      </c>
      <c r="F57" s="20">
        <f t="shared" si="23"/>
        <v>84</v>
      </c>
      <c r="G57" s="21">
        <f t="shared" si="24"/>
        <v>2.9630152207269971</v>
      </c>
      <c r="H57" s="89">
        <f t="shared" si="3"/>
        <v>0</v>
      </c>
      <c r="I57" s="21">
        <f t="shared" si="4"/>
        <v>2.9630152207269971</v>
      </c>
      <c r="J57" s="25"/>
      <c r="K57" s="20"/>
      <c r="L57" s="20"/>
      <c r="M57" s="21"/>
      <c r="N57" s="25"/>
      <c r="O57" s="25"/>
      <c r="P57" s="25"/>
      <c r="Q57" s="25"/>
      <c r="R57" s="25"/>
      <c r="S57" s="25"/>
      <c r="T57" s="25"/>
    </row>
    <row r="58" spans="1:20" ht="15" x14ac:dyDescent="0.25">
      <c r="B58" s="18" t="s">
        <v>42</v>
      </c>
      <c r="C58" s="56">
        <v>93</v>
      </c>
      <c r="D58" s="21">
        <f t="shared" si="16"/>
        <v>3.280481137233461</v>
      </c>
      <c r="E58" s="25" t="s">
        <v>80</v>
      </c>
      <c r="F58" s="20">
        <f t="shared" si="1"/>
        <v>93</v>
      </c>
      <c r="G58" s="21">
        <f t="shared" si="2"/>
        <v>3.280481137233461</v>
      </c>
      <c r="H58" s="89">
        <f t="shared" si="3"/>
        <v>0</v>
      </c>
      <c r="I58" s="21">
        <f t="shared" si="4"/>
        <v>3.280481137233461</v>
      </c>
      <c r="J58" s="25"/>
      <c r="K58" s="20"/>
      <c r="L58" s="20"/>
      <c r="M58" s="21"/>
      <c r="N58" s="25"/>
      <c r="O58" s="25"/>
      <c r="P58" s="25"/>
      <c r="Q58" s="25"/>
      <c r="R58" s="25"/>
      <c r="S58" s="25"/>
      <c r="T58" s="25"/>
    </row>
    <row r="59" spans="1:20" ht="15" x14ac:dyDescent="0.25">
      <c r="C59" s="56">
        <v>31</v>
      </c>
      <c r="D59" s="21">
        <f t="shared" si="16"/>
        <v>1.0934937124111537</v>
      </c>
      <c r="E59" s="25" t="s">
        <v>94</v>
      </c>
      <c r="F59" s="20" t="str">
        <f t="shared" si="1"/>
        <v/>
      </c>
      <c r="G59" s="21" t="str">
        <f t="shared" si="2"/>
        <v/>
      </c>
      <c r="H59" s="89">
        <f t="shared" si="3"/>
        <v>0</v>
      </c>
      <c r="I59" s="21">
        <f t="shared" si="4"/>
        <v>1.0934937124111537</v>
      </c>
      <c r="J59" s="25"/>
      <c r="K59" s="20"/>
      <c r="L59" s="20"/>
      <c r="M59" s="21"/>
      <c r="N59" s="25"/>
      <c r="O59" s="25"/>
      <c r="P59" s="25"/>
      <c r="Q59" s="25"/>
      <c r="R59" s="25"/>
      <c r="S59" s="25"/>
      <c r="T59" s="25"/>
    </row>
    <row r="60" spans="1:20" ht="15" x14ac:dyDescent="0.25">
      <c r="C60" s="56">
        <v>122</v>
      </c>
      <c r="D60" s="21">
        <f t="shared" si="16"/>
        <v>4.3034268681987342</v>
      </c>
      <c r="E60" s="25" t="s">
        <v>95</v>
      </c>
      <c r="F60" s="20" t="str">
        <f t="shared" si="1"/>
        <v/>
      </c>
      <c r="G60" s="21" t="str">
        <f t="shared" si="2"/>
        <v/>
      </c>
      <c r="H60" s="89">
        <f t="shared" si="3"/>
        <v>0</v>
      </c>
      <c r="I60" s="21">
        <f t="shared" si="4"/>
        <v>4.3034268681987342</v>
      </c>
      <c r="J60" s="25"/>
      <c r="K60" s="20"/>
      <c r="L60" s="20"/>
      <c r="M60" s="21"/>
      <c r="N60" s="25"/>
      <c r="O60" s="25"/>
      <c r="P60" s="25"/>
      <c r="Q60" s="25"/>
      <c r="R60" s="25"/>
      <c r="S60" s="25"/>
      <c r="T60" s="25"/>
    </row>
    <row r="61" spans="1:20" ht="15" x14ac:dyDescent="0.25">
      <c r="B61" s="18" t="s">
        <v>42</v>
      </c>
      <c r="C61" s="56">
        <v>148</v>
      </c>
      <c r="D61" s="21">
        <f t="shared" si="16"/>
        <v>5.2205506269951849</v>
      </c>
      <c r="E61" s="25" t="s">
        <v>96</v>
      </c>
      <c r="F61" s="20">
        <f t="shared" si="1"/>
        <v>148</v>
      </c>
      <c r="G61" s="21">
        <f t="shared" si="2"/>
        <v>5.2205506269951849</v>
      </c>
      <c r="H61" s="89">
        <f t="shared" si="3"/>
        <v>0</v>
      </c>
      <c r="I61" s="21">
        <f t="shared" si="4"/>
        <v>5.2205506269951849</v>
      </c>
      <c r="J61" s="25"/>
      <c r="K61" s="20"/>
      <c r="L61" s="20"/>
      <c r="M61" s="21"/>
      <c r="N61" s="25"/>
      <c r="O61" s="25"/>
      <c r="P61" s="25"/>
      <c r="Q61" s="25"/>
      <c r="R61" s="25"/>
      <c r="S61" s="25"/>
      <c r="T61" s="25"/>
    </row>
    <row r="62" spans="1:20" ht="15" x14ac:dyDescent="0.25">
      <c r="C62" s="56">
        <v>132</v>
      </c>
      <c r="D62" s="21">
        <f t="shared" si="16"/>
        <v>4.6561667754281384</v>
      </c>
      <c r="E62" s="25" t="s">
        <v>18</v>
      </c>
      <c r="F62" s="20" t="str">
        <f t="shared" si="1"/>
        <v/>
      </c>
      <c r="G62" s="21" t="str">
        <f t="shared" si="2"/>
        <v/>
      </c>
      <c r="H62" s="89">
        <f t="shared" si="3"/>
        <v>0</v>
      </c>
      <c r="I62" s="21">
        <f t="shared" si="4"/>
        <v>4.6561667754281384</v>
      </c>
      <c r="J62" s="25"/>
      <c r="K62" s="20"/>
      <c r="L62" s="20"/>
      <c r="M62" s="21"/>
      <c r="N62" s="25"/>
      <c r="O62" s="25"/>
      <c r="P62" s="25"/>
      <c r="Q62" s="25"/>
      <c r="R62" s="25"/>
      <c r="S62" s="25"/>
      <c r="T62" s="25"/>
    </row>
    <row r="63" spans="1:20" ht="15" x14ac:dyDescent="0.25">
      <c r="B63" s="18" t="s">
        <v>42</v>
      </c>
      <c r="C63" s="56">
        <v>76</v>
      </c>
      <c r="D63" s="21">
        <f t="shared" si="16"/>
        <v>2.6808232949434734</v>
      </c>
      <c r="E63" s="25" t="s">
        <v>6</v>
      </c>
      <c r="F63" s="20">
        <f t="shared" si="1"/>
        <v>76</v>
      </c>
      <c r="G63" s="21">
        <f t="shared" si="2"/>
        <v>2.6808232949434734</v>
      </c>
      <c r="H63" s="89">
        <f t="shared" si="3"/>
        <v>0</v>
      </c>
      <c r="I63" s="21">
        <f t="shared" si="4"/>
        <v>2.6808232949434734</v>
      </c>
      <c r="J63" s="25"/>
      <c r="K63" s="20"/>
      <c r="L63" s="20"/>
      <c r="M63" s="21"/>
      <c r="N63" s="25"/>
      <c r="O63" s="25"/>
      <c r="P63" s="25"/>
      <c r="Q63" s="25"/>
      <c r="R63" s="25"/>
      <c r="S63" s="25"/>
      <c r="T63" s="25"/>
    </row>
    <row r="64" spans="1:20" ht="15" x14ac:dyDescent="0.25">
      <c r="B64" s="18" t="s">
        <v>42</v>
      </c>
      <c r="C64" s="56">
        <v>166</v>
      </c>
      <c r="D64" s="21">
        <f t="shared" si="16"/>
        <v>5.8554824600081128</v>
      </c>
      <c r="E64" s="25" t="s">
        <v>98</v>
      </c>
      <c r="F64" s="14">
        <f t="shared" si="1"/>
        <v>166</v>
      </c>
      <c r="G64" s="81">
        <f t="shared" si="2"/>
        <v>5.8554824600081128</v>
      </c>
      <c r="H64" s="89">
        <f t="shared" si="3"/>
        <v>0</v>
      </c>
      <c r="I64" s="21">
        <f t="shared" si="4"/>
        <v>5.8554824600081128</v>
      </c>
      <c r="J64" s="25"/>
      <c r="K64" s="20"/>
      <c r="L64" s="20"/>
      <c r="M64" s="21"/>
      <c r="N64" s="25"/>
      <c r="O64" s="25"/>
      <c r="P64" s="25"/>
      <c r="Q64" s="25"/>
      <c r="R64" s="25"/>
      <c r="S64" s="25"/>
      <c r="T64" s="25"/>
    </row>
    <row r="65" spans="2:20" ht="15" x14ac:dyDescent="0.25">
      <c r="B65" s="18" t="s">
        <v>42</v>
      </c>
      <c r="C65" s="56">
        <v>47</v>
      </c>
      <c r="D65" s="21">
        <f t="shared" si="16"/>
        <v>1.6578775639782006</v>
      </c>
      <c r="E65" s="25" t="s">
        <v>158</v>
      </c>
      <c r="F65" s="14">
        <f t="shared" ref="F65" si="25">IF(B65="x",IF(C65=0,"",C65),"")</f>
        <v>47</v>
      </c>
      <c r="G65" s="81">
        <f t="shared" ref="G65" si="26">IF(B65="x",D65,"")</f>
        <v>1.6578775639782006</v>
      </c>
      <c r="H65" s="89">
        <f t="shared" si="3"/>
        <v>0</v>
      </c>
      <c r="I65" s="21">
        <f t="shared" si="4"/>
        <v>1.6578775639782006</v>
      </c>
      <c r="J65" s="25"/>
      <c r="K65" s="20"/>
      <c r="L65" s="20"/>
      <c r="M65" s="21"/>
      <c r="N65" s="25"/>
      <c r="O65" s="25"/>
      <c r="P65" s="25"/>
      <c r="Q65" s="25"/>
      <c r="R65" s="25"/>
      <c r="S65" s="25"/>
      <c r="T65" s="25"/>
    </row>
    <row r="66" spans="2:20" ht="15" x14ac:dyDescent="0.25">
      <c r="B66" s="18" t="s">
        <v>42</v>
      </c>
      <c r="C66" s="56">
        <v>188</v>
      </c>
      <c r="D66" s="21">
        <f t="shared" si="16"/>
        <v>6.6315102559128025</v>
      </c>
      <c r="E66" s="25" t="s">
        <v>21</v>
      </c>
      <c r="F66" s="14">
        <f t="shared" ref="F66:F79" si="27">IF(B66="x",IF(C66=0,"",C66),"")</f>
        <v>188</v>
      </c>
      <c r="G66" s="81">
        <f t="shared" ref="G66:G79" si="28">IF(B66="x",D66,"")</f>
        <v>6.6315102559128025</v>
      </c>
      <c r="H66" s="89">
        <f t="shared" si="3"/>
        <v>0</v>
      </c>
      <c r="I66" s="21">
        <f t="shared" si="4"/>
        <v>6.6315102559128025</v>
      </c>
      <c r="J66" s="25"/>
      <c r="K66" s="20"/>
      <c r="L66" s="20"/>
      <c r="M66" s="21"/>
      <c r="N66" s="25"/>
      <c r="O66" s="25"/>
      <c r="P66" s="25"/>
      <c r="Q66" s="25"/>
      <c r="R66" s="25"/>
      <c r="S66" s="25"/>
      <c r="T66" s="25"/>
    </row>
    <row r="67" spans="2:20" ht="15" x14ac:dyDescent="0.25">
      <c r="C67" s="56">
        <v>125</v>
      </c>
      <c r="D67" s="21">
        <f t="shared" si="16"/>
        <v>4.4092488403675549</v>
      </c>
      <c r="E67" s="25" t="s">
        <v>23</v>
      </c>
      <c r="F67" s="14" t="str">
        <f t="shared" si="27"/>
        <v/>
      </c>
      <c r="G67" s="81" t="str">
        <f t="shared" si="28"/>
        <v/>
      </c>
      <c r="H67" s="89">
        <f t="shared" si="3"/>
        <v>0</v>
      </c>
      <c r="I67" s="21">
        <f t="shared" si="4"/>
        <v>4.4092488403675549</v>
      </c>
      <c r="J67" s="25"/>
      <c r="K67" s="20"/>
      <c r="L67" s="20"/>
      <c r="M67" s="21"/>
      <c r="N67" s="25"/>
      <c r="O67" s="25"/>
      <c r="P67" s="25"/>
      <c r="Q67" s="25"/>
      <c r="R67" s="25"/>
      <c r="S67" s="25"/>
      <c r="T67" s="25"/>
    </row>
    <row r="68" spans="2:20" ht="15" x14ac:dyDescent="0.25">
      <c r="C68" s="56">
        <v>46</v>
      </c>
      <c r="D68" s="21">
        <f t="shared" si="16"/>
        <v>1.6226035732552604</v>
      </c>
      <c r="E68" s="25" t="s">
        <v>25</v>
      </c>
      <c r="F68" s="14" t="str">
        <f t="shared" si="27"/>
        <v/>
      </c>
      <c r="G68" s="81" t="str">
        <f t="shared" si="28"/>
        <v/>
      </c>
      <c r="H68" s="89">
        <f t="shared" si="3"/>
        <v>0</v>
      </c>
      <c r="I68" s="21">
        <f t="shared" si="4"/>
        <v>1.6226035732552604</v>
      </c>
      <c r="J68" s="25"/>
      <c r="K68" s="20"/>
      <c r="L68" s="20"/>
      <c r="M68" s="21"/>
      <c r="N68" s="25"/>
      <c r="O68" s="25"/>
      <c r="P68" s="25"/>
      <c r="Q68" s="25"/>
      <c r="R68" s="25"/>
      <c r="S68" s="25"/>
      <c r="T68" s="25"/>
    </row>
    <row r="69" spans="2:20" ht="15" x14ac:dyDescent="0.25">
      <c r="B69" s="18" t="s">
        <v>42</v>
      </c>
      <c r="C69" s="56">
        <v>385</v>
      </c>
      <c r="D69" s="21">
        <f t="shared" si="16"/>
        <v>13.580486428332069</v>
      </c>
      <c r="E69" s="25" t="s">
        <v>99</v>
      </c>
      <c r="F69" s="14">
        <f t="shared" si="27"/>
        <v>385</v>
      </c>
      <c r="G69" s="81">
        <f t="shared" si="28"/>
        <v>13.580486428332069</v>
      </c>
      <c r="H69" s="89">
        <f t="shared" si="3"/>
        <v>0</v>
      </c>
      <c r="I69" s="21">
        <f t="shared" si="4"/>
        <v>13.580486428332069</v>
      </c>
      <c r="J69" s="25"/>
      <c r="K69" s="20"/>
      <c r="L69" s="20"/>
      <c r="M69" s="21"/>
      <c r="N69" s="25"/>
      <c r="O69" s="25"/>
      <c r="P69" s="25"/>
      <c r="Q69" s="25"/>
      <c r="R69" s="25"/>
      <c r="S69" s="25"/>
      <c r="T69" s="25"/>
    </row>
    <row r="70" spans="2:20" ht="15" x14ac:dyDescent="0.25">
      <c r="B70" s="18" t="s">
        <v>42</v>
      </c>
      <c r="C70" s="99">
        <f>SUMIF(B57:B69,"x",C57:C69)</f>
        <v>1187</v>
      </c>
      <c r="D70" s="21">
        <f t="shared" si="16"/>
        <v>41.870226988130305</v>
      </c>
      <c r="E70" s="25" t="s">
        <v>41</v>
      </c>
      <c r="F70" s="14">
        <f t="shared" ref="F70" si="29">IF(B70="x",IF(C70=0,"",C70),"")</f>
        <v>1187</v>
      </c>
      <c r="G70" s="81">
        <f t="shared" ref="G70" si="30">IF(B70="x",D70,"")</f>
        <v>41.870226988130305</v>
      </c>
      <c r="H70" s="89">
        <f t="shared" si="3"/>
        <v>2</v>
      </c>
      <c r="I70" s="21">
        <f t="shared" si="4"/>
        <v>9.8702269881303053</v>
      </c>
      <c r="J70" s="25"/>
      <c r="K70" s="20"/>
      <c r="L70" s="20"/>
      <c r="M70" s="21"/>
      <c r="N70" s="25"/>
      <c r="O70" s="25"/>
      <c r="P70" s="25"/>
      <c r="Q70" s="25"/>
      <c r="R70" s="25"/>
      <c r="S70" s="25"/>
      <c r="T70" s="25"/>
    </row>
    <row r="71" spans="2:20" ht="15.75" x14ac:dyDescent="0.25">
      <c r="B71" s="15" t="s">
        <v>42</v>
      </c>
      <c r="C71" s="56"/>
      <c r="D71" s="21" t="str">
        <f t="shared" si="16"/>
        <v/>
      </c>
      <c r="E71" s="44" t="s">
        <v>87</v>
      </c>
      <c r="F71" s="14" t="str">
        <f t="shared" si="27"/>
        <v/>
      </c>
      <c r="G71" s="81" t="str">
        <f t="shared" si="28"/>
        <v/>
      </c>
      <c r="H71" s="89" t="str">
        <f t="shared" ref="H71:H134" si="31">IF(C71="","",INT(D71/16))</f>
        <v/>
      </c>
      <c r="I71" s="21" t="str">
        <f t="shared" ref="I71:I134" si="32">IF(D71="","",MOD(D71,16))</f>
        <v/>
      </c>
      <c r="J71" s="25"/>
      <c r="K71" s="20"/>
      <c r="L71" s="20"/>
      <c r="M71" s="21"/>
      <c r="N71" s="25"/>
      <c r="O71" s="25"/>
      <c r="P71" s="25"/>
      <c r="Q71" s="25"/>
      <c r="R71" s="25"/>
      <c r="S71" s="25"/>
      <c r="T71" s="25"/>
    </row>
    <row r="72" spans="2:20" ht="15" x14ac:dyDescent="0.25">
      <c r="B72" s="18" t="s">
        <v>42</v>
      </c>
      <c r="C72" s="56">
        <v>244</v>
      </c>
      <c r="D72" s="21">
        <f t="shared" si="16"/>
        <v>8.6068537363974684</v>
      </c>
      <c r="E72" s="30" t="s">
        <v>190</v>
      </c>
      <c r="F72" s="14">
        <f t="shared" si="27"/>
        <v>244</v>
      </c>
      <c r="G72" s="81">
        <f t="shared" si="28"/>
        <v>8.6068537363974684</v>
      </c>
      <c r="H72" s="89">
        <f t="shared" si="31"/>
        <v>0</v>
      </c>
      <c r="I72" s="21">
        <f t="shared" si="32"/>
        <v>8.6068537363974684</v>
      </c>
      <c r="J72" s="25"/>
      <c r="K72" s="20"/>
      <c r="L72" s="20"/>
      <c r="M72" s="21"/>
      <c r="N72" s="25"/>
      <c r="O72" s="25"/>
      <c r="P72" s="25"/>
      <c r="Q72" s="25"/>
      <c r="R72" s="25"/>
      <c r="S72" s="25"/>
      <c r="T72" s="25"/>
    </row>
    <row r="73" spans="2:20" ht="15" x14ac:dyDescent="0.25">
      <c r="B73" s="18"/>
      <c r="C73" s="56">
        <v>444</v>
      </c>
      <c r="D73" s="21">
        <f t="shared" si="16"/>
        <v>15.661651880985556</v>
      </c>
      <c r="E73" s="30" t="s">
        <v>105</v>
      </c>
      <c r="F73" s="14" t="str">
        <f t="shared" si="27"/>
        <v/>
      </c>
      <c r="G73" s="81" t="str">
        <f t="shared" si="28"/>
        <v/>
      </c>
      <c r="H73" s="89">
        <f t="shared" si="31"/>
        <v>0</v>
      </c>
      <c r="I73" s="21">
        <f t="shared" si="32"/>
        <v>15.661651880985556</v>
      </c>
      <c r="J73" s="25" t="s">
        <v>208</v>
      </c>
      <c r="K73" s="20"/>
      <c r="L73" s="20"/>
      <c r="M73" s="21"/>
      <c r="N73" s="25"/>
      <c r="O73" s="25"/>
      <c r="P73" s="25"/>
      <c r="Q73" s="25"/>
      <c r="R73" s="25"/>
      <c r="S73" s="25"/>
      <c r="T73" s="25"/>
    </row>
    <row r="74" spans="2:20" ht="15" x14ac:dyDescent="0.25">
      <c r="B74" s="18"/>
      <c r="C74" s="56">
        <v>300</v>
      </c>
      <c r="D74" s="21">
        <f t="shared" si="16"/>
        <v>10.582197216882133</v>
      </c>
      <c r="E74" s="45" t="s">
        <v>104</v>
      </c>
      <c r="F74" s="14" t="str">
        <f t="shared" si="27"/>
        <v/>
      </c>
      <c r="G74" s="81" t="str">
        <f t="shared" si="28"/>
        <v/>
      </c>
      <c r="H74" s="89">
        <f t="shared" si="31"/>
        <v>0</v>
      </c>
      <c r="I74" s="21">
        <f t="shared" si="32"/>
        <v>10.582197216882133</v>
      </c>
      <c r="J74" s="25" t="s">
        <v>208</v>
      </c>
      <c r="K74" s="20"/>
      <c r="L74" s="20"/>
      <c r="M74" s="21"/>
      <c r="N74" s="25"/>
      <c r="O74" s="25"/>
      <c r="P74" s="25"/>
      <c r="Q74" s="25"/>
      <c r="R74" s="25"/>
      <c r="S74" s="25"/>
      <c r="T74" s="25"/>
    </row>
    <row r="75" spans="2:20" ht="15" x14ac:dyDescent="0.25">
      <c r="B75" s="18"/>
      <c r="C75" s="56">
        <v>0</v>
      </c>
      <c r="D75" s="21">
        <f t="shared" si="16"/>
        <v>0</v>
      </c>
      <c r="E75" s="45" t="s">
        <v>204</v>
      </c>
      <c r="F75" s="14" t="str">
        <f t="shared" si="27"/>
        <v/>
      </c>
      <c r="G75" s="81" t="str">
        <f t="shared" si="28"/>
        <v/>
      </c>
      <c r="H75" s="89">
        <f t="shared" si="31"/>
        <v>0</v>
      </c>
      <c r="I75" s="21">
        <f t="shared" si="32"/>
        <v>0</v>
      </c>
      <c r="J75" s="25"/>
      <c r="K75" s="20"/>
      <c r="L75" s="20"/>
      <c r="M75" s="21"/>
      <c r="N75" s="25"/>
      <c r="O75" s="25"/>
      <c r="P75" s="25"/>
      <c r="Q75" s="25"/>
      <c r="R75" s="25"/>
      <c r="S75" s="25"/>
      <c r="T75" s="25"/>
    </row>
    <row r="76" spans="2:20" ht="15" x14ac:dyDescent="0.25">
      <c r="B76" s="18" t="s">
        <v>42</v>
      </c>
      <c r="C76" s="56">
        <v>129</v>
      </c>
      <c r="D76" s="21">
        <f t="shared" si="16"/>
        <v>4.5503448032593168</v>
      </c>
      <c r="E76" s="45" t="s">
        <v>205</v>
      </c>
      <c r="F76" s="14">
        <f t="shared" ref="F76" si="33">IF(B76="x",IF(C76=0,"",C76),"")</f>
        <v>129</v>
      </c>
      <c r="G76" s="81">
        <f t="shared" ref="G76" si="34">IF(B76="x",D76,"")</f>
        <v>4.5503448032593168</v>
      </c>
      <c r="H76" s="89">
        <f t="shared" si="31"/>
        <v>0</v>
      </c>
      <c r="I76" s="21">
        <f t="shared" si="32"/>
        <v>4.5503448032593168</v>
      </c>
      <c r="J76" s="25"/>
      <c r="K76" s="20"/>
      <c r="L76" s="20"/>
      <c r="M76" s="21"/>
      <c r="N76" s="25"/>
      <c r="O76" s="25"/>
      <c r="P76" s="25"/>
      <c r="Q76" s="25"/>
      <c r="R76" s="25"/>
      <c r="S76" s="25"/>
      <c r="T76" s="25"/>
    </row>
    <row r="77" spans="2:20" ht="15" x14ac:dyDescent="0.25">
      <c r="C77" s="56">
        <v>73</v>
      </c>
      <c r="D77" s="21">
        <f t="shared" si="16"/>
        <v>2.5750013227746522</v>
      </c>
      <c r="E77" s="46" t="s">
        <v>107</v>
      </c>
      <c r="F77" s="14" t="str">
        <f t="shared" ref="F77" si="35">IF(B77="x",IF(C77=0,"",C77),"")</f>
        <v/>
      </c>
      <c r="G77" s="81" t="str">
        <f t="shared" ref="G77" si="36">IF(B77="x",D77,"")</f>
        <v/>
      </c>
      <c r="H77" s="89">
        <f t="shared" si="31"/>
        <v>0</v>
      </c>
      <c r="I77" s="21">
        <f t="shared" si="32"/>
        <v>2.5750013227746522</v>
      </c>
      <c r="J77" s="25" t="s">
        <v>108</v>
      </c>
      <c r="K77" s="20" t="s">
        <v>42</v>
      </c>
      <c r="L77" s="20"/>
      <c r="M77" s="21"/>
      <c r="N77" s="25"/>
      <c r="O77" s="25"/>
      <c r="P77" s="25"/>
      <c r="Q77" s="25"/>
      <c r="R77" s="25"/>
      <c r="S77" s="25"/>
      <c r="T77" s="25"/>
    </row>
    <row r="78" spans="2:20" ht="15" x14ac:dyDescent="0.25">
      <c r="B78" s="18"/>
      <c r="C78" s="56">
        <v>91</v>
      </c>
      <c r="D78" s="21">
        <f t="shared" si="16"/>
        <v>3.2099331557875801</v>
      </c>
      <c r="E78" s="25" t="s">
        <v>13</v>
      </c>
      <c r="F78" s="14" t="str">
        <f t="shared" si="27"/>
        <v/>
      </c>
      <c r="G78" s="81" t="str">
        <f t="shared" si="28"/>
        <v/>
      </c>
      <c r="H78" s="89">
        <f t="shared" si="31"/>
        <v>0</v>
      </c>
      <c r="I78" s="21">
        <f t="shared" si="32"/>
        <v>3.2099331557875801</v>
      </c>
      <c r="J78" s="25"/>
      <c r="K78" s="20"/>
      <c r="L78" s="20"/>
      <c r="M78" s="21"/>
      <c r="N78" s="25"/>
      <c r="O78" s="25"/>
      <c r="P78" s="25"/>
      <c r="Q78" s="25"/>
      <c r="R78" s="25"/>
      <c r="S78" s="25"/>
      <c r="T78" s="25"/>
    </row>
    <row r="79" spans="2:20" ht="15" x14ac:dyDescent="0.25">
      <c r="B79" s="18" t="s">
        <v>42</v>
      </c>
      <c r="C79" s="99">
        <f>SUMIF(B72:B78,"x",C72:C78)</f>
        <v>373</v>
      </c>
      <c r="D79" s="21">
        <f t="shared" si="16"/>
        <v>13.157198539656784</v>
      </c>
      <c r="E79" s="25" t="s">
        <v>41</v>
      </c>
      <c r="F79" s="14">
        <f t="shared" si="27"/>
        <v>373</v>
      </c>
      <c r="G79" s="81">
        <f t="shared" si="28"/>
        <v>13.157198539656784</v>
      </c>
      <c r="H79" s="89">
        <f t="shared" si="31"/>
        <v>0</v>
      </c>
      <c r="I79" s="21">
        <f t="shared" si="32"/>
        <v>13.157198539656784</v>
      </c>
      <c r="J79" s="25"/>
      <c r="K79" s="20"/>
      <c r="L79" s="20"/>
      <c r="M79" s="21"/>
      <c r="N79" s="25"/>
      <c r="O79" s="25"/>
      <c r="P79" s="25"/>
      <c r="Q79" s="25"/>
      <c r="R79" s="25"/>
      <c r="S79" s="25"/>
      <c r="T79" s="25"/>
    </row>
    <row r="80" spans="2:20" ht="15.75" x14ac:dyDescent="0.25">
      <c r="B80" s="18" t="s">
        <v>42</v>
      </c>
      <c r="C80" s="56"/>
      <c r="D80" s="21" t="str">
        <f t="shared" si="16"/>
        <v/>
      </c>
      <c r="E80" s="44" t="s">
        <v>81</v>
      </c>
      <c r="F80" s="14" t="str">
        <f t="shared" ref="F80:F151" si="37">IF(B80="x",IF(C80=0,"",C80),"")</f>
        <v/>
      </c>
      <c r="G80" s="81" t="str">
        <f t="shared" ref="G80:G151" si="38">IF(B80="x",D80,"")</f>
        <v/>
      </c>
      <c r="H80" s="89" t="str">
        <f t="shared" si="31"/>
        <v/>
      </c>
      <c r="I80" s="21" t="str">
        <f t="shared" si="32"/>
        <v/>
      </c>
      <c r="J80" s="25" t="s">
        <v>122</v>
      </c>
      <c r="K80" s="20"/>
      <c r="L80" s="20"/>
      <c r="M80" s="21"/>
      <c r="N80" s="25"/>
      <c r="O80" s="25"/>
      <c r="P80" s="25"/>
      <c r="Q80" s="25"/>
      <c r="R80" s="25"/>
      <c r="S80" s="25"/>
      <c r="T80" s="25"/>
    </row>
    <row r="81" spans="2:20" ht="15" x14ac:dyDescent="0.25">
      <c r="C81" s="56">
        <v>122</v>
      </c>
      <c r="D81" s="21">
        <f t="shared" ref="D81:D100" si="39">IF(ISBLANK(C81),"", C81/$D$211)</f>
        <v>4.3034268681987342</v>
      </c>
      <c r="E81" s="47" t="s">
        <v>214</v>
      </c>
      <c r="F81" s="14" t="str">
        <f t="shared" si="37"/>
        <v/>
      </c>
      <c r="G81" s="81" t="str">
        <f t="shared" si="38"/>
        <v/>
      </c>
      <c r="H81" s="89">
        <f t="shared" si="31"/>
        <v>0</v>
      </c>
      <c r="I81" s="21">
        <f t="shared" si="32"/>
        <v>4.3034268681987342</v>
      </c>
      <c r="J81" s="25"/>
      <c r="K81" s="20"/>
      <c r="L81" s="20"/>
      <c r="M81" s="21"/>
      <c r="N81" s="25"/>
      <c r="O81" s="25"/>
      <c r="P81" s="25"/>
      <c r="Q81" s="25"/>
      <c r="R81" s="25"/>
      <c r="S81" s="25"/>
      <c r="T81" s="25"/>
    </row>
    <row r="82" spans="2:20" ht="15" x14ac:dyDescent="0.25">
      <c r="B82" s="18" t="s">
        <v>42</v>
      </c>
      <c r="C82" s="56">
        <v>78</v>
      </c>
      <c r="D82" s="21">
        <f t="shared" si="39"/>
        <v>2.7513712763893543</v>
      </c>
      <c r="E82" s="47" t="s">
        <v>109</v>
      </c>
      <c r="F82" s="14">
        <f t="shared" si="37"/>
        <v>78</v>
      </c>
      <c r="G82" s="81">
        <f t="shared" si="38"/>
        <v>2.7513712763893543</v>
      </c>
      <c r="H82" s="89">
        <f t="shared" si="31"/>
        <v>0</v>
      </c>
      <c r="I82" s="21">
        <f t="shared" si="32"/>
        <v>2.7513712763893543</v>
      </c>
      <c r="J82" s="25"/>
      <c r="K82" s="20"/>
      <c r="L82" s="20"/>
      <c r="M82" s="21"/>
      <c r="N82" s="25"/>
      <c r="O82" s="25"/>
      <c r="P82" s="25"/>
      <c r="Q82" s="25"/>
      <c r="R82" s="25"/>
      <c r="S82" s="25"/>
      <c r="T82" s="25"/>
    </row>
    <row r="83" spans="2:20" ht="15" x14ac:dyDescent="0.25">
      <c r="B83" s="18" t="s">
        <v>42</v>
      </c>
      <c r="C83" s="56">
        <v>110</v>
      </c>
      <c r="D83" s="21">
        <f t="shared" si="39"/>
        <v>3.8801389795234487</v>
      </c>
      <c r="E83" s="45" t="s">
        <v>106</v>
      </c>
      <c r="F83" s="14">
        <f t="shared" si="37"/>
        <v>110</v>
      </c>
      <c r="G83" s="81">
        <f t="shared" si="38"/>
        <v>3.8801389795234487</v>
      </c>
      <c r="H83" s="89">
        <f t="shared" si="31"/>
        <v>0</v>
      </c>
      <c r="I83" s="21">
        <f t="shared" si="32"/>
        <v>3.8801389795234487</v>
      </c>
      <c r="J83" s="25"/>
      <c r="K83" s="20"/>
      <c r="L83" s="20"/>
      <c r="M83" s="21"/>
      <c r="N83" s="25"/>
      <c r="O83" s="25"/>
      <c r="P83" s="25"/>
      <c r="Q83" s="25"/>
      <c r="R83" s="25"/>
      <c r="S83" s="25"/>
      <c r="T83" s="25"/>
    </row>
    <row r="84" spans="2:20" ht="15" x14ac:dyDescent="0.25">
      <c r="B84" s="18"/>
      <c r="C84" s="56">
        <v>25</v>
      </c>
      <c r="D84" s="21">
        <f t="shared" si="39"/>
        <v>0.88184976807351101</v>
      </c>
      <c r="E84" s="46" t="s">
        <v>207</v>
      </c>
      <c r="F84" s="14" t="str">
        <f t="shared" si="37"/>
        <v/>
      </c>
      <c r="G84" s="81" t="str">
        <f t="shared" si="38"/>
        <v/>
      </c>
      <c r="H84" s="89">
        <f t="shared" si="31"/>
        <v>0</v>
      </c>
      <c r="I84" s="21">
        <f t="shared" si="32"/>
        <v>0.88184976807351101</v>
      </c>
      <c r="J84" s="25" t="s">
        <v>180</v>
      </c>
      <c r="K84" s="20" t="s">
        <v>42</v>
      </c>
      <c r="L84" s="20"/>
      <c r="M84" s="21"/>
      <c r="N84" s="25"/>
      <c r="O84" s="25"/>
      <c r="P84" s="25"/>
      <c r="Q84" s="25"/>
      <c r="R84" s="25"/>
      <c r="S84" s="25"/>
      <c r="T84" s="25"/>
    </row>
    <row r="85" spans="2:20" ht="15" x14ac:dyDescent="0.25">
      <c r="B85" s="18"/>
      <c r="C85" s="56">
        <v>0</v>
      </c>
      <c r="D85" s="21">
        <f t="shared" si="39"/>
        <v>0</v>
      </c>
      <c r="E85" s="45" t="s">
        <v>117</v>
      </c>
      <c r="F85" s="14" t="str">
        <f t="shared" si="37"/>
        <v/>
      </c>
      <c r="G85" s="81" t="str">
        <f t="shared" si="38"/>
        <v/>
      </c>
      <c r="H85" s="89">
        <f t="shared" si="31"/>
        <v>0</v>
      </c>
      <c r="I85" s="21">
        <f t="shared" si="32"/>
        <v>0</v>
      </c>
      <c r="J85" s="25"/>
      <c r="K85" s="20"/>
      <c r="L85" s="20"/>
      <c r="M85" s="21"/>
      <c r="N85" s="25"/>
      <c r="O85" s="25"/>
      <c r="P85" s="25"/>
      <c r="Q85" s="25"/>
      <c r="R85" s="25"/>
      <c r="S85" s="25"/>
      <c r="T85" s="25"/>
    </row>
    <row r="86" spans="2:20" ht="15" x14ac:dyDescent="0.25">
      <c r="B86" s="18" t="s">
        <v>42</v>
      </c>
      <c r="C86" s="56">
        <v>227</v>
      </c>
      <c r="D86" s="21">
        <f t="shared" si="39"/>
        <v>8.0071958941074808</v>
      </c>
      <c r="E86" s="30" t="s">
        <v>120</v>
      </c>
      <c r="F86" s="14">
        <f t="shared" si="37"/>
        <v>227</v>
      </c>
      <c r="G86" s="81">
        <f t="shared" si="38"/>
        <v>8.0071958941074808</v>
      </c>
      <c r="H86" s="89">
        <f t="shared" si="31"/>
        <v>0</v>
      </c>
      <c r="I86" s="21">
        <f t="shared" si="32"/>
        <v>8.0071958941074808</v>
      </c>
      <c r="J86" s="25"/>
      <c r="K86" s="20"/>
      <c r="L86" s="20"/>
      <c r="M86" s="21"/>
      <c r="N86" s="25"/>
      <c r="O86" s="25"/>
      <c r="P86" s="25"/>
      <c r="Q86" s="25"/>
      <c r="R86" s="25"/>
      <c r="S86" s="25"/>
      <c r="T86" s="25"/>
    </row>
    <row r="87" spans="2:20" ht="15" x14ac:dyDescent="0.25">
      <c r="B87" s="18"/>
      <c r="C87" s="56">
        <v>114</v>
      </c>
      <c r="D87" s="21">
        <f t="shared" si="39"/>
        <v>4.0212349424152105</v>
      </c>
      <c r="E87" s="30" t="s">
        <v>121</v>
      </c>
      <c r="F87" s="14" t="str">
        <f t="shared" ref="F87" si="40">IF(B87="x",IF(C87=0,"",C87),"")</f>
        <v/>
      </c>
      <c r="G87" s="81" t="str">
        <f t="shared" ref="G87" si="41">IF(B87="x",D87,"")</f>
        <v/>
      </c>
      <c r="H87" s="89">
        <f t="shared" si="31"/>
        <v>0</v>
      </c>
      <c r="I87" s="21">
        <f t="shared" si="32"/>
        <v>4.0212349424152105</v>
      </c>
      <c r="J87" s="25"/>
      <c r="K87" s="20"/>
      <c r="L87" s="20"/>
      <c r="M87" s="21"/>
      <c r="N87" s="25"/>
      <c r="O87" s="25"/>
      <c r="P87" s="25"/>
      <c r="Q87" s="25"/>
      <c r="R87" s="25"/>
      <c r="S87" s="25"/>
      <c r="T87" s="25"/>
    </row>
    <row r="88" spans="2:20" ht="15" x14ac:dyDescent="0.25">
      <c r="B88" s="18"/>
      <c r="C88" s="56">
        <v>0</v>
      </c>
      <c r="D88" s="21">
        <f t="shared" si="39"/>
        <v>0</v>
      </c>
      <c r="E88" s="30" t="s">
        <v>116</v>
      </c>
      <c r="F88" s="14" t="str">
        <f t="shared" ref="F88:F97" si="42">IF(B88="x",IF(C88=0,"",C88),"")</f>
        <v/>
      </c>
      <c r="G88" s="81" t="str">
        <f t="shared" ref="G88:G97" si="43">IF(B88="x",D88,"")</f>
        <v/>
      </c>
      <c r="H88" s="89">
        <f t="shared" si="31"/>
        <v>0</v>
      </c>
      <c r="I88" s="21">
        <f t="shared" si="32"/>
        <v>0</v>
      </c>
      <c r="J88" s="25"/>
      <c r="K88" s="20"/>
      <c r="L88" s="20"/>
      <c r="M88" s="21"/>
      <c r="N88" s="25"/>
      <c r="O88" s="25"/>
      <c r="P88" s="25"/>
      <c r="Q88" s="25"/>
      <c r="R88" s="25"/>
      <c r="S88" s="25"/>
      <c r="T88" s="25"/>
    </row>
    <row r="89" spans="2:20" ht="15" x14ac:dyDescent="0.25">
      <c r="B89" s="18" t="s">
        <v>42</v>
      </c>
      <c r="C89" s="56">
        <v>27</v>
      </c>
      <c r="D89" s="21">
        <f t="shared" si="39"/>
        <v>0.95239774951939193</v>
      </c>
      <c r="E89" s="25" t="s">
        <v>119</v>
      </c>
      <c r="F89" s="14">
        <f t="shared" si="42"/>
        <v>27</v>
      </c>
      <c r="G89" s="81">
        <f t="shared" si="43"/>
        <v>0.95239774951939193</v>
      </c>
      <c r="H89" s="89">
        <f t="shared" si="31"/>
        <v>0</v>
      </c>
      <c r="I89" s="21">
        <f t="shared" si="32"/>
        <v>0.95239774951939193</v>
      </c>
      <c r="J89" s="25"/>
      <c r="K89" s="20"/>
      <c r="L89" s="20"/>
      <c r="M89" s="21"/>
      <c r="N89" s="25"/>
      <c r="O89" s="25"/>
      <c r="P89" s="25"/>
      <c r="Q89" s="25"/>
      <c r="R89" s="25"/>
      <c r="S89" s="25"/>
      <c r="T89" s="25"/>
    </row>
    <row r="90" spans="2:20" ht="15" x14ac:dyDescent="0.25">
      <c r="B90" s="18" t="s">
        <v>42</v>
      </c>
      <c r="C90" s="56">
        <v>26</v>
      </c>
      <c r="D90" s="21">
        <f t="shared" si="39"/>
        <v>0.91712375879645147</v>
      </c>
      <c r="E90" s="25" t="s">
        <v>118</v>
      </c>
      <c r="F90" s="14">
        <f t="shared" si="42"/>
        <v>26</v>
      </c>
      <c r="G90" s="81">
        <f t="shared" si="43"/>
        <v>0.91712375879645147</v>
      </c>
      <c r="H90" s="89">
        <f t="shared" si="31"/>
        <v>0</v>
      </c>
      <c r="I90" s="21">
        <f t="shared" si="32"/>
        <v>0.91712375879645147</v>
      </c>
      <c r="J90" s="25"/>
      <c r="K90" s="20"/>
      <c r="L90" s="20"/>
      <c r="M90" s="21"/>
      <c r="N90" s="25"/>
      <c r="O90" s="25"/>
      <c r="P90" s="25"/>
      <c r="Q90" s="25"/>
      <c r="R90" s="25"/>
      <c r="S90" s="25"/>
      <c r="T90" s="25"/>
    </row>
    <row r="91" spans="2:20" ht="15" x14ac:dyDescent="0.25">
      <c r="B91" s="18" t="s">
        <v>42</v>
      </c>
      <c r="C91" s="56">
        <v>30</v>
      </c>
      <c r="D91" s="21">
        <f t="shared" si="39"/>
        <v>1.0582197216882132</v>
      </c>
      <c r="E91" s="25" t="s">
        <v>112</v>
      </c>
      <c r="F91" s="14">
        <f t="shared" si="42"/>
        <v>30</v>
      </c>
      <c r="G91" s="81">
        <f t="shared" si="43"/>
        <v>1.0582197216882132</v>
      </c>
      <c r="H91" s="89">
        <f t="shared" si="31"/>
        <v>0</v>
      </c>
      <c r="I91" s="21">
        <f t="shared" si="32"/>
        <v>1.0582197216882132</v>
      </c>
      <c r="J91" s="25"/>
      <c r="K91" s="20"/>
      <c r="L91" s="20"/>
      <c r="M91" s="21"/>
      <c r="N91" s="25"/>
      <c r="O91" s="25"/>
      <c r="P91" s="25"/>
      <c r="Q91" s="25"/>
      <c r="R91" s="25"/>
      <c r="S91" s="25"/>
      <c r="T91" s="25"/>
    </row>
    <row r="92" spans="2:20" ht="15" x14ac:dyDescent="0.25">
      <c r="B92" s="18"/>
      <c r="C92" s="56">
        <v>10</v>
      </c>
      <c r="D92" s="21">
        <f t="shared" si="39"/>
        <v>0.3527399072294044</v>
      </c>
      <c r="E92" s="25" t="s">
        <v>113</v>
      </c>
      <c r="F92" s="14" t="str">
        <f t="shared" si="42"/>
        <v/>
      </c>
      <c r="G92" s="81" t="str">
        <f t="shared" si="43"/>
        <v/>
      </c>
      <c r="H92" s="89">
        <f t="shared" si="31"/>
        <v>0</v>
      </c>
      <c r="I92" s="21">
        <f t="shared" si="32"/>
        <v>0.3527399072294044</v>
      </c>
      <c r="J92" s="25"/>
      <c r="K92" s="20"/>
      <c r="L92" s="20"/>
      <c r="M92" s="21"/>
      <c r="N92" s="25"/>
      <c r="O92" s="25"/>
      <c r="P92" s="25"/>
      <c r="Q92" s="25"/>
      <c r="R92" s="25"/>
      <c r="S92" s="25"/>
      <c r="T92" s="25"/>
    </row>
    <row r="93" spans="2:20" ht="15" x14ac:dyDescent="0.25">
      <c r="B93" s="18"/>
      <c r="C93" s="56">
        <v>14</v>
      </c>
      <c r="D93" s="21">
        <f t="shared" si="39"/>
        <v>0.4938358701211662</v>
      </c>
      <c r="E93" s="25" t="s">
        <v>114</v>
      </c>
      <c r="F93" s="14" t="str">
        <f t="shared" si="42"/>
        <v/>
      </c>
      <c r="G93" s="81" t="str">
        <f t="shared" si="43"/>
        <v/>
      </c>
      <c r="H93" s="89">
        <f t="shared" si="31"/>
        <v>0</v>
      </c>
      <c r="I93" s="21">
        <f t="shared" si="32"/>
        <v>0.4938358701211662</v>
      </c>
      <c r="J93" s="25"/>
      <c r="K93" s="20"/>
      <c r="L93" s="20"/>
      <c r="M93" s="21"/>
      <c r="N93" s="25"/>
      <c r="O93" s="25"/>
      <c r="P93" s="25"/>
      <c r="Q93" s="25"/>
      <c r="R93" s="25"/>
      <c r="S93" s="25"/>
      <c r="T93" s="25"/>
    </row>
    <row r="94" spans="2:20" ht="15" x14ac:dyDescent="0.25">
      <c r="B94" s="18" t="s">
        <v>42</v>
      </c>
      <c r="C94" s="56">
        <v>10</v>
      </c>
      <c r="D94" s="21">
        <f t="shared" si="39"/>
        <v>0.3527399072294044</v>
      </c>
      <c r="E94" s="30" t="s">
        <v>115</v>
      </c>
      <c r="F94" s="14">
        <f t="shared" si="42"/>
        <v>10</v>
      </c>
      <c r="G94" s="81">
        <f t="shared" si="43"/>
        <v>0.3527399072294044</v>
      </c>
      <c r="H94" s="89">
        <f t="shared" si="31"/>
        <v>0</v>
      </c>
      <c r="I94" s="21">
        <f t="shared" si="32"/>
        <v>0.3527399072294044</v>
      </c>
      <c r="J94" s="25"/>
      <c r="K94" s="20"/>
      <c r="L94" s="20"/>
      <c r="M94" s="21"/>
      <c r="N94" s="25"/>
      <c r="O94" s="25"/>
      <c r="P94" s="25"/>
      <c r="Q94" s="25"/>
      <c r="R94" s="25"/>
      <c r="S94" s="25"/>
      <c r="T94" s="25"/>
    </row>
    <row r="95" spans="2:20" ht="15" x14ac:dyDescent="0.25">
      <c r="B95" s="18" t="s">
        <v>42</v>
      </c>
      <c r="C95" s="56">
        <v>10</v>
      </c>
      <c r="D95" s="21">
        <f t="shared" si="39"/>
        <v>0.3527399072294044</v>
      </c>
      <c r="E95" s="30" t="s">
        <v>199</v>
      </c>
      <c r="F95" s="14">
        <f t="shared" si="42"/>
        <v>10</v>
      </c>
      <c r="G95" s="81">
        <f t="shared" si="43"/>
        <v>0.3527399072294044</v>
      </c>
      <c r="H95" s="89">
        <f t="shared" si="31"/>
        <v>0</v>
      </c>
      <c r="I95" s="21">
        <f t="shared" si="32"/>
        <v>0.3527399072294044</v>
      </c>
      <c r="J95" s="25"/>
      <c r="K95" s="20"/>
      <c r="L95" s="20"/>
      <c r="M95" s="21"/>
      <c r="N95" s="25"/>
      <c r="O95" s="25"/>
      <c r="P95" s="25"/>
      <c r="Q95" s="25"/>
      <c r="R95" s="25"/>
      <c r="S95" s="25"/>
      <c r="T95" s="25"/>
    </row>
    <row r="96" spans="2:20" ht="15" x14ac:dyDescent="0.25">
      <c r="B96" s="18" t="s">
        <v>42</v>
      </c>
      <c r="C96" s="56">
        <v>209</v>
      </c>
      <c r="D96" s="21">
        <f t="shared" si="39"/>
        <v>7.372264061094552</v>
      </c>
      <c r="E96" s="25" t="s">
        <v>125</v>
      </c>
      <c r="F96" s="14">
        <f t="shared" si="42"/>
        <v>209</v>
      </c>
      <c r="G96" s="81">
        <f t="shared" si="43"/>
        <v>7.372264061094552</v>
      </c>
      <c r="H96" s="89">
        <f t="shared" si="31"/>
        <v>0</v>
      </c>
      <c r="I96" s="21">
        <f t="shared" si="32"/>
        <v>7.372264061094552</v>
      </c>
      <c r="J96" s="25"/>
      <c r="K96" s="20"/>
      <c r="L96" s="20"/>
      <c r="M96" s="21"/>
      <c r="N96" s="25"/>
      <c r="O96" s="25"/>
      <c r="P96" s="25"/>
      <c r="Q96" s="25"/>
      <c r="R96" s="25"/>
      <c r="S96" s="25"/>
      <c r="T96" s="25"/>
    </row>
    <row r="97" spans="2:20" ht="15" x14ac:dyDescent="0.25">
      <c r="B97" s="18" t="s">
        <v>42</v>
      </c>
      <c r="C97" s="56">
        <v>35</v>
      </c>
      <c r="D97" s="21">
        <f t="shared" si="39"/>
        <v>1.2345896753029155</v>
      </c>
      <c r="E97" s="25" t="s">
        <v>127</v>
      </c>
      <c r="F97" s="14">
        <f t="shared" si="42"/>
        <v>35</v>
      </c>
      <c r="G97" s="81">
        <f t="shared" si="43"/>
        <v>1.2345896753029155</v>
      </c>
      <c r="H97" s="89">
        <f t="shared" si="31"/>
        <v>0</v>
      </c>
      <c r="I97" s="21">
        <f t="shared" si="32"/>
        <v>1.2345896753029155</v>
      </c>
      <c r="J97" s="25"/>
      <c r="K97" s="20"/>
      <c r="L97" s="20"/>
      <c r="M97" s="21"/>
      <c r="N97" s="25"/>
      <c r="O97" s="25"/>
      <c r="P97" s="25"/>
      <c r="Q97" s="25"/>
      <c r="R97" s="25"/>
      <c r="S97" s="25"/>
      <c r="T97" s="25"/>
    </row>
    <row r="98" spans="2:20" ht="15" x14ac:dyDescent="0.25">
      <c r="B98" s="18" t="s">
        <v>42</v>
      </c>
      <c r="C98" s="56">
        <v>30</v>
      </c>
      <c r="D98" s="21">
        <f t="shared" si="39"/>
        <v>1.0582197216882132</v>
      </c>
      <c r="E98" s="25" t="s">
        <v>126</v>
      </c>
      <c r="F98" s="14">
        <f t="shared" ref="F98" si="44">IF(B98="x",IF(C98=0,"",C98),"")</f>
        <v>30</v>
      </c>
      <c r="G98" s="81">
        <f t="shared" ref="G98" si="45">IF(B98="x",D98,"")</f>
        <v>1.0582197216882132</v>
      </c>
      <c r="H98" s="89">
        <f t="shared" si="31"/>
        <v>0</v>
      </c>
      <c r="I98" s="21">
        <f t="shared" si="32"/>
        <v>1.0582197216882132</v>
      </c>
      <c r="J98" s="25"/>
      <c r="K98" s="20"/>
      <c r="L98" s="20"/>
      <c r="M98" s="21"/>
      <c r="N98" s="25"/>
      <c r="O98" s="25"/>
      <c r="P98" s="25"/>
      <c r="Q98" s="25"/>
      <c r="R98" s="25"/>
      <c r="S98" s="25"/>
      <c r="T98" s="25"/>
    </row>
    <row r="99" spans="2:20" ht="15" x14ac:dyDescent="0.25">
      <c r="B99" s="18" t="s">
        <v>42</v>
      </c>
      <c r="C99" s="56">
        <v>286</v>
      </c>
      <c r="D99" s="21">
        <f t="shared" si="39"/>
        <v>10.088361346760966</v>
      </c>
      <c r="E99" s="3" t="s">
        <v>12</v>
      </c>
      <c r="F99" s="14">
        <f t="shared" ref="F99:F104" si="46">IF(B99="x",IF(C99=0,"",C99),"")</f>
        <v>286</v>
      </c>
      <c r="G99" s="81">
        <f t="shared" ref="G99:G104" si="47">IF(B99="x",D99,"")</f>
        <v>10.088361346760966</v>
      </c>
      <c r="H99" s="89">
        <f t="shared" si="31"/>
        <v>0</v>
      </c>
      <c r="I99" s="21">
        <f t="shared" si="32"/>
        <v>10.088361346760966</v>
      </c>
      <c r="J99" s="25"/>
      <c r="K99" s="20"/>
      <c r="L99" s="20"/>
      <c r="M99" s="21"/>
      <c r="N99" s="25"/>
      <c r="O99" s="25"/>
      <c r="P99" s="25"/>
      <c r="Q99" s="25"/>
      <c r="R99" s="25"/>
      <c r="S99" s="25"/>
      <c r="T99" s="25"/>
    </row>
    <row r="100" spans="2:20" ht="15" x14ac:dyDescent="0.25">
      <c r="B100" s="18" t="s">
        <v>42</v>
      </c>
      <c r="C100" s="56"/>
      <c r="D100" s="21" t="str">
        <f t="shared" si="39"/>
        <v/>
      </c>
      <c r="E100" s="48" t="s">
        <v>187</v>
      </c>
      <c r="F100" s="14"/>
      <c r="G100" s="81"/>
      <c r="H100" s="89" t="str">
        <f t="shared" si="31"/>
        <v/>
      </c>
      <c r="I100" s="21" t="str">
        <f t="shared" si="32"/>
        <v/>
      </c>
      <c r="J100" s="25" t="s">
        <v>185</v>
      </c>
      <c r="K100" s="20"/>
      <c r="L100" s="20"/>
      <c r="M100" s="21"/>
      <c r="N100" s="25"/>
      <c r="O100" s="25"/>
      <c r="P100" s="25"/>
      <c r="Q100" s="25"/>
      <c r="R100" s="25"/>
      <c r="S100" s="25"/>
      <c r="T100" s="25"/>
    </row>
    <row r="101" spans="2:20" ht="15" x14ac:dyDescent="0.25">
      <c r="B101" s="18" t="s">
        <v>42</v>
      </c>
      <c r="C101" s="56"/>
      <c r="D101" s="21" t="str">
        <f t="shared" ref="D101:D133" si="48">IF(ISBLANK(C101),"", C101/$D$211)</f>
        <v/>
      </c>
      <c r="E101" s="48" t="s">
        <v>129</v>
      </c>
      <c r="F101" s="14" t="str">
        <f t="shared" si="46"/>
        <v/>
      </c>
      <c r="G101" s="81" t="str">
        <f t="shared" si="47"/>
        <v/>
      </c>
      <c r="H101" s="89" t="str">
        <f t="shared" si="31"/>
        <v/>
      </c>
      <c r="I101" s="21" t="str">
        <f t="shared" si="32"/>
        <v/>
      </c>
      <c r="J101" s="25"/>
      <c r="K101" s="20"/>
      <c r="L101" s="20"/>
      <c r="M101" s="21"/>
      <c r="N101" s="25"/>
      <c r="O101" s="25"/>
      <c r="P101" s="25"/>
      <c r="Q101" s="25"/>
      <c r="R101" s="25"/>
      <c r="S101" s="25"/>
      <c r="T101" s="25"/>
    </row>
    <row r="102" spans="2:20" ht="15" x14ac:dyDescent="0.25">
      <c r="B102" s="18" t="s">
        <v>42</v>
      </c>
      <c r="C102" s="56"/>
      <c r="D102" s="21" t="str">
        <f t="shared" si="48"/>
        <v/>
      </c>
      <c r="E102" s="48" t="s">
        <v>128</v>
      </c>
      <c r="F102" s="14" t="str">
        <f t="shared" si="46"/>
        <v/>
      </c>
      <c r="G102" s="81" t="str">
        <f t="shared" si="47"/>
        <v/>
      </c>
      <c r="H102" s="89" t="str">
        <f t="shared" si="31"/>
        <v/>
      </c>
      <c r="I102" s="21" t="str">
        <f t="shared" si="32"/>
        <v/>
      </c>
      <c r="J102" s="25"/>
      <c r="K102" s="20"/>
      <c r="L102" s="20"/>
      <c r="M102" s="21"/>
      <c r="N102" s="25"/>
      <c r="O102" s="25"/>
      <c r="P102" s="25"/>
      <c r="Q102" s="25"/>
      <c r="R102" s="25"/>
      <c r="S102" s="25"/>
      <c r="T102" s="25"/>
    </row>
    <row r="103" spans="2:20" ht="15" x14ac:dyDescent="0.25">
      <c r="B103" s="18" t="s">
        <v>42</v>
      </c>
      <c r="C103" s="56"/>
      <c r="D103" s="21" t="str">
        <f t="shared" si="48"/>
        <v/>
      </c>
      <c r="E103" s="48" t="s">
        <v>130</v>
      </c>
      <c r="F103" s="14" t="str">
        <f t="shared" si="46"/>
        <v/>
      </c>
      <c r="G103" s="81" t="str">
        <f t="shared" si="47"/>
        <v/>
      </c>
      <c r="H103" s="89" t="str">
        <f t="shared" si="31"/>
        <v/>
      </c>
      <c r="I103" s="21" t="str">
        <f t="shared" si="32"/>
        <v/>
      </c>
      <c r="J103" s="25"/>
      <c r="K103" s="20"/>
      <c r="L103" s="20"/>
      <c r="M103" s="21"/>
      <c r="N103" s="25"/>
      <c r="O103" s="25"/>
      <c r="P103" s="32"/>
      <c r="Q103" s="33"/>
      <c r="R103" s="33"/>
      <c r="S103" s="32"/>
      <c r="T103" s="33"/>
    </row>
    <row r="104" spans="2:20" ht="15" x14ac:dyDescent="0.25">
      <c r="B104" s="18" t="s">
        <v>42</v>
      </c>
      <c r="C104" s="56"/>
      <c r="D104" s="21" t="str">
        <f t="shared" si="48"/>
        <v/>
      </c>
      <c r="E104" s="48" t="s">
        <v>215</v>
      </c>
      <c r="F104" s="14" t="str">
        <f t="shared" si="46"/>
        <v/>
      </c>
      <c r="G104" s="81" t="str">
        <f t="shared" si="47"/>
        <v/>
      </c>
      <c r="H104" s="89" t="str">
        <f t="shared" si="31"/>
        <v/>
      </c>
      <c r="I104" s="21" t="str">
        <f t="shared" si="32"/>
        <v/>
      </c>
      <c r="J104" s="25"/>
      <c r="K104" s="20"/>
      <c r="L104" s="20"/>
      <c r="M104" s="21"/>
      <c r="N104" s="25"/>
      <c r="O104" s="33"/>
      <c r="P104" s="20"/>
      <c r="Q104" s="20"/>
      <c r="R104" s="20"/>
      <c r="S104" s="20"/>
      <c r="T104" s="20"/>
    </row>
    <row r="105" spans="2:20" ht="15" x14ac:dyDescent="0.25">
      <c r="B105" s="124"/>
      <c r="C105" s="56">
        <v>46</v>
      </c>
      <c r="D105" s="21">
        <f t="shared" si="48"/>
        <v>1.6226035732552604</v>
      </c>
      <c r="E105" s="25" t="s">
        <v>124</v>
      </c>
      <c r="F105" s="14" t="str">
        <f t="shared" si="37"/>
        <v/>
      </c>
      <c r="G105" s="81" t="str">
        <f t="shared" si="38"/>
        <v/>
      </c>
      <c r="H105" s="89">
        <f t="shared" si="31"/>
        <v>0</v>
      </c>
      <c r="I105" s="21">
        <f t="shared" si="32"/>
        <v>1.6226035732552604</v>
      </c>
      <c r="J105" s="25"/>
      <c r="K105" s="20"/>
      <c r="L105" s="20"/>
      <c r="M105" s="21"/>
      <c r="N105" s="25"/>
      <c r="O105" s="20"/>
      <c r="P105" s="20"/>
      <c r="Q105" s="20"/>
      <c r="R105" s="20"/>
      <c r="S105" s="20"/>
      <c r="T105" s="20"/>
    </row>
    <row r="106" spans="2:20" ht="15" x14ac:dyDescent="0.25">
      <c r="B106" s="18" t="s">
        <v>42</v>
      </c>
      <c r="C106" s="56">
        <v>41</v>
      </c>
      <c r="D106" s="21">
        <f t="shared" si="48"/>
        <v>1.4462336196405581</v>
      </c>
      <c r="E106" s="30" t="s">
        <v>206</v>
      </c>
      <c r="F106" s="14">
        <f t="shared" si="37"/>
        <v>41</v>
      </c>
      <c r="G106" s="81">
        <f t="shared" ref="G106" si="49">IF(B106="x",D106,"")</f>
        <v>1.4462336196405581</v>
      </c>
      <c r="H106" s="89">
        <f t="shared" ref="H106" si="50">IF(C106="","",INT(D106/16))</f>
        <v>0</v>
      </c>
      <c r="I106" s="21">
        <f t="shared" ref="I106" si="51">IF(D106="","",MOD(D106,16))</f>
        <v>1.4462336196405581</v>
      </c>
      <c r="J106" s="25"/>
      <c r="K106" s="20"/>
      <c r="L106" s="20"/>
      <c r="M106" s="21"/>
      <c r="N106" s="25"/>
      <c r="O106" s="20"/>
      <c r="P106" s="20"/>
      <c r="Q106" s="20"/>
      <c r="R106" s="20"/>
      <c r="S106" s="20"/>
      <c r="T106" s="20"/>
    </row>
    <row r="107" spans="2:20" ht="15" x14ac:dyDescent="0.25">
      <c r="B107" s="18" t="s">
        <v>42</v>
      </c>
      <c r="C107" s="56">
        <v>32</v>
      </c>
      <c r="D107" s="21">
        <f t="shared" si="48"/>
        <v>1.1287677031340941</v>
      </c>
      <c r="E107" s="25" t="s">
        <v>15</v>
      </c>
      <c r="F107" s="14">
        <f t="shared" si="37"/>
        <v>32</v>
      </c>
      <c r="G107" s="81">
        <f t="shared" si="38"/>
        <v>1.1287677031340941</v>
      </c>
      <c r="H107" s="89">
        <f t="shared" si="31"/>
        <v>0</v>
      </c>
      <c r="I107" s="21">
        <f t="shared" si="32"/>
        <v>1.1287677031340941</v>
      </c>
      <c r="J107" s="25"/>
      <c r="K107" s="20"/>
      <c r="L107" s="20"/>
      <c r="M107" s="21"/>
      <c r="N107" s="25"/>
      <c r="O107" s="20"/>
      <c r="P107" s="20"/>
      <c r="Q107" s="20"/>
      <c r="R107" s="20"/>
      <c r="S107" s="20"/>
      <c r="T107" s="20"/>
    </row>
    <row r="108" spans="2:20" ht="15" x14ac:dyDescent="0.25">
      <c r="B108" s="18" t="s">
        <v>42</v>
      </c>
      <c r="C108" s="56">
        <v>21</v>
      </c>
      <c r="D108" s="21">
        <f t="shared" si="48"/>
        <v>0.74075380518174927</v>
      </c>
      <c r="E108" s="25" t="s">
        <v>10</v>
      </c>
      <c r="F108" s="14">
        <f t="shared" si="37"/>
        <v>21</v>
      </c>
      <c r="G108" s="81">
        <f t="shared" si="38"/>
        <v>0.74075380518174927</v>
      </c>
      <c r="H108" s="89">
        <f t="shared" si="31"/>
        <v>0</v>
      </c>
      <c r="I108" s="21">
        <f t="shared" si="32"/>
        <v>0.74075380518174927</v>
      </c>
      <c r="J108" s="25"/>
      <c r="K108" s="20"/>
      <c r="L108" s="20"/>
      <c r="M108" s="38"/>
      <c r="N108" s="33"/>
      <c r="O108" s="20"/>
      <c r="P108" s="20"/>
      <c r="Q108" s="20"/>
      <c r="R108" s="20"/>
      <c r="S108" s="20"/>
      <c r="T108" s="20"/>
    </row>
    <row r="109" spans="2:20" ht="15" x14ac:dyDescent="0.25">
      <c r="B109" s="18"/>
      <c r="C109" s="99">
        <f>SUMIF(B81:B108,"x",C81:C108)</f>
        <v>1172</v>
      </c>
      <c r="D109" s="21">
        <f t="shared" si="48"/>
        <v>41.341117127286196</v>
      </c>
      <c r="E109" s="19" t="s">
        <v>41</v>
      </c>
      <c r="F109" s="14" t="str">
        <f t="shared" si="37"/>
        <v/>
      </c>
      <c r="G109" s="81" t="str">
        <f t="shared" si="38"/>
        <v/>
      </c>
      <c r="H109" s="89">
        <f t="shared" si="31"/>
        <v>2</v>
      </c>
      <c r="I109" s="21">
        <f t="shared" si="32"/>
        <v>9.3411171272861964</v>
      </c>
      <c r="J109" s="25"/>
      <c r="K109" s="37"/>
      <c r="L109" s="37"/>
      <c r="O109" s="20"/>
      <c r="P109" s="20"/>
      <c r="Q109" s="20"/>
      <c r="R109" s="20"/>
      <c r="S109" s="20"/>
      <c r="T109" s="20"/>
    </row>
    <row r="110" spans="2:20" ht="15" x14ac:dyDescent="0.25">
      <c r="B110" s="18" t="s">
        <v>42</v>
      </c>
      <c r="C110" s="56"/>
      <c r="D110" s="21" t="str">
        <f t="shared" si="48"/>
        <v/>
      </c>
      <c r="E110" s="25" t="s">
        <v>41</v>
      </c>
      <c r="F110" s="14" t="str">
        <f t="shared" si="37"/>
        <v/>
      </c>
      <c r="G110" s="81" t="str">
        <f t="shared" si="38"/>
        <v/>
      </c>
      <c r="H110" s="89" t="str">
        <f t="shared" si="31"/>
        <v/>
      </c>
      <c r="I110" s="21" t="str">
        <f t="shared" si="32"/>
        <v/>
      </c>
      <c r="J110" s="25"/>
      <c r="K110" s="20"/>
      <c r="L110" s="20"/>
      <c r="M110" s="21"/>
      <c r="O110" s="20"/>
      <c r="P110" s="20"/>
      <c r="Q110" s="20"/>
      <c r="R110" s="20"/>
      <c r="S110" s="20"/>
      <c r="T110" s="20"/>
    </row>
    <row r="111" spans="2:20" ht="15.75" x14ac:dyDescent="0.25">
      <c r="B111" s="18" t="s">
        <v>42</v>
      </c>
      <c r="C111" s="56"/>
      <c r="D111" s="21" t="str">
        <f t="shared" si="48"/>
        <v/>
      </c>
      <c r="E111" s="44" t="s">
        <v>82</v>
      </c>
      <c r="F111" s="14" t="str">
        <f t="shared" si="37"/>
        <v/>
      </c>
      <c r="G111" s="81" t="str">
        <f t="shared" si="38"/>
        <v/>
      </c>
      <c r="H111" s="89" t="str">
        <f t="shared" si="31"/>
        <v/>
      </c>
      <c r="I111" s="21" t="str">
        <f t="shared" si="32"/>
        <v/>
      </c>
      <c r="J111" s="25"/>
      <c r="K111" s="20"/>
      <c r="L111" s="20"/>
      <c r="M111" s="21"/>
      <c r="N111" s="2"/>
      <c r="O111" s="20"/>
      <c r="P111" s="20"/>
      <c r="Q111" s="20"/>
      <c r="R111" s="20"/>
      <c r="S111" s="20"/>
      <c r="T111" s="20"/>
    </row>
    <row r="112" spans="2:20" ht="15" x14ac:dyDescent="0.25">
      <c r="B112" s="18" t="s">
        <v>42</v>
      </c>
      <c r="C112" s="56">
        <v>181</v>
      </c>
      <c r="D112" s="21">
        <f t="shared" si="48"/>
        <v>6.3845923208522199</v>
      </c>
      <c r="E112" s="52" t="s">
        <v>3</v>
      </c>
      <c r="F112" s="14">
        <f t="shared" si="37"/>
        <v>181</v>
      </c>
      <c r="G112" s="81">
        <f t="shared" si="38"/>
        <v>6.3845923208522199</v>
      </c>
      <c r="H112" s="89">
        <f t="shared" si="31"/>
        <v>0</v>
      </c>
      <c r="I112" s="21">
        <f t="shared" si="32"/>
        <v>6.3845923208522199</v>
      </c>
      <c r="J112" s="25"/>
      <c r="K112" s="20"/>
      <c r="L112" s="20"/>
      <c r="M112" s="21"/>
      <c r="N112" s="12"/>
      <c r="O112" s="20"/>
      <c r="P112" s="20"/>
      <c r="Q112" s="20"/>
      <c r="R112" s="20"/>
      <c r="S112" s="20"/>
      <c r="T112" s="20"/>
    </row>
    <row r="113" spans="2:20" ht="15" x14ac:dyDescent="0.25">
      <c r="B113" s="18" t="s">
        <v>42</v>
      </c>
      <c r="C113" s="56"/>
      <c r="D113" s="21" t="str">
        <f t="shared" si="48"/>
        <v/>
      </c>
      <c r="E113" s="53" t="s">
        <v>132</v>
      </c>
      <c r="F113" s="14" t="str">
        <f t="shared" si="37"/>
        <v/>
      </c>
      <c r="G113" s="81" t="str">
        <f t="shared" si="38"/>
        <v/>
      </c>
      <c r="H113" s="89" t="str">
        <f t="shared" si="31"/>
        <v/>
      </c>
      <c r="I113" s="21" t="str">
        <f t="shared" si="32"/>
        <v/>
      </c>
      <c r="J113" s="25"/>
      <c r="K113" s="20"/>
      <c r="L113" s="20"/>
      <c r="M113" s="21"/>
      <c r="N113" s="20"/>
      <c r="O113" s="20"/>
      <c r="P113" s="20"/>
      <c r="Q113" s="20"/>
      <c r="R113" s="20"/>
      <c r="S113" s="20"/>
      <c r="T113" s="20"/>
    </row>
    <row r="114" spans="2:20" ht="15" x14ac:dyDescent="0.25">
      <c r="B114" s="18" t="s">
        <v>42</v>
      </c>
      <c r="C114" s="56"/>
      <c r="D114" s="21" t="str">
        <f t="shared" si="48"/>
        <v/>
      </c>
      <c r="E114" s="53" t="s">
        <v>133</v>
      </c>
      <c r="F114" s="14" t="str">
        <f t="shared" si="37"/>
        <v/>
      </c>
      <c r="G114" s="81" t="str">
        <f t="shared" si="38"/>
        <v/>
      </c>
      <c r="H114" s="89" t="str">
        <f t="shared" si="31"/>
        <v/>
      </c>
      <c r="I114" s="21" t="str">
        <f t="shared" si="32"/>
        <v/>
      </c>
      <c r="J114" s="25"/>
      <c r="K114" s="20"/>
      <c r="L114" s="20"/>
      <c r="M114" s="21"/>
      <c r="N114" s="20"/>
      <c r="O114" s="20"/>
    </row>
    <row r="115" spans="2:20" ht="15" x14ac:dyDescent="0.25">
      <c r="B115" s="18" t="s">
        <v>42</v>
      </c>
      <c r="C115" s="56"/>
      <c r="D115" s="21" t="str">
        <f t="shared" si="48"/>
        <v/>
      </c>
      <c r="E115" s="54" t="s">
        <v>154</v>
      </c>
      <c r="F115" s="14" t="str">
        <f t="shared" si="37"/>
        <v/>
      </c>
      <c r="G115" s="81" t="str">
        <f t="shared" si="38"/>
        <v/>
      </c>
      <c r="H115" s="89" t="str">
        <f t="shared" si="31"/>
        <v/>
      </c>
      <c r="I115" s="21" t="str">
        <f t="shared" si="32"/>
        <v/>
      </c>
      <c r="J115" s="25"/>
      <c r="K115" s="20"/>
      <c r="L115" s="20"/>
      <c r="M115" s="21"/>
      <c r="N115" s="20"/>
    </row>
    <row r="116" spans="2:20" ht="15" x14ac:dyDescent="0.25">
      <c r="B116" s="18" t="s">
        <v>42</v>
      </c>
      <c r="C116" s="56"/>
      <c r="D116" s="21" t="str">
        <f t="shared" si="48"/>
        <v/>
      </c>
      <c r="E116" s="53" t="s">
        <v>134</v>
      </c>
      <c r="F116" s="14" t="str">
        <f t="shared" si="37"/>
        <v/>
      </c>
      <c r="G116" s="81" t="str">
        <f t="shared" si="38"/>
        <v/>
      </c>
      <c r="H116" s="89" t="str">
        <f t="shared" si="31"/>
        <v/>
      </c>
      <c r="I116" s="21" t="str">
        <f t="shared" si="32"/>
        <v/>
      </c>
      <c r="J116" s="25"/>
      <c r="K116" s="20"/>
      <c r="L116" s="20"/>
      <c r="M116" s="21"/>
      <c r="N116" s="20"/>
    </row>
    <row r="117" spans="2:20" ht="15" x14ac:dyDescent="0.25">
      <c r="B117" s="18"/>
      <c r="C117" s="56">
        <v>27</v>
      </c>
      <c r="D117" s="21">
        <f t="shared" si="48"/>
        <v>0.95239774951939193</v>
      </c>
      <c r="E117" s="25" t="s">
        <v>135</v>
      </c>
      <c r="F117" s="14" t="str">
        <f t="shared" si="37"/>
        <v/>
      </c>
      <c r="G117" s="81" t="str">
        <f t="shared" si="38"/>
        <v/>
      </c>
      <c r="H117" s="89">
        <f t="shared" si="31"/>
        <v>0</v>
      </c>
      <c r="I117" s="21">
        <f t="shared" si="32"/>
        <v>0.95239774951939193</v>
      </c>
      <c r="J117" s="25"/>
      <c r="K117" s="20"/>
      <c r="L117" s="20"/>
      <c r="M117" s="21"/>
      <c r="N117" s="20"/>
    </row>
    <row r="118" spans="2:20" ht="15" x14ac:dyDescent="0.25">
      <c r="B118" s="18" t="s">
        <v>42</v>
      </c>
      <c r="C118" s="56">
        <v>52</v>
      </c>
      <c r="D118" s="21">
        <f t="shared" si="48"/>
        <v>1.8342475175929029</v>
      </c>
      <c r="E118" s="25" t="s">
        <v>151</v>
      </c>
      <c r="F118" s="14">
        <f t="shared" si="37"/>
        <v>52</v>
      </c>
      <c r="G118" s="81">
        <f t="shared" si="38"/>
        <v>1.8342475175929029</v>
      </c>
      <c r="H118" s="89">
        <f t="shared" si="31"/>
        <v>0</v>
      </c>
      <c r="I118" s="21">
        <f t="shared" si="32"/>
        <v>1.8342475175929029</v>
      </c>
      <c r="J118" s="25"/>
      <c r="K118" s="20"/>
      <c r="L118" s="20"/>
    </row>
    <row r="119" spans="2:20" ht="15" x14ac:dyDescent="0.25">
      <c r="B119" s="18"/>
      <c r="C119" s="56">
        <v>21</v>
      </c>
      <c r="D119" s="21">
        <f t="shared" si="48"/>
        <v>0.74075380518174927</v>
      </c>
      <c r="E119" s="25" t="s">
        <v>136</v>
      </c>
      <c r="F119" s="14" t="str">
        <f t="shared" si="37"/>
        <v/>
      </c>
      <c r="G119" s="81" t="str">
        <f t="shared" si="38"/>
        <v/>
      </c>
      <c r="H119" s="89">
        <f t="shared" si="31"/>
        <v>0</v>
      </c>
      <c r="I119" s="21">
        <f t="shared" si="32"/>
        <v>0.74075380518174927</v>
      </c>
      <c r="J119" s="25"/>
    </row>
    <row r="120" spans="2:20" ht="15" x14ac:dyDescent="0.25">
      <c r="B120" s="18" t="s">
        <v>42</v>
      </c>
      <c r="C120" s="56">
        <v>28</v>
      </c>
      <c r="D120" s="21">
        <f t="shared" si="48"/>
        <v>0.9876717402423324</v>
      </c>
      <c r="E120" s="25" t="s">
        <v>123</v>
      </c>
      <c r="F120" s="14">
        <f t="shared" si="37"/>
        <v>28</v>
      </c>
      <c r="G120" s="81">
        <f t="shared" si="38"/>
        <v>0.9876717402423324</v>
      </c>
      <c r="H120" s="89">
        <f t="shared" si="31"/>
        <v>0</v>
      </c>
      <c r="I120" s="21">
        <f t="shared" si="32"/>
        <v>0.9876717402423324</v>
      </c>
      <c r="J120" s="25"/>
    </row>
    <row r="121" spans="2:20" ht="15" x14ac:dyDescent="0.25">
      <c r="B121" s="18" t="s">
        <v>42</v>
      </c>
      <c r="C121" s="56">
        <v>23</v>
      </c>
      <c r="D121" s="21">
        <f t="shared" si="48"/>
        <v>0.81130178662763019</v>
      </c>
      <c r="E121" s="25" t="s">
        <v>8</v>
      </c>
      <c r="F121" s="14">
        <f t="shared" si="37"/>
        <v>23</v>
      </c>
      <c r="G121" s="81">
        <f t="shared" si="38"/>
        <v>0.81130178662763019</v>
      </c>
      <c r="H121" s="89">
        <f t="shared" si="31"/>
        <v>0</v>
      </c>
      <c r="I121" s="21">
        <f t="shared" si="32"/>
        <v>0.81130178662763019</v>
      </c>
      <c r="J121" s="25"/>
    </row>
    <row r="122" spans="2:20" ht="15" x14ac:dyDescent="0.25">
      <c r="B122" s="18" t="s">
        <v>42</v>
      </c>
      <c r="C122" s="56">
        <v>22</v>
      </c>
      <c r="D122" s="21">
        <f t="shared" si="48"/>
        <v>0.77602779590468973</v>
      </c>
      <c r="E122" s="25" t="s">
        <v>177</v>
      </c>
      <c r="F122" s="14">
        <f t="shared" si="37"/>
        <v>22</v>
      </c>
      <c r="G122" s="81">
        <f t="shared" si="38"/>
        <v>0.77602779590468973</v>
      </c>
      <c r="H122" s="89">
        <f t="shared" si="31"/>
        <v>0</v>
      </c>
      <c r="I122" s="21">
        <f t="shared" si="32"/>
        <v>0.77602779590468973</v>
      </c>
      <c r="J122" s="25"/>
    </row>
    <row r="123" spans="2:20" ht="15" x14ac:dyDescent="0.25">
      <c r="B123" s="18"/>
      <c r="C123" s="56">
        <v>61</v>
      </c>
      <c r="D123" s="21">
        <f t="shared" si="48"/>
        <v>2.1517134340993671</v>
      </c>
      <c r="E123" s="25" t="s">
        <v>131</v>
      </c>
      <c r="F123" s="14" t="str">
        <f t="shared" si="37"/>
        <v/>
      </c>
      <c r="G123" s="81" t="str">
        <f t="shared" si="38"/>
        <v/>
      </c>
      <c r="H123" s="89">
        <f t="shared" si="31"/>
        <v>0</v>
      </c>
      <c r="I123" s="21">
        <f t="shared" si="32"/>
        <v>2.1517134340993671</v>
      </c>
      <c r="J123" s="25"/>
    </row>
    <row r="124" spans="2:20" ht="15" x14ac:dyDescent="0.25">
      <c r="B124" s="18" t="s">
        <v>42</v>
      </c>
      <c r="C124" s="56">
        <v>30</v>
      </c>
      <c r="D124" s="21">
        <f t="shared" si="48"/>
        <v>1.0582197216882132</v>
      </c>
      <c r="E124" s="25" t="s">
        <v>137</v>
      </c>
      <c r="F124" s="14">
        <f t="shared" si="37"/>
        <v>30</v>
      </c>
      <c r="G124" s="81">
        <f t="shared" si="38"/>
        <v>1.0582197216882132</v>
      </c>
      <c r="H124" s="89">
        <f t="shared" si="31"/>
        <v>0</v>
      </c>
      <c r="I124" s="21">
        <f t="shared" si="32"/>
        <v>1.0582197216882132</v>
      </c>
      <c r="J124" s="25"/>
    </row>
    <row r="125" spans="2:20" ht="15" x14ac:dyDescent="0.25">
      <c r="B125" s="18" t="s">
        <v>42</v>
      </c>
      <c r="C125" s="99">
        <f>SUMIF(B112:B124,"x",C112:C124)</f>
        <v>336</v>
      </c>
      <c r="D125" s="21">
        <f t="shared" si="48"/>
        <v>11.852060882907988</v>
      </c>
      <c r="E125" s="25" t="s">
        <v>41</v>
      </c>
      <c r="F125" s="14">
        <f t="shared" si="37"/>
        <v>336</v>
      </c>
      <c r="G125" s="81">
        <f t="shared" si="38"/>
        <v>11.852060882907988</v>
      </c>
      <c r="H125" s="89">
        <f t="shared" si="31"/>
        <v>0</v>
      </c>
      <c r="I125" s="21">
        <f t="shared" si="32"/>
        <v>11.852060882907988</v>
      </c>
      <c r="J125" s="25"/>
    </row>
    <row r="126" spans="2:20" ht="15.75" x14ac:dyDescent="0.25">
      <c r="B126" s="18" t="s">
        <v>42</v>
      </c>
      <c r="C126" s="56"/>
      <c r="D126" s="21" t="str">
        <f t="shared" si="48"/>
        <v/>
      </c>
      <c r="E126" s="44" t="s">
        <v>83</v>
      </c>
      <c r="F126" s="14" t="str">
        <f t="shared" si="37"/>
        <v/>
      </c>
      <c r="G126" s="81" t="str">
        <f t="shared" si="38"/>
        <v/>
      </c>
      <c r="H126" s="89" t="str">
        <f t="shared" si="31"/>
        <v/>
      </c>
      <c r="I126" s="21" t="str">
        <f t="shared" si="32"/>
        <v/>
      </c>
      <c r="J126" s="25"/>
    </row>
    <row r="127" spans="2:20" ht="15" x14ac:dyDescent="0.25">
      <c r="B127" s="18" t="s">
        <v>42</v>
      </c>
      <c r="C127" s="56"/>
      <c r="D127" s="21" t="str">
        <f t="shared" si="48"/>
        <v/>
      </c>
      <c r="E127" s="25" t="s">
        <v>14</v>
      </c>
      <c r="F127" s="14" t="str">
        <f t="shared" si="37"/>
        <v/>
      </c>
      <c r="G127" s="81" t="str">
        <f t="shared" si="38"/>
        <v/>
      </c>
      <c r="H127" s="89" t="str">
        <f t="shared" si="31"/>
        <v/>
      </c>
      <c r="I127" s="21" t="str">
        <f t="shared" si="32"/>
        <v/>
      </c>
      <c r="J127" s="25"/>
    </row>
    <row r="128" spans="2:20" ht="15" x14ac:dyDescent="0.25">
      <c r="B128" s="18" t="s">
        <v>42</v>
      </c>
      <c r="C128" s="56">
        <v>28</v>
      </c>
      <c r="D128" s="21">
        <f t="shared" si="48"/>
        <v>0.9876717402423324</v>
      </c>
      <c r="E128" s="25" t="s">
        <v>138</v>
      </c>
      <c r="F128" s="14">
        <f t="shared" si="37"/>
        <v>28</v>
      </c>
      <c r="G128" s="81">
        <f t="shared" si="38"/>
        <v>0.9876717402423324</v>
      </c>
      <c r="H128" s="89">
        <f t="shared" si="31"/>
        <v>0</v>
      </c>
      <c r="I128" s="21">
        <f t="shared" si="32"/>
        <v>0.9876717402423324</v>
      </c>
      <c r="J128" s="25"/>
    </row>
    <row r="129" spans="2:14" ht="15" x14ac:dyDescent="0.25">
      <c r="B129" s="18" t="s">
        <v>42</v>
      </c>
      <c r="C129" s="56"/>
      <c r="D129" s="21" t="str">
        <f t="shared" si="48"/>
        <v/>
      </c>
      <c r="E129" s="25" t="s">
        <v>16</v>
      </c>
      <c r="F129" s="14" t="str">
        <f t="shared" si="37"/>
        <v/>
      </c>
      <c r="G129" s="81" t="str">
        <f t="shared" si="38"/>
        <v/>
      </c>
      <c r="H129" s="89" t="str">
        <f t="shared" si="31"/>
        <v/>
      </c>
      <c r="I129" s="21" t="str">
        <f t="shared" si="32"/>
        <v/>
      </c>
      <c r="J129" s="25"/>
    </row>
    <row r="130" spans="2:14" ht="15" x14ac:dyDescent="0.25">
      <c r="B130" s="18" t="s">
        <v>42</v>
      </c>
      <c r="C130" s="56">
        <v>9</v>
      </c>
      <c r="D130" s="21">
        <f t="shared" si="48"/>
        <v>0.317465916506464</v>
      </c>
      <c r="E130" s="25" t="s">
        <v>20</v>
      </c>
      <c r="F130" s="14">
        <f t="shared" si="37"/>
        <v>9</v>
      </c>
      <c r="G130" s="81">
        <f t="shared" si="38"/>
        <v>0.317465916506464</v>
      </c>
      <c r="H130" s="89">
        <f t="shared" si="31"/>
        <v>0</v>
      </c>
      <c r="I130" s="21">
        <f t="shared" si="32"/>
        <v>0.317465916506464</v>
      </c>
      <c r="J130" s="25"/>
    </row>
    <row r="131" spans="2:14" ht="15" x14ac:dyDescent="0.25">
      <c r="B131" s="18" t="s">
        <v>42</v>
      </c>
      <c r="C131" s="56">
        <v>236</v>
      </c>
      <c r="D131" s="21">
        <f t="shared" si="48"/>
        <v>8.3246618106139447</v>
      </c>
      <c r="E131" s="25" t="s">
        <v>19</v>
      </c>
      <c r="F131" s="14">
        <f t="shared" si="37"/>
        <v>236</v>
      </c>
      <c r="G131" s="81">
        <f t="shared" si="38"/>
        <v>8.3246618106139447</v>
      </c>
      <c r="H131" s="89">
        <f t="shared" si="31"/>
        <v>0</v>
      </c>
      <c r="I131" s="21">
        <f t="shared" si="32"/>
        <v>8.3246618106139447</v>
      </c>
      <c r="J131" s="25"/>
    </row>
    <row r="132" spans="2:14" ht="15" x14ac:dyDescent="0.25">
      <c r="B132" s="18" t="s">
        <v>42</v>
      </c>
      <c r="C132" s="99">
        <f>SUMIF(B127:B131,"x",C127:C131)</f>
        <v>273</v>
      </c>
      <c r="D132" s="21">
        <f t="shared" si="48"/>
        <v>9.6297994673627407</v>
      </c>
      <c r="E132" s="25" t="s">
        <v>41</v>
      </c>
      <c r="F132" s="14">
        <f t="shared" si="37"/>
        <v>273</v>
      </c>
      <c r="G132" s="81">
        <f t="shared" si="38"/>
        <v>9.6297994673627407</v>
      </c>
      <c r="H132" s="89">
        <f t="shared" si="31"/>
        <v>0</v>
      </c>
      <c r="I132" s="21">
        <f t="shared" si="32"/>
        <v>9.6297994673627407</v>
      </c>
      <c r="J132" s="25"/>
    </row>
    <row r="133" spans="2:14" ht="15.75" x14ac:dyDescent="0.25">
      <c r="B133" s="18" t="s">
        <v>42</v>
      </c>
      <c r="C133" s="56"/>
      <c r="D133" s="21" t="str">
        <f t="shared" si="48"/>
        <v/>
      </c>
      <c r="E133" s="44" t="s">
        <v>85</v>
      </c>
      <c r="F133" s="14" t="str">
        <f t="shared" si="37"/>
        <v/>
      </c>
      <c r="G133" s="81" t="str">
        <f t="shared" si="38"/>
        <v/>
      </c>
      <c r="H133" s="89" t="str">
        <f t="shared" si="31"/>
        <v/>
      </c>
      <c r="I133" s="21" t="str">
        <f t="shared" si="32"/>
        <v/>
      </c>
      <c r="J133" s="25"/>
    </row>
    <row r="134" spans="2:14" ht="15" x14ac:dyDescent="0.25">
      <c r="B134" s="18" t="s">
        <v>42</v>
      </c>
      <c r="C134" s="56">
        <v>160</v>
      </c>
      <c r="D134" s="21">
        <f t="shared" ref="D134:D162" si="52">IF(ISBLANK(C134),"", C134/$D$211)</f>
        <v>5.6438385156704705</v>
      </c>
      <c r="E134" s="66" t="s">
        <v>139</v>
      </c>
      <c r="F134" s="14">
        <f t="shared" si="37"/>
        <v>160</v>
      </c>
      <c r="G134" s="81">
        <f t="shared" si="38"/>
        <v>5.6438385156704705</v>
      </c>
      <c r="H134" s="89">
        <f t="shared" si="31"/>
        <v>0</v>
      </c>
      <c r="I134" s="21">
        <f t="shared" si="32"/>
        <v>5.6438385156704705</v>
      </c>
      <c r="J134" s="25"/>
    </row>
    <row r="135" spans="2:14" ht="15" x14ac:dyDescent="0.25">
      <c r="B135" s="18"/>
      <c r="C135" s="56"/>
      <c r="D135" s="21" t="str">
        <f t="shared" si="52"/>
        <v/>
      </c>
      <c r="E135" s="66" t="s">
        <v>216</v>
      </c>
      <c r="F135" s="14" t="str">
        <f t="shared" si="37"/>
        <v/>
      </c>
      <c r="G135" s="81" t="str">
        <f t="shared" si="38"/>
        <v/>
      </c>
      <c r="H135" s="89" t="str">
        <f t="shared" ref="H135:H178" si="53">IF(C135="","",INT(D135/16))</f>
        <v/>
      </c>
      <c r="I135" s="21" t="str">
        <f t="shared" ref="I135:I178" si="54">IF(D135="","",MOD(D135,16))</f>
        <v/>
      </c>
      <c r="J135" s="25"/>
    </row>
    <row r="136" spans="2:14" ht="15" x14ac:dyDescent="0.25">
      <c r="B136" s="18"/>
      <c r="C136" s="56"/>
      <c r="D136" s="21" t="str">
        <f t="shared" si="52"/>
        <v/>
      </c>
      <c r="E136" s="66" t="s">
        <v>217</v>
      </c>
      <c r="F136" s="14" t="str">
        <f t="shared" si="37"/>
        <v/>
      </c>
      <c r="G136" s="81" t="str">
        <f t="shared" si="38"/>
        <v/>
      </c>
      <c r="H136" s="89" t="str">
        <f t="shared" si="53"/>
        <v/>
      </c>
      <c r="I136" s="21" t="str">
        <f t="shared" si="54"/>
        <v/>
      </c>
      <c r="J136" s="25"/>
    </row>
    <row r="137" spans="2:14" ht="15" x14ac:dyDescent="0.25">
      <c r="B137" s="18" t="s">
        <v>42</v>
      </c>
      <c r="C137" s="56"/>
      <c r="D137" s="21" t="str">
        <f t="shared" si="52"/>
        <v/>
      </c>
      <c r="E137" s="25" t="s">
        <v>41</v>
      </c>
      <c r="F137" s="14" t="str">
        <f t="shared" si="37"/>
        <v/>
      </c>
      <c r="G137" s="81" t="str">
        <f t="shared" si="38"/>
        <v/>
      </c>
      <c r="H137" s="89" t="str">
        <f t="shared" si="53"/>
        <v/>
      </c>
      <c r="I137" s="21" t="str">
        <f t="shared" si="54"/>
        <v/>
      </c>
      <c r="J137" s="25"/>
    </row>
    <row r="138" spans="2:14" ht="15.75" x14ac:dyDescent="0.25">
      <c r="B138" s="18" t="s">
        <v>42</v>
      </c>
      <c r="C138" s="56"/>
      <c r="D138" s="21" t="str">
        <f t="shared" si="52"/>
        <v/>
      </c>
      <c r="E138" s="44" t="s">
        <v>84</v>
      </c>
      <c r="F138" s="14" t="str">
        <f t="shared" si="37"/>
        <v/>
      </c>
      <c r="G138" s="81" t="str">
        <f t="shared" si="38"/>
        <v/>
      </c>
      <c r="H138" s="89" t="str">
        <f t="shared" si="53"/>
        <v/>
      </c>
      <c r="I138" s="21" t="str">
        <f t="shared" si="54"/>
        <v/>
      </c>
      <c r="J138" s="25"/>
    </row>
    <row r="139" spans="2:14" ht="15" x14ac:dyDescent="0.25">
      <c r="B139" s="18" t="s">
        <v>42</v>
      </c>
      <c r="C139" s="56">
        <v>12</v>
      </c>
      <c r="D139" s="21">
        <f t="shared" si="52"/>
        <v>0.42328788867528527</v>
      </c>
      <c r="E139" s="25" t="s">
        <v>140</v>
      </c>
      <c r="F139" s="14">
        <f t="shared" si="37"/>
        <v>12</v>
      </c>
      <c r="G139" s="81">
        <f t="shared" si="38"/>
        <v>0.42328788867528527</v>
      </c>
      <c r="H139" s="89">
        <f t="shared" si="53"/>
        <v>0</v>
      </c>
      <c r="I139" s="21">
        <f t="shared" si="54"/>
        <v>0.42328788867528527</v>
      </c>
      <c r="J139" s="25"/>
    </row>
    <row r="140" spans="2:14" ht="15" x14ac:dyDescent="0.25">
      <c r="B140" s="18" t="s">
        <v>42</v>
      </c>
      <c r="C140" s="56"/>
      <c r="D140" s="21" t="str">
        <f t="shared" si="52"/>
        <v/>
      </c>
      <c r="E140" s="25" t="s">
        <v>175</v>
      </c>
      <c r="F140" s="14" t="str">
        <f t="shared" si="37"/>
        <v/>
      </c>
      <c r="G140" s="81" t="str">
        <f t="shared" si="38"/>
        <v/>
      </c>
      <c r="H140" s="89" t="str">
        <f t="shared" si="53"/>
        <v/>
      </c>
      <c r="I140" s="21" t="str">
        <f t="shared" si="54"/>
        <v/>
      </c>
      <c r="J140" s="25"/>
    </row>
    <row r="141" spans="2:14" ht="15" x14ac:dyDescent="0.25">
      <c r="B141" s="18" t="s">
        <v>42</v>
      </c>
      <c r="C141" s="56">
        <v>38</v>
      </c>
      <c r="D141" s="21">
        <f t="shared" si="52"/>
        <v>1.3404116474717367</v>
      </c>
      <c r="E141" s="25" t="s">
        <v>141</v>
      </c>
      <c r="F141" s="14">
        <f t="shared" si="37"/>
        <v>38</v>
      </c>
      <c r="G141" s="81">
        <f t="shared" si="38"/>
        <v>1.3404116474717367</v>
      </c>
      <c r="H141" s="89">
        <f t="shared" si="53"/>
        <v>0</v>
      </c>
      <c r="I141" s="21">
        <f t="shared" si="54"/>
        <v>1.3404116474717367</v>
      </c>
      <c r="J141" s="25"/>
    </row>
    <row r="142" spans="2:14" ht="15" x14ac:dyDescent="0.25">
      <c r="B142" s="18" t="s">
        <v>42</v>
      </c>
      <c r="C142" s="99">
        <f>SUMIF(B139:B141,"x",C139:C141)</f>
        <v>50</v>
      </c>
      <c r="D142" s="21">
        <f t="shared" si="52"/>
        <v>1.763699536147022</v>
      </c>
      <c r="E142" s="25" t="s">
        <v>41</v>
      </c>
      <c r="F142" s="14">
        <f t="shared" si="37"/>
        <v>50</v>
      </c>
      <c r="G142" s="81">
        <f t="shared" si="38"/>
        <v>1.763699536147022</v>
      </c>
      <c r="H142" s="89">
        <f t="shared" si="53"/>
        <v>0</v>
      </c>
      <c r="I142" s="21">
        <f t="shared" si="54"/>
        <v>1.763699536147022</v>
      </c>
      <c r="J142" s="25"/>
    </row>
    <row r="143" spans="2:14" ht="15.75" x14ac:dyDescent="0.25">
      <c r="B143" s="18" t="s">
        <v>42</v>
      </c>
      <c r="C143" s="56"/>
      <c r="D143" s="21" t="str">
        <f t="shared" si="52"/>
        <v/>
      </c>
      <c r="E143" s="44" t="s">
        <v>86</v>
      </c>
      <c r="F143" s="14" t="str">
        <f t="shared" si="37"/>
        <v/>
      </c>
      <c r="G143" s="81" t="str">
        <f t="shared" si="38"/>
        <v/>
      </c>
      <c r="H143" s="89" t="str">
        <f t="shared" si="53"/>
        <v/>
      </c>
      <c r="I143" s="21" t="str">
        <f t="shared" si="54"/>
        <v/>
      </c>
      <c r="J143" s="56"/>
      <c r="K143" s="59"/>
      <c r="L143" s="59"/>
      <c r="M143" s="60"/>
      <c r="N143" s="59"/>
    </row>
    <row r="144" spans="2:14" ht="15" x14ac:dyDescent="0.25">
      <c r="B144" s="55"/>
      <c r="C144" s="56">
        <v>185</v>
      </c>
      <c r="D144" s="57">
        <f t="shared" si="52"/>
        <v>6.5256882837439818</v>
      </c>
      <c r="E144" s="58" t="s">
        <v>172</v>
      </c>
      <c r="F144" s="58" t="str">
        <f t="shared" si="37"/>
        <v/>
      </c>
      <c r="G144" s="82" t="str">
        <f t="shared" si="38"/>
        <v/>
      </c>
      <c r="H144" s="89">
        <f t="shared" si="53"/>
        <v>0</v>
      </c>
      <c r="I144" s="21">
        <f t="shared" si="54"/>
        <v>6.5256882837439818</v>
      </c>
      <c r="J144" s="25"/>
    </row>
    <row r="145" spans="2:14" ht="15" x14ac:dyDescent="0.25">
      <c r="B145" s="55" t="s">
        <v>42</v>
      </c>
      <c r="C145" s="56">
        <v>135</v>
      </c>
      <c r="D145" s="57">
        <f t="shared" ref="D145" si="55">IF(ISBLANK(C145),"", C145/$D$211)</f>
        <v>4.7619887475969591</v>
      </c>
      <c r="E145" s="58" t="s">
        <v>173</v>
      </c>
      <c r="F145" s="58">
        <f t="shared" ref="F145" si="56">IF(B145="x",IF(C145=0,"",C145),"")</f>
        <v>135</v>
      </c>
      <c r="G145" s="82">
        <f t="shared" ref="G145" si="57">IF(B145="x",D145,"")</f>
        <v>4.7619887475969591</v>
      </c>
      <c r="H145" s="89">
        <f t="shared" si="53"/>
        <v>0</v>
      </c>
      <c r="I145" s="21">
        <f t="shared" si="54"/>
        <v>4.7619887475969591</v>
      </c>
      <c r="J145" s="25"/>
    </row>
    <row r="146" spans="2:14" ht="15" x14ac:dyDescent="0.25">
      <c r="B146" s="18"/>
      <c r="C146" s="56">
        <v>480</v>
      </c>
      <c r="D146" s="21">
        <f t="shared" si="52"/>
        <v>16.931515547011411</v>
      </c>
      <c r="E146" s="50" t="s">
        <v>22</v>
      </c>
      <c r="F146" s="14" t="str">
        <f t="shared" si="37"/>
        <v/>
      </c>
      <c r="G146" s="81" t="str">
        <f t="shared" si="38"/>
        <v/>
      </c>
      <c r="H146" s="89">
        <f t="shared" si="53"/>
        <v>1</v>
      </c>
      <c r="I146" s="21">
        <f t="shared" si="54"/>
        <v>0.93151554701141137</v>
      </c>
      <c r="J146" s="25"/>
    </row>
    <row r="147" spans="2:14" ht="30" x14ac:dyDescent="0.25">
      <c r="B147" s="18"/>
      <c r="C147" s="56">
        <v>510</v>
      </c>
      <c r="D147" s="21">
        <f t="shared" si="52"/>
        <v>17.989735268699626</v>
      </c>
      <c r="E147" s="61" t="s">
        <v>24</v>
      </c>
      <c r="F147" s="14" t="str">
        <f t="shared" si="37"/>
        <v/>
      </c>
      <c r="G147" s="81" t="str">
        <f t="shared" si="38"/>
        <v/>
      </c>
      <c r="H147" s="89">
        <f t="shared" si="53"/>
        <v>1</v>
      </c>
      <c r="I147" s="21">
        <f t="shared" si="54"/>
        <v>1.9897352686996257</v>
      </c>
      <c r="J147" s="67" t="s">
        <v>200</v>
      </c>
      <c r="K147" s="19" t="s">
        <v>42</v>
      </c>
    </row>
    <row r="148" spans="2:14" ht="15" x14ac:dyDescent="0.25">
      <c r="B148" s="18" t="s">
        <v>42</v>
      </c>
      <c r="C148" s="56">
        <v>1000</v>
      </c>
      <c r="D148" s="21">
        <f t="shared" si="52"/>
        <v>35.273990722940439</v>
      </c>
      <c r="E148" s="58" t="s">
        <v>197</v>
      </c>
      <c r="F148" s="14">
        <f t="shared" si="37"/>
        <v>1000</v>
      </c>
      <c r="G148" s="81">
        <f t="shared" si="38"/>
        <v>35.273990722940439</v>
      </c>
      <c r="H148" s="89">
        <f t="shared" si="53"/>
        <v>2</v>
      </c>
      <c r="I148" s="21">
        <f t="shared" si="54"/>
        <v>3.2739907229404395</v>
      </c>
      <c r="J148" s="67"/>
    </row>
    <row r="149" spans="2:14" ht="15" x14ac:dyDescent="0.25">
      <c r="B149" s="18" t="s">
        <v>42</v>
      </c>
      <c r="C149" s="56">
        <v>131</v>
      </c>
      <c r="D149" s="21">
        <f t="shared" si="52"/>
        <v>4.6208927847051982</v>
      </c>
      <c r="E149" s="50" t="s">
        <v>193</v>
      </c>
      <c r="F149" s="14">
        <f t="shared" si="37"/>
        <v>131</v>
      </c>
      <c r="G149" s="81">
        <f t="shared" si="38"/>
        <v>4.6208927847051982</v>
      </c>
      <c r="H149" s="89">
        <f t="shared" si="53"/>
        <v>0</v>
      </c>
      <c r="I149" s="21">
        <f t="shared" si="54"/>
        <v>4.6208927847051982</v>
      </c>
      <c r="J149" s="25"/>
      <c r="M149" s="14"/>
    </row>
    <row r="150" spans="2:14" ht="15" x14ac:dyDescent="0.25">
      <c r="B150" s="18" t="s">
        <v>42</v>
      </c>
      <c r="C150" s="56">
        <v>69</v>
      </c>
      <c r="D150" s="21">
        <f t="shared" si="52"/>
        <v>2.4339053598828904</v>
      </c>
      <c r="E150" s="14" t="s">
        <v>7</v>
      </c>
      <c r="F150" s="14">
        <f t="shared" si="37"/>
        <v>69</v>
      </c>
      <c r="G150" s="81">
        <f t="shared" si="38"/>
        <v>2.4339053598828904</v>
      </c>
      <c r="H150" s="89">
        <f t="shared" si="53"/>
        <v>0</v>
      </c>
      <c r="I150" s="21">
        <f t="shared" si="54"/>
        <v>2.4339053598828904</v>
      </c>
      <c r="J150" s="25"/>
    </row>
    <row r="151" spans="2:14" ht="15" x14ac:dyDescent="0.25">
      <c r="B151" s="18"/>
      <c r="C151" s="56">
        <v>0</v>
      </c>
      <c r="D151" s="21">
        <f t="shared" si="52"/>
        <v>0</v>
      </c>
      <c r="E151" s="19" t="s">
        <v>144</v>
      </c>
      <c r="F151" s="14" t="str">
        <f t="shared" si="37"/>
        <v/>
      </c>
      <c r="G151" s="81" t="str">
        <f t="shared" si="38"/>
        <v/>
      </c>
      <c r="H151" s="89">
        <f t="shared" si="53"/>
        <v>0</v>
      </c>
      <c r="I151" s="21">
        <f t="shared" si="54"/>
        <v>0</v>
      </c>
      <c r="J151" s="25"/>
    </row>
    <row r="152" spans="2:14" ht="15" x14ac:dyDescent="0.25">
      <c r="B152" s="18" t="s">
        <v>42</v>
      </c>
      <c r="C152" s="56">
        <v>36</v>
      </c>
      <c r="D152" s="21">
        <f t="shared" si="52"/>
        <v>1.269863666025856</v>
      </c>
      <c r="E152" s="14" t="s">
        <v>176</v>
      </c>
      <c r="F152" s="14">
        <f t="shared" ref="F152:F162" si="58">IF(B152="x",IF(C152=0,"",C152),"")</f>
        <v>36</v>
      </c>
      <c r="G152" s="81">
        <f t="shared" ref="G152:G162" si="59">IF(B152="x",D152,"")</f>
        <v>1.269863666025856</v>
      </c>
      <c r="H152" s="89">
        <f t="shared" si="53"/>
        <v>0</v>
      </c>
      <c r="I152" s="21">
        <f t="shared" si="54"/>
        <v>1.269863666025856</v>
      </c>
      <c r="J152" s="25"/>
      <c r="N152" s="14"/>
    </row>
    <row r="153" spans="2:14" ht="15" x14ac:dyDescent="0.25">
      <c r="B153" s="18"/>
      <c r="C153" s="56">
        <f>72</f>
        <v>72</v>
      </c>
      <c r="D153" s="21">
        <f t="shared" ref="D153" si="60">IF(ISBLANK(C153),"", C153/$D$211)</f>
        <v>2.539727332051712</v>
      </c>
      <c r="E153" s="14" t="s">
        <v>178</v>
      </c>
      <c r="F153" s="14" t="str">
        <f t="shared" ref="F153" si="61">IF(B153="x",IF(C153=0,"",C153),"")</f>
        <v/>
      </c>
      <c r="G153" s="81" t="str">
        <f t="shared" ref="G153" si="62">IF(B153="x",D153,"")</f>
        <v/>
      </c>
      <c r="H153" s="89">
        <f t="shared" si="53"/>
        <v>0</v>
      </c>
      <c r="I153" s="21">
        <f t="shared" si="54"/>
        <v>2.539727332051712</v>
      </c>
      <c r="J153" s="25"/>
      <c r="N153" s="14"/>
    </row>
    <row r="154" spans="2:14" ht="15" x14ac:dyDescent="0.25">
      <c r="B154" s="18"/>
      <c r="C154" s="56">
        <v>30</v>
      </c>
      <c r="D154" s="21">
        <f t="shared" si="52"/>
        <v>1.0582197216882132</v>
      </c>
      <c r="E154" s="14" t="s">
        <v>152</v>
      </c>
      <c r="F154" s="14" t="str">
        <f t="shared" si="58"/>
        <v/>
      </c>
      <c r="G154" s="81" t="str">
        <f t="shared" si="59"/>
        <v/>
      </c>
      <c r="H154" s="89">
        <f t="shared" si="53"/>
        <v>0</v>
      </c>
      <c r="I154" s="21">
        <f t="shared" si="54"/>
        <v>1.0582197216882132</v>
      </c>
      <c r="J154" s="25"/>
    </row>
    <row r="155" spans="2:14" ht="15" x14ac:dyDescent="0.25">
      <c r="B155" s="18" t="s">
        <v>42</v>
      </c>
      <c r="C155" s="56">
        <v>30</v>
      </c>
      <c r="D155" s="21">
        <f t="shared" si="52"/>
        <v>1.0582197216882132</v>
      </c>
      <c r="E155" s="14" t="s">
        <v>17</v>
      </c>
      <c r="F155" s="14">
        <f t="shared" si="58"/>
        <v>30</v>
      </c>
      <c r="G155" s="81">
        <f t="shared" si="59"/>
        <v>1.0582197216882132</v>
      </c>
      <c r="H155" s="89">
        <f t="shared" si="53"/>
        <v>0</v>
      </c>
      <c r="I155" s="21">
        <f t="shared" si="54"/>
        <v>1.0582197216882132</v>
      </c>
    </row>
    <row r="156" spans="2:14" ht="15" x14ac:dyDescent="0.25">
      <c r="B156" s="18" t="s">
        <v>42</v>
      </c>
      <c r="C156" s="56">
        <v>20</v>
      </c>
      <c r="D156" s="21">
        <f t="shared" si="52"/>
        <v>0.70547981445880881</v>
      </c>
      <c r="E156" s="25" t="s">
        <v>93</v>
      </c>
      <c r="F156" s="14">
        <f t="shared" si="58"/>
        <v>20</v>
      </c>
      <c r="G156" s="81">
        <f t="shared" si="59"/>
        <v>0.70547981445880881</v>
      </c>
      <c r="H156" s="89">
        <f t="shared" si="53"/>
        <v>0</v>
      </c>
      <c r="I156" s="21">
        <f t="shared" si="54"/>
        <v>0.70547981445880881</v>
      </c>
      <c r="J156" s="25"/>
      <c r="N156" s="49"/>
    </row>
    <row r="157" spans="2:14" ht="15" x14ac:dyDescent="0.25">
      <c r="B157" s="18"/>
      <c r="C157" s="56">
        <v>0</v>
      </c>
      <c r="D157" s="21">
        <f t="shared" si="52"/>
        <v>0</v>
      </c>
      <c r="E157" s="14" t="s">
        <v>142</v>
      </c>
      <c r="F157" s="14" t="str">
        <f t="shared" si="58"/>
        <v/>
      </c>
      <c r="G157" s="81" t="str">
        <f t="shared" si="59"/>
        <v/>
      </c>
      <c r="H157" s="89">
        <f t="shared" si="53"/>
        <v>0</v>
      </c>
      <c r="I157" s="21">
        <f t="shared" si="54"/>
        <v>0</v>
      </c>
      <c r="J157" s="25"/>
      <c r="N157" s="14"/>
    </row>
    <row r="158" spans="2:14" ht="15" x14ac:dyDescent="0.25">
      <c r="B158" s="18"/>
      <c r="C158" s="56">
        <v>0</v>
      </c>
      <c r="D158" s="21">
        <f t="shared" si="52"/>
        <v>0</v>
      </c>
      <c r="E158" s="14" t="s">
        <v>45</v>
      </c>
      <c r="F158" s="14" t="str">
        <f t="shared" si="58"/>
        <v/>
      </c>
      <c r="G158" s="81" t="str">
        <f t="shared" si="59"/>
        <v/>
      </c>
      <c r="H158" s="89">
        <f t="shared" si="53"/>
        <v>0</v>
      </c>
      <c r="I158" s="21">
        <f t="shared" si="54"/>
        <v>0</v>
      </c>
      <c r="J158" s="25"/>
      <c r="N158" s="25"/>
    </row>
    <row r="159" spans="2:14" ht="15" x14ac:dyDescent="0.25">
      <c r="B159" s="18"/>
      <c r="C159" s="56">
        <v>0</v>
      </c>
      <c r="D159" s="21">
        <f t="shared" si="52"/>
        <v>0</v>
      </c>
      <c r="E159" s="25" t="s">
        <v>51</v>
      </c>
      <c r="F159" s="14" t="str">
        <f t="shared" si="58"/>
        <v/>
      </c>
      <c r="G159" s="81" t="str">
        <f t="shared" si="59"/>
        <v/>
      </c>
      <c r="H159" s="89">
        <f t="shared" si="53"/>
        <v>0</v>
      </c>
      <c r="I159" s="21">
        <f t="shared" si="54"/>
        <v>0</v>
      </c>
      <c r="J159" s="25"/>
    </row>
    <row r="160" spans="2:14" ht="15" x14ac:dyDescent="0.25">
      <c r="B160" s="18"/>
      <c r="C160" s="56">
        <v>0</v>
      </c>
      <c r="D160" s="21">
        <f t="shared" si="52"/>
        <v>0</v>
      </c>
      <c r="E160" s="25" t="s">
        <v>145</v>
      </c>
      <c r="F160" s="14" t="str">
        <f t="shared" si="58"/>
        <v/>
      </c>
      <c r="G160" s="81" t="str">
        <f t="shared" si="59"/>
        <v/>
      </c>
      <c r="H160" s="89">
        <f t="shared" si="53"/>
        <v>0</v>
      </c>
      <c r="I160" s="21">
        <f t="shared" si="54"/>
        <v>0</v>
      </c>
      <c r="J160" s="25"/>
      <c r="N160" s="14"/>
    </row>
    <row r="161" spans="2:14" ht="15" x14ac:dyDescent="0.25">
      <c r="B161" s="18" t="s">
        <v>42</v>
      </c>
      <c r="C161" s="56">
        <v>49</v>
      </c>
      <c r="D161" s="21">
        <f t="shared" si="52"/>
        <v>1.7284255454240816</v>
      </c>
      <c r="E161" s="25" t="s">
        <v>156</v>
      </c>
      <c r="F161" s="14">
        <f t="shared" si="58"/>
        <v>49</v>
      </c>
      <c r="G161" s="81">
        <f t="shared" si="59"/>
        <v>1.7284255454240816</v>
      </c>
      <c r="H161" s="89">
        <f t="shared" si="53"/>
        <v>0</v>
      </c>
      <c r="I161" s="21">
        <f t="shared" si="54"/>
        <v>1.7284255454240816</v>
      </c>
      <c r="J161" s="25"/>
    </row>
    <row r="162" spans="2:14" ht="15" x14ac:dyDescent="0.25">
      <c r="B162" s="18"/>
      <c r="C162" s="56">
        <v>94</v>
      </c>
      <c r="D162" s="21">
        <f t="shared" si="52"/>
        <v>3.3157551279564013</v>
      </c>
      <c r="E162" s="25" t="s">
        <v>157</v>
      </c>
      <c r="F162" s="14" t="str">
        <f t="shared" si="58"/>
        <v/>
      </c>
      <c r="G162" s="81" t="str">
        <f t="shared" si="59"/>
        <v/>
      </c>
      <c r="H162" s="89">
        <f t="shared" si="53"/>
        <v>0</v>
      </c>
      <c r="I162" s="21">
        <f t="shared" si="54"/>
        <v>3.3157551279564013</v>
      </c>
      <c r="J162" s="25"/>
    </row>
    <row r="163" spans="2:14" ht="15" x14ac:dyDescent="0.25">
      <c r="B163" s="18"/>
      <c r="C163" s="56">
        <v>88</v>
      </c>
      <c r="D163" s="21">
        <f t="shared" ref="D163:D206" si="63">IF(ISBLANK(C163),"", C163/$D$211)</f>
        <v>3.1041111836187589</v>
      </c>
      <c r="E163" s="25" t="s">
        <v>167</v>
      </c>
      <c r="F163" s="14" t="str">
        <f t="shared" ref="F163:F206" si="64">IF(B163="x",IF(C163=0,"",C163),"")</f>
        <v/>
      </c>
      <c r="G163" s="81" t="str">
        <f t="shared" ref="G163:G207" si="65">IF(B163="x",D163,"")</f>
        <v/>
      </c>
      <c r="H163" s="89">
        <f t="shared" si="53"/>
        <v>0</v>
      </c>
      <c r="I163" s="21">
        <f t="shared" si="54"/>
        <v>3.1041111836187589</v>
      </c>
      <c r="J163" s="25"/>
      <c r="K163" s="25"/>
      <c r="L163" s="25"/>
      <c r="M163" s="51"/>
      <c r="N163" s="25"/>
    </row>
    <row r="164" spans="2:14" ht="15" x14ac:dyDescent="0.25">
      <c r="B164" s="43" t="s">
        <v>42</v>
      </c>
      <c r="C164" s="99">
        <f>SUMIF(B145:B163,"x",C144:C163)</f>
        <v>1886</v>
      </c>
      <c r="D164" s="21">
        <f t="shared" si="63"/>
        <v>66.526746503465674</v>
      </c>
      <c r="E164" s="25" t="s">
        <v>41</v>
      </c>
      <c r="F164" s="14">
        <f t="shared" si="64"/>
        <v>1886</v>
      </c>
      <c r="G164" s="81">
        <f t="shared" si="65"/>
        <v>66.526746503465674</v>
      </c>
      <c r="H164" s="89">
        <f t="shared" si="53"/>
        <v>4</v>
      </c>
      <c r="I164" s="21">
        <f t="shared" si="54"/>
        <v>2.5267465034656738</v>
      </c>
      <c r="J164" s="25"/>
      <c r="K164" s="25"/>
      <c r="L164" s="25"/>
      <c r="M164" s="51"/>
      <c r="N164" s="25"/>
    </row>
    <row r="165" spans="2:14" ht="15.75" x14ac:dyDescent="0.25">
      <c r="B165" s="43" t="s">
        <v>42</v>
      </c>
      <c r="C165" s="56"/>
      <c r="D165" s="21" t="str">
        <f t="shared" si="63"/>
        <v/>
      </c>
      <c r="E165" s="44" t="s">
        <v>88</v>
      </c>
      <c r="F165" s="14" t="str">
        <f t="shared" si="64"/>
        <v/>
      </c>
      <c r="G165" s="81" t="str">
        <f t="shared" si="65"/>
        <v/>
      </c>
      <c r="H165" s="89" t="str">
        <f t="shared" si="53"/>
        <v/>
      </c>
      <c r="I165" s="21" t="str">
        <f t="shared" si="54"/>
        <v/>
      </c>
      <c r="J165" s="25"/>
      <c r="K165" s="25"/>
      <c r="L165" s="25"/>
      <c r="M165" s="51"/>
      <c r="N165" s="25"/>
    </row>
    <row r="166" spans="2:14" ht="15" x14ac:dyDescent="0.25">
      <c r="B166" s="43" t="s">
        <v>42</v>
      </c>
      <c r="C166" s="56">
        <v>322</v>
      </c>
      <c r="D166" s="21">
        <f t="shared" si="63"/>
        <v>11.358225012786821</v>
      </c>
      <c r="E166" s="25" t="s">
        <v>26</v>
      </c>
      <c r="F166" s="14">
        <f t="shared" si="64"/>
        <v>322</v>
      </c>
      <c r="G166" s="81">
        <f t="shared" si="65"/>
        <v>11.358225012786821</v>
      </c>
      <c r="H166" s="89">
        <f t="shared" si="53"/>
        <v>0</v>
      </c>
      <c r="I166" s="21">
        <f t="shared" si="54"/>
        <v>11.358225012786821</v>
      </c>
      <c r="J166" s="25"/>
      <c r="K166" s="25"/>
      <c r="L166" s="25"/>
      <c r="M166" s="51"/>
      <c r="N166" s="25"/>
    </row>
    <row r="167" spans="2:14" ht="15" x14ac:dyDescent="0.25">
      <c r="B167" s="43" t="s">
        <v>42</v>
      </c>
      <c r="C167" s="56">
        <v>108</v>
      </c>
      <c r="D167" s="21">
        <f t="shared" si="63"/>
        <v>3.8095909980775677</v>
      </c>
      <c r="E167" s="25" t="s">
        <v>162</v>
      </c>
      <c r="F167" s="14">
        <f t="shared" si="64"/>
        <v>108</v>
      </c>
      <c r="G167" s="81">
        <f t="shared" si="65"/>
        <v>3.8095909980775677</v>
      </c>
      <c r="H167" s="89">
        <f t="shared" si="53"/>
        <v>0</v>
      </c>
      <c r="I167" s="21">
        <f t="shared" si="54"/>
        <v>3.8095909980775677</v>
      </c>
      <c r="J167" s="25"/>
      <c r="K167" s="25"/>
      <c r="L167" s="25"/>
      <c r="M167" s="51"/>
      <c r="N167" s="25"/>
    </row>
    <row r="168" spans="2:14" ht="15" x14ac:dyDescent="0.25">
      <c r="B168" s="43"/>
      <c r="C168" s="56">
        <v>36</v>
      </c>
      <c r="D168" s="21">
        <f t="shared" si="63"/>
        <v>1.269863666025856</v>
      </c>
      <c r="E168" s="25" t="s">
        <v>166</v>
      </c>
      <c r="F168" s="14" t="str">
        <f t="shared" si="64"/>
        <v/>
      </c>
      <c r="G168" s="81" t="str">
        <f t="shared" si="65"/>
        <v/>
      </c>
      <c r="H168" s="89">
        <f t="shared" si="53"/>
        <v>0</v>
      </c>
      <c r="I168" s="21">
        <f t="shared" si="54"/>
        <v>1.269863666025856</v>
      </c>
      <c r="J168" s="25"/>
      <c r="K168" s="25"/>
      <c r="L168" s="25"/>
      <c r="M168" s="51"/>
      <c r="N168" s="25"/>
    </row>
    <row r="169" spans="2:14" ht="15" x14ac:dyDescent="0.25">
      <c r="B169" s="43" t="s">
        <v>42</v>
      </c>
      <c r="C169" s="56">
        <v>50</v>
      </c>
      <c r="D169" s="21">
        <f t="shared" si="63"/>
        <v>1.763699536147022</v>
      </c>
      <c r="E169" s="25" t="s">
        <v>158</v>
      </c>
      <c r="F169" s="14">
        <f t="shared" si="64"/>
        <v>50</v>
      </c>
      <c r="G169" s="81">
        <f t="shared" si="65"/>
        <v>1.763699536147022</v>
      </c>
      <c r="H169" s="89">
        <f t="shared" si="53"/>
        <v>0</v>
      </c>
      <c r="I169" s="21">
        <f t="shared" si="54"/>
        <v>1.763699536147022</v>
      </c>
      <c r="J169" s="25"/>
      <c r="K169" s="25"/>
      <c r="L169" s="25"/>
      <c r="M169" s="51"/>
      <c r="N169" s="25"/>
    </row>
    <row r="170" spans="2:14" ht="15" x14ac:dyDescent="0.25">
      <c r="B170" s="43" t="s">
        <v>42</v>
      </c>
      <c r="C170" s="56">
        <v>165</v>
      </c>
      <c r="D170" s="21">
        <f t="shared" si="63"/>
        <v>5.8202084692851725</v>
      </c>
      <c r="E170" s="25" t="s">
        <v>98</v>
      </c>
      <c r="F170" s="14">
        <f t="shared" si="64"/>
        <v>165</v>
      </c>
      <c r="G170" s="81">
        <f t="shared" si="65"/>
        <v>5.8202084692851725</v>
      </c>
      <c r="H170" s="89">
        <f t="shared" si="53"/>
        <v>0</v>
      </c>
      <c r="I170" s="21">
        <f t="shared" si="54"/>
        <v>5.8202084692851725</v>
      </c>
      <c r="J170" s="25"/>
      <c r="K170" s="25"/>
      <c r="L170" s="25"/>
      <c r="M170" s="51"/>
      <c r="N170" s="25"/>
    </row>
    <row r="171" spans="2:14" ht="15" x14ac:dyDescent="0.25">
      <c r="B171" s="43"/>
      <c r="C171" s="56">
        <v>125</v>
      </c>
      <c r="D171" s="21">
        <f t="shared" si="63"/>
        <v>4.4092488403675549</v>
      </c>
      <c r="E171" s="25" t="s">
        <v>95</v>
      </c>
      <c r="F171" s="14" t="str">
        <f t="shared" si="64"/>
        <v/>
      </c>
      <c r="G171" s="81" t="str">
        <f t="shared" si="65"/>
        <v/>
      </c>
      <c r="H171" s="89">
        <f t="shared" si="53"/>
        <v>0</v>
      </c>
      <c r="I171" s="21">
        <f t="shared" si="54"/>
        <v>4.4092488403675549</v>
      </c>
      <c r="J171" s="25"/>
      <c r="K171" s="25"/>
      <c r="L171" s="25"/>
      <c r="M171" s="51"/>
      <c r="N171" s="25"/>
    </row>
    <row r="172" spans="2:14" ht="15" x14ac:dyDescent="0.25">
      <c r="B172" s="43" t="s">
        <v>42</v>
      </c>
      <c r="C172" s="56">
        <v>150</v>
      </c>
      <c r="D172" s="21">
        <f t="shared" si="63"/>
        <v>5.2910986084410663</v>
      </c>
      <c r="E172" s="25" t="s">
        <v>163</v>
      </c>
      <c r="F172" s="14">
        <f t="shared" si="64"/>
        <v>150</v>
      </c>
      <c r="G172" s="81">
        <f t="shared" si="65"/>
        <v>5.2910986084410663</v>
      </c>
      <c r="H172" s="89">
        <f t="shared" si="53"/>
        <v>0</v>
      </c>
      <c r="I172" s="21">
        <f t="shared" si="54"/>
        <v>5.2910986084410663</v>
      </c>
      <c r="J172" s="25"/>
      <c r="K172" s="25"/>
      <c r="L172" s="25"/>
      <c r="M172" s="51"/>
      <c r="N172" s="25"/>
    </row>
    <row r="173" spans="2:14" ht="15" x14ac:dyDescent="0.25">
      <c r="B173" s="43"/>
      <c r="C173" s="56">
        <v>250</v>
      </c>
      <c r="D173" s="21">
        <f t="shared" si="63"/>
        <v>8.8184976807351099</v>
      </c>
      <c r="E173" s="25" t="s">
        <v>164</v>
      </c>
      <c r="F173" s="14" t="str">
        <f t="shared" si="64"/>
        <v/>
      </c>
      <c r="G173" s="81" t="str">
        <f t="shared" si="65"/>
        <v/>
      </c>
      <c r="H173" s="89">
        <f t="shared" si="53"/>
        <v>0</v>
      </c>
      <c r="I173" s="21">
        <f t="shared" si="54"/>
        <v>8.8184976807351099</v>
      </c>
      <c r="J173" s="25"/>
      <c r="K173" s="25"/>
      <c r="L173" s="25"/>
      <c r="M173" s="51"/>
      <c r="N173" s="25"/>
    </row>
    <row r="174" spans="2:14" ht="15" x14ac:dyDescent="0.25">
      <c r="B174" s="43" t="s">
        <v>42</v>
      </c>
      <c r="C174" s="56">
        <v>76</v>
      </c>
      <c r="D174" s="21">
        <f t="shared" si="63"/>
        <v>2.6808232949434734</v>
      </c>
      <c r="E174" s="25" t="s">
        <v>6</v>
      </c>
      <c r="F174" s="14">
        <f t="shared" si="64"/>
        <v>76</v>
      </c>
      <c r="G174" s="81">
        <f t="shared" si="65"/>
        <v>2.6808232949434734</v>
      </c>
      <c r="H174" s="89">
        <f t="shared" si="53"/>
        <v>0</v>
      </c>
      <c r="I174" s="21">
        <f t="shared" si="54"/>
        <v>2.6808232949434734</v>
      </c>
      <c r="J174" s="25"/>
      <c r="K174" s="25"/>
      <c r="L174" s="25"/>
      <c r="M174" s="51"/>
      <c r="N174" s="25"/>
    </row>
    <row r="175" spans="2:14" ht="15" x14ac:dyDescent="0.25">
      <c r="B175" s="43" t="s">
        <v>42</v>
      </c>
      <c r="C175" s="56">
        <v>135</v>
      </c>
      <c r="D175" s="21">
        <f t="shared" si="63"/>
        <v>4.7619887475969591</v>
      </c>
      <c r="E175" s="25" t="s">
        <v>18</v>
      </c>
      <c r="F175" s="14">
        <f t="shared" si="64"/>
        <v>135</v>
      </c>
      <c r="G175" s="81">
        <f t="shared" si="65"/>
        <v>4.7619887475969591</v>
      </c>
      <c r="H175" s="89">
        <f t="shared" si="53"/>
        <v>0</v>
      </c>
      <c r="I175" s="21">
        <f t="shared" si="54"/>
        <v>4.7619887475969591</v>
      </c>
      <c r="J175" s="25"/>
      <c r="K175" s="25"/>
      <c r="L175" s="25"/>
      <c r="M175" s="51"/>
      <c r="N175" s="25"/>
    </row>
    <row r="176" spans="2:14" ht="15" x14ac:dyDescent="0.25">
      <c r="B176" s="43" t="s">
        <v>42</v>
      </c>
      <c r="C176" s="56">
        <v>0</v>
      </c>
      <c r="D176" s="21">
        <f t="shared" si="63"/>
        <v>0</v>
      </c>
      <c r="E176" s="25" t="s">
        <v>161</v>
      </c>
      <c r="F176" s="14" t="str">
        <f t="shared" si="64"/>
        <v/>
      </c>
      <c r="G176" s="81">
        <f t="shared" si="65"/>
        <v>0</v>
      </c>
      <c r="H176" s="89">
        <f t="shared" si="53"/>
        <v>0</v>
      </c>
      <c r="I176" s="21">
        <f t="shared" si="54"/>
        <v>0</v>
      </c>
      <c r="J176" s="25"/>
      <c r="K176" s="25"/>
      <c r="L176" s="25"/>
      <c r="M176" s="51"/>
      <c r="N176" s="25"/>
    </row>
    <row r="177" spans="2:14" ht="15" x14ac:dyDescent="0.25">
      <c r="B177" s="43"/>
      <c r="C177" s="56">
        <v>0</v>
      </c>
      <c r="D177" s="21"/>
      <c r="E177" s="25" t="s">
        <v>189</v>
      </c>
      <c r="F177" s="14"/>
      <c r="G177" s="81"/>
      <c r="H177" s="89">
        <f t="shared" si="53"/>
        <v>0</v>
      </c>
      <c r="I177" s="21" t="str">
        <f t="shared" si="54"/>
        <v/>
      </c>
      <c r="J177" s="25"/>
      <c r="K177" s="25"/>
      <c r="L177" s="25"/>
      <c r="M177" s="51"/>
      <c r="N177" s="25"/>
    </row>
    <row r="178" spans="2:14" ht="15" x14ac:dyDescent="0.25">
      <c r="B178" s="25"/>
      <c r="C178" s="56">
        <v>0</v>
      </c>
      <c r="D178" s="21">
        <f t="shared" si="63"/>
        <v>0</v>
      </c>
      <c r="E178" s="25" t="s">
        <v>165</v>
      </c>
      <c r="F178" s="14" t="str">
        <f t="shared" si="64"/>
        <v/>
      </c>
      <c r="G178" s="81" t="str">
        <f t="shared" si="65"/>
        <v/>
      </c>
      <c r="H178" s="89">
        <f t="shared" si="53"/>
        <v>0</v>
      </c>
      <c r="I178" s="21">
        <f t="shared" si="54"/>
        <v>0</v>
      </c>
      <c r="J178" s="25"/>
      <c r="K178" s="25"/>
      <c r="L178" s="25"/>
      <c r="M178" s="51"/>
      <c r="N178" s="25"/>
    </row>
    <row r="179" spans="2:14" ht="15" x14ac:dyDescent="0.25">
      <c r="B179" s="18" t="s">
        <v>42</v>
      </c>
      <c r="C179" s="99">
        <f>SUMIF(B166:B178,"x",C166:C178)</f>
        <v>1006</v>
      </c>
      <c r="D179" s="21">
        <f t="shared" si="63"/>
        <v>35.485634667278084</v>
      </c>
      <c r="E179" s="19" t="s">
        <v>41</v>
      </c>
      <c r="F179" s="14">
        <f t="shared" si="64"/>
        <v>1006</v>
      </c>
      <c r="G179" s="14">
        <f t="shared" si="65"/>
        <v>35.485634667278084</v>
      </c>
      <c r="H179" s="89">
        <f t="shared" ref="H179:H206" si="66">IF(C179="","",INT(D179/16))</f>
        <v>2</v>
      </c>
      <c r="I179" s="21">
        <f t="shared" ref="I179:I206" si="67">IF(D179="","",MOD(D179,16))</f>
        <v>3.4856346672780845</v>
      </c>
      <c r="J179" s="25"/>
    </row>
    <row r="180" spans="2:14" ht="15.75" x14ac:dyDescent="0.25">
      <c r="B180" s="18" t="s">
        <v>42</v>
      </c>
      <c r="C180" s="56"/>
      <c r="D180" s="21" t="str">
        <f t="shared" si="63"/>
        <v/>
      </c>
      <c r="E180" s="44" t="s">
        <v>90</v>
      </c>
      <c r="F180" s="14" t="str">
        <f t="shared" si="64"/>
        <v/>
      </c>
      <c r="G180" s="14" t="str">
        <f t="shared" si="65"/>
        <v/>
      </c>
      <c r="H180" s="89" t="str">
        <f t="shared" si="66"/>
        <v/>
      </c>
      <c r="I180" s="21" t="str">
        <f t="shared" si="67"/>
        <v/>
      </c>
      <c r="J180" s="25"/>
    </row>
    <row r="181" spans="2:14" ht="15" x14ac:dyDescent="0.25">
      <c r="B181" s="18" t="s">
        <v>42</v>
      </c>
      <c r="C181" s="56"/>
      <c r="D181" s="21" t="str">
        <f t="shared" si="63"/>
        <v/>
      </c>
      <c r="E181" s="25" t="s">
        <v>146</v>
      </c>
      <c r="F181" s="14" t="str">
        <f t="shared" si="64"/>
        <v/>
      </c>
      <c r="G181" s="14" t="str">
        <f t="shared" si="65"/>
        <v/>
      </c>
      <c r="H181" s="89" t="str">
        <f t="shared" si="66"/>
        <v/>
      </c>
      <c r="I181" s="21" t="str">
        <f t="shared" si="67"/>
        <v/>
      </c>
      <c r="J181" s="25"/>
    </row>
    <row r="182" spans="2:14" ht="15" x14ac:dyDescent="0.25">
      <c r="B182" s="18" t="s">
        <v>42</v>
      </c>
      <c r="C182" s="56"/>
      <c r="D182" s="21" t="str">
        <f t="shared" si="63"/>
        <v/>
      </c>
      <c r="E182" s="25" t="s">
        <v>48</v>
      </c>
      <c r="F182" s="14" t="str">
        <f t="shared" si="64"/>
        <v/>
      </c>
      <c r="G182" s="14" t="str">
        <f t="shared" si="65"/>
        <v/>
      </c>
      <c r="H182" s="89" t="str">
        <f t="shared" si="66"/>
        <v/>
      </c>
      <c r="I182" s="21" t="str">
        <f t="shared" si="67"/>
        <v/>
      </c>
      <c r="J182" s="25"/>
    </row>
    <row r="183" spans="2:14" ht="15" x14ac:dyDescent="0.25">
      <c r="B183" s="18" t="s">
        <v>42</v>
      </c>
      <c r="C183" s="56"/>
      <c r="D183" s="21" t="str">
        <f t="shared" si="63"/>
        <v/>
      </c>
      <c r="E183" s="25" t="s">
        <v>147</v>
      </c>
      <c r="F183" s="14" t="str">
        <f t="shared" si="64"/>
        <v/>
      </c>
      <c r="G183" s="14" t="str">
        <f t="shared" si="65"/>
        <v/>
      </c>
      <c r="H183" s="89" t="str">
        <f t="shared" si="66"/>
        <v/>
      </c>
      <c r="I183" s="21" t="str">
        <f t="shared" si="67"/>
        <v/>
      </c>
      <c r="J183" s="25"/>
    </row>
    <row r="184" spans="2:14" ht="15" x14ac:dyDescent="0.25">
      <c r="B184" s="18"/>
      <c r="C184" s="56"/>
      <c r="D184" s="21" t="str">
        <f t="shared" si="63"/>
        <v/>
      </c>
      <c r="E184" s="25" t="s">
        <v>47</v>
      </c>
      <c r="F184" s="14" t="str">
        <f t="shared" si="64"/>
        <v/>
      </c>
      <c r="G184" s="14" t="str">
        <f t="shared" si="65"/>
        <v/>
      </c>
      <c r="H184" s="89" t="str">
        <f t="shared" si="66"/>
        <v/>
      </c>
      <c r="I184" s="21" t="str">
        <f t="shared" si="67"/>
        <v/>
      </c>
      <c r="J184" s="25"/>
    </row>
    <row r="185" spans="2:14" ht="15" x14ac:dyDescent="0.25">
      <c r="B185" s="18"/>
      <c r="C185" s="56"/>
      <c r="D185" s="21"/>
      <c r="E185" s="42" t="s">
        <v>192</v>
      </c>
      <c r="F185" s="14"/>
      <c r="G185" s="14"/>
      <c r="H185" s="89" t="str">
        <f t="shared" si="66"/>
        <v/>
      </c>
      <c r="I185" s="21" t="str">
        <f t="shared" si="67"/>
        <v/>
      </c>
      <c r="J185" s="25"/>
    </row>
    <row r="186" spans="2:14" ht="15" x14ac:dyDescent="0.25">
      <c r="B186" s="18"/>
      <c r="C186" s="56"/>
      <c r="D186" s="21" t="str">
        <f t="shared" si="63"/>
        <v/>
      </c>
      <c r="E186" s="42" t="s">
        <v>49</v>
      </c>
      <c r="F186" s="14" t="str">
        <f t="shared" si="64"/>
        <v/>
      </c>
      <c r="G186" s="14" t="str">
        <f t="shared" si="65"/>
        <v/>
      </c>
      <c r="H186" s="89" t="str">
        <f t="shared" si="66"/>
        <v/>
      </c>
      <c r="I186" s="21" t="str">
        <f t="shared" si="67"/>
        <v/>
      </c>
      <c r="J186" s="25"/>
    </row>
    <row r="187" spans="2:14" ht="15" x14ac:dyDescent="0.25">
      <c r="B187" s="18"/>
      <c r="C187" s="56"/>
      <c r="D187" s="21" t="str">
        <f t="shared" si="63"/>
        <v/>
      </c>
      <c r="E187" s="42" t="s">
        <v>50</v>
      </c>
      <c r="F187" s="14" t="str">
        <f t="shared" si="64"/>
        <v/>
      </c>
      <c r="G187" s="14" t="str">
        <f t="shared" si="65"/>
        <v/>
      </c>
      <c r="H187" s="89" t="str">
        <f t="shared" si="66"/>
        <v/>
      </c>
      <c r="I187" s="21" t="str">
        <f t="shared" si="67"/>
        <v/>
      </c>
      <c r="J187" s="25"/>
    </row>
    <row r="188" spans="2:14" ht="15" x14ac:dyDescent="0.25">
      <c r="B188" s="18"/>
      <c r="C188" s="112"/>
      <c r="D188" s="21" t="str">
        <f t="shared" si="63"/>
        <v/>
      </c>
      <c r="F188" s="14" t="str">
        <f t="shared" si="64"/>
        <v/>
      </c>
      <c r="G188" s="14" t="str">
        <f t="shared" si="65"/>
        <v/>
      </c>
      <c r="H188" s="89" t="str">
        <f t="shared" si="66"/>
        <v/>
      </c>
      <c r="I188" s="21" t="str">
        <f t="shared" si="67"/>
        <v/>
      </c>
      <c r="J188" s="25"/>
    </row>
    <row r="189" spans="2:14" ht="15" x14ac:dyDescent="0.25">
      <c r="B189" s="18" t="s">
        <v>42</v>
      </c>
      <c r="C189" s="56"/>
      <c r="D189" s="21" t="str">
        <f t="shared" si="63"/>
        <v/>
      </c>
      <c r="E189" s="27" t="s">
        <v>41</v>
      </c>
      <c r="F189" s="14" t="str">
        <f t="shared" si="64"/>
        <v/>
      </c>
      <c r="G189" s="14" t="str">
        <f t="shared" si="65"/>
        <v/>
      </c>
      <c r="H189" s="89" t="str">
        <f t="shared" si="66"/>
        <v/>
      </c>
      <c r="I189" s="21" t="str">
        <f t="shared" si="67"/>
        <v/>
      </c>
      <c r="J189" s="25"/>
    </row>
    <row r="190" spans="2:14" ht="15.75" x14ac:dyDescent="0.25">
      <c r="B190" s="18" t="s">
        <v>42</v>
      </c>
      <c r="C190" s="56"/>
      <c r="D190" s="21" t="str">
        <f t="shared" si="63"/>
        <v/>
      </c>
      <c r="E190" s="44" t="s">
        <v>89</v>
      </c>
      <c r="F190" s="14" t="str">
        <f t="shared" si="64"/>
        <v/>
      </c>
      <c r="G190" s="14" t="str">
        <f t="shared" si="65"/>
        <v/>
      </c>
      <c r="H190" s="89" t="str">
        <f t="shared" si="66"/>
        <v/>
      </c>
      <c r="I190" s="21" t="str">
        <f t="shared" si="67"/>
        <v/>
      </c>
      <c r="J190" s="25"/>
    </row>
    <row r="191" spans="2:14" ht="15" x14ac:dyDescent="0.25">
      <c r="B191" s="18" t="s">
        <v>42</v>
      </c>
      <c r="C191" s="56"/>
      <c r="D191" s="21" t="str">
        <f t="shared" si="63"/>
        <v/>
      </c>
      <c r="E191" s="25" t="s">
        <v>155</v>
      </c>
      <c r="F191" s="14" t="str">
        <f t="shared" si="64"/>
        <v/>
      </c>
      <c r="G191" s="14" t="str">
        <f t="shared" si="65"/>
        <v/>
      </c>
      <c r="H191" s="89" t="str">
        <f t="shared" si="66"/>
        <v/>
      </c>
      <c r="I191" s="21" t="str">
        <f t="shared" si="67"/>
        <v/>
      </c>
      <c r="J191" s="25"/>
    </row>
    <row r="192" spans="2:14" ht="15" x14ac:dyDescent="0.25">
      <c r="B192" s="18" t="s">
        <v>42</v>
      </c>
      <c r="C192" s="56"/>
      <c r="D192" s="21" t="str">
        <f t="shared" si="63"/>
        <v/>
      </c>
      <c r="E192" s="25" t="s">
        <v>148</v>
      </c>
      <c r="F192" s="14" t="str">
        <f t="shared" si="64"/>
        <v/>
      </c>
      <c r="G192" s="14" t="str">
        <f t="shared" si="65"/>
        <v/>
      </c>
      <c r="H192" s="89" t="str">
        <f t="shared" si="66"/>
        <v/>
      </c>
      <c r="I192" s="21" t="str">
        <f t="shared" si="67"/>
        <v/>
      </c>
      <c r="J192" s="25"/>
    </row>
    <row r="193" spans="2:10" ht="15" x14ac:dyDescent="0.25">
      <c r="B193" s="18" t="s">
        <v>42</v>
      </c>
      <c r="C193" s="56"/>
      <c r="D193" s="21" t="str">
        <f t="shared" si="63"/>
        <v/>
      </c>
      <c r="E193" s="25" t="s">
        <v>4</v>
      </c>
      <c r="F193" s="14" t="str">
        <f t="shared" si="64"/>
        <v/>
      </c>
      <c r="G193" s="14" t="str">
        <f t="shared" si="65"/>
        <v/>
      </c>
      <c r="H193" s="89" t="str">
        <f t="shared" si="66"/>
        <v/>
      </c>
      <c r="I193" s="21" t="str">
        <f t="shared" si="67"/>
        <v/>
      </c>
      <c r="J193" s="25"/>
    </row>
    <row r="194" spans="2:10" ht="15" x14ac:dyDescent="0.25">
      <c r="B194" s="18" t="s">
        <v>42</v>
      </c>
      <c r="C194" s="56"/>
      <c r="D194" s="21" t="str">
        <f t="shared" si="63"/>
        <v/>
      </c>
      <c r="E194" s="25" t="s">
        <v>5</v>
      </c>
      <c r="F194" s="14" t="str">
        <f t="shared" si="64"/>
        <v/>
      </c>
      <c r="G194" s="14" t="str">
        <f t="shared" si="65"/>
        <v/>
      </c>
      <c r="H194" s="89" t="str">
        <f t="shared" si="66"/>
        <v/>
      </c>
      <c r="I194" s="21" t="str">
        <f t="shared" si="67"/>
        <v/>
      </c>
      <c r="J194" s="25"/>
    </row>
    <row r="195" spans="2:10" ht="15" x14ac:dyDescent="0.25">
      <c r="B195" s="18" t="s">
        <v>42</v>
      </c>
      <c r="C195" s="56"/>
      <c r="D195" s="21" t="str">
        <f t="shared" si="63"/>
        <v/>
      </c>
      <c r="E195" s="25" t="s">
        <v>46</v>
      </c>
      <c r="F195" s="14" t="str">
        <f t="shared" si="64"/>
        <v/>
      </c>
      <c r="G195" s="14" t="str">
        <f t="shared" si="65"/>
        <v/>
      </c>
      <c r="H195" s="89" t="str">
        <f t="shared" si="66"/>
        <v/>
      </c>
      <c r="I195" s="21" t="str">
        <f t="shared" si="67"/>
        <v/>
      </c>
      <c r="J195" s="25"/>
    </row>
    <row r="196" spans="2:10" ht="15" x14ac:dyDescent="0.25">
      <c r="B196" s="18" t="s">
        <v>42</v>
      </c>
      <c r="C196" s="56"/>
      <c r="D196" s="21" t="str">
        <f t="shared" si="63"/>
        <v/>
      </c>
      <c r="E196" s="25" t="s">
        <v>149</v>
      </c>
      <c r="F196" s="14" t="str">
        <f t="shared" si="64"/>
        <v/>
      </c>
      <c r="G196" s="14" t="str">
        <f t="shared" si="65"/>
        <v/>
      </c>
      <c r="H196" s="89" t="str">
        <f t="shared" si="66"/>
        <v/>
      </c>
      <c r="I196" s="21" t="str">
        <f t="shared" si="67"/>
        <v/>
      </c>
      <c r="J196" s="25"/>
    </row>
    <row r="197" spans="2:10" ht="15" x14ac:dyDescent="0.25">
      <c r="B197" s="18" t="s">
        <v>42</v>
      </c>
      <c r="C197" s="56"/>
      <c r="D197" s="21" t="str">
        <f t="shared" si="63"/>
        <v/>
      </c>
      <c r="E197" s="25" t="s">
        <v>6</v>
      </c>
      <c r="F197" s="14" t="str">
        <f t="shared" si="64"/>
        <v/>
      </c>
      <c r="G197" s="14" t="str">
        <f t="shared" si="65"/>
        <v/>
      </c>
      <c r="H197" s="89" t="str">
        <f t="shared" si="66"/>
        <v/>
      </c>
      <c r="I197" s="21" t="str">
        <f t="shared" si="67"/>
        <v/>
      </c>
      <c r="J197" s="25"/>
    </row>
    <row r="198" spans="2:10" ht="15" x14ac:dyDescent="0.25">
      <c r="B198" s="18" t="s">
        <v>42</v>
      </c>
      <c r="C198" s="56"/>
      <c r="D198" s="21" t="str">
        <f t="shared" si="63"/>
        <v/>
      </c>
      <c r="E198" s="25" t="s">
        <v>150</v>
      </c>
      <c r="F198" s="14" t="str">
        <f t="shared" si="64"/>
        <v/>
      </c>
      <c r="G198" s="14" t="str">
        <f t="shared" si="65"/>
        <v/>
      </c>
      <c r="H198" s="89" t="str">
        <f t="shared" si="66"/>
        <v/>
      </c>
      <c r="I198" s="21" t="str">
        <f t="shared" si="67"/>
        <v/>
      </c>
      <c r="J198" s="25"/>
    </row>
    <row r="199" spans="2:10" ht="15" x14ac:dyDescent="0.25">
      <c r="B199" s="18" t="s">
        <v>42</v>
      </c>
      <c r="C199" s="56"/>
      <c r="D199" s="21" t="str">
        <f t="shared" si="63"/>
        <v/>
      </c>
      <c r="E199" s="25" t="s">
        <v>2</v>
      </c>
      <c r="F199" s="14" t="str">
        <f t="shared" si="64"/>
        <v/>
      </c>
      <c r="G199" s="14" t="str">
        <f t="shared" si="65"/>
        <v/>
      </c>
      <c r="H199" s="89" t="str">
        <f t="shared" si="66"/>
        <v/>
      </c>
      <c r="I199" s="21" t="str">
        <f t="shared" si="67"/>
        <v/>
      </c>
      <c r="J199" s="25"/>
    </row>
    <row r="200" spans="2:10" ht="15" x14ac:dyDescent="0.25">
      <c r="B200" s="18" t="s">
        <v>42</v>
      </c>
      <c r="C200" s="56"/>
      <c r="D200" s="21" t="str">
        <f t="shared" si="63"/>
        <v/>
      </c>
      <c r="E200" s="25" t="s">
        <v>44</v>
      </c>
      <c r="F200" s="14" t="str">
        <f t="shared" si="64"/>
        <v/>
      </c>
      <c r="G200" s="14" t="str">
        <f t="shared" si="65"/>
        <v/>
      </c>
      <c r="H200" s="89" t="str">
        <f t="shared" si="66"/>
        <v/>
      </c>
      <c r="I200" s="21" t="str">
        <f t="shared" si="67"/>
        <v/>
      </c>
      <c r="J200" s="25"/>
    </row>
    <row r="201" spans="2:10" ht="15" x14ac:dyDescent="0.25">
      <c r="B201" s="18" t="s">
        <v>42</v>
      </c>
      <c r="C201" s="56"/>
      <c r="D201" s="21" t="str">
        <f t="shared" si="63"/>
        <v/>
      </c>
      <c r="E201" s="25" t="s">
        <v>9</v>
      </c>
      <c r="F201" s="14" t="str">
        <f t="shared" si="64"/>
        <v/>
      </c>
      <c r="G201" s="14" t="str">
        <f t="shared" si="65"/>
        <v/>
      </c>
      <c r="H201" s="89" t="str">
        <f t="shared" si="66"/>
        <v/>
      </c>
      <c r="I201" s="21" t="str">
        <f t="shared" si="67"/>
        <v/>
      </c>
      <c r="J201" s="25"/>
    </row>
    <row r="202" spans="2:10" ht="15" x14ac:dyDescent="0.25">
      <c r="B202" s="18" t="s">
        <v>42</v>
      </c>
      <c r="C202" s="56"/>
      <c r="D202" s="21" t="str">
        <f t="shared" si="63"/>
        <v/>
      </c>
      <c r="E202" s="25" t="s">
        <v>153</v>
      </c>
      <c r="F202" s="14" t="str">
        <f t="shared" si="64"/>
        <v/>
      </c>
      <c r="G202" s="14" t="str">
        <f t="shared" si="65"/>
        <v/>
      </c>
      <c r="H202" s="89" t="str">
        <f t="shared" si="66"/>
        <v/>
      </c>
      <c r="I202" s="21" t="str">
        <f t="shared" si="67"/>
        <v/>
      </c>
      <c r="J202" s="25"/>
    </row>
    <row r="203" spans="2:10" ht="15" x14ac:dyDescent="0.25">
      <c r="B203" s="18" t="s">
        <v>42</v>
      </c>
      <c r="C203" s="56"/>
      <c r="D203" s="21" t="str">
        <f t="shared" si="63"/>
        <v/>
      </c>
      <c r="E203" s="14" t="s">
        <v>143</v>
      </c>
      <c r="F203" s="14" t="str">
        <f t="shared" si="64"/>
        <v/>
      </c>
      <c r="G203" s="14" t="str">
        <f t="shared" si="65"/>
        <v/>
      </c>
      <c r="H203" s="89" t="str">
        <f t="shared" si="66"/>
        <v/>
      </c>
      <c r="I203" s="21" t="str">
        <f t="shared" si="67"/>
        <v/>
      </c>
      <c r="J203" s="25"/>
    </row>
    <row r="204" spans="2:10" ht="15" x14ac:dyDescent="0.25">
      <c r="B204" s="25" t="s">
        <v>42</v>
      </c>
      <c r="C204" s="56"/>
      <c r="D204" s="21" t="str">
        <f t="shared" si="63"/>
        <v/>
      </c>
      <c r="E204" s="25" t="s">
        <v>11</v>
      </c>
      <c r="F204" s="14" t="str">
        <f t="shared" si="64"/>
        <v/>
      </c>
      <c r="G204" s="14" t="str">
        <f t="shared" si="65"/>
        <v/>
      </c>
      <c r="H204" s="89" t="str">
        <f t="shared" si="66"/>
        <v/>
      </c>
      <c r="I204" s="21" t="str">
        <f t="shared" si="67"/>
        <v/>
      </c>
      <c r="J204" s="25"/>
    </row>
    <row r="205" spans="2:10" ht="15" x14ac:dyDescent="0.25">
      <c r="B205" s="25" t="s">
        <v>42</v>
      </c>
      <c r="C205" s="56"/>
      <c r="D205" s="21" t="str">
        <f t="shared" si="63"/>
        <v/>
      </c>
      <c r="E205" s="25" t="s">
        <v>91</v>
      </c>
      <c r="F205" s="14" t="str">
        <f t="shared" si="64"/>
        <v/>
      </c>
      <c r="G205" s="14" t="str">
        <f t="shared" si="65"/>
        <v/>
      </c>
      <c r="H205" s="89" t="str">
        <f t="shared" si="66"/>
        <v/>
      </c>
      <c r="I205" s="21" t="str">
        <f t="shared" si="67"/>
        <v/>
      </c>
      <c r="J205" s="25"/>
    </row>
    <row r="206" spans="2:10" ht="15" x14ac:dyDescent="0.25">
      <c r="B206" s="111" t="s">
        <v>42</v>
      </c>
      <c r="C206" s="112"/>
      <c r="D206" s="21" t="str">
        <f t="shared" si="63"/>
        <v/>
      </c>
      <c r="E206" s="25" t="s">
        <v>92</v>
      </c>
      <c r="F206" s="14" t="str">
        <f t="shared" si="64"/>
        <v/>
      </c>
      <c r="G206" s="14" t="str">
        <f t="shared" si="65"/>
        <v/>
      </c>
      <c r="H206" s="89" t="str">
        <f t="shared" si="66"/>
        <v/>
      </c>
      <c r="I206" s="21" t="str">
        <f t="shared" si="67"/>
        <v/>
      </c>
      <c r="J206" s="25"/>
    </row>
    <row r="207" spans="2:10" ht="15" x14ac:dyDescent="0.25">
      <c r="C207" s="56"/>
      <c r="D207" s="21"/>
      <c r="E207" s="15"/>
      <c r="F207" s="14" t="str">
        <f>IF(B207="x",IF(#REF!=0,"",#REF!),"")</f>
        <v/>
      </c>
      <c r="G207" s="14" t="str">
        <f t="shared" si="65"/>
        <v/>
      </c>
      <c r="H207" s="90"/>
      <c r="I207" s="14"/>
      <c r="J207" s="25"/>
    </row>
    <row r="208" spans="2:10" ht="15.75" thickBot="1" x14ac:dyDescent="0.3">
      <c r="B208" s="124" t="s">
        <v>262</v>
      </c>
      <c r="C208" s="56"/>
      <c r="D208" s="21"/>
      <c r="E208" s="25"/>
      <c r="F208" s="25"/>
      <c r="G208" s="25"/>
      <c r="H208" s="91"/>
      <c r="I208" s="25"/>
      <c r="J208" s="25"/>
    </row>
    <row r="209" spans="2:10" ht="16.5" thickTop="1" thickBot="1" x14ac:dyDescent="0.3">
      <c r="B209" s="18"/>
      <c r="C209" s="78">
        <f>SUM(F2:F208)</f>
        <v>21322</v>
      </c>
      <c r="D209" s="39">
        <f>IF(ISBLANK(C209),"", C209/$D$211)</f>
        <v>752.11203019453603</v>
      </c>
      <c r="E209" s="65" t="s">
        <v>171</v>
      </c>
      <c r="F209" s="63" t="s">
        <v>170</v>
      </c>
      <c r="G209" s="64" t="s">
        <v>1</v>
      </c>
      <c r="H209" s="92"/>
      <c r="I209" s="64"/>
      <c r="J209" s="33"/>
    </row>
    <row r="210" spans="2:10" ht="16.5" thickTop="1" thickBot="1" x14ac:dyDescent="0.3">
      <c r="B210" s="18"/>
      <c r="C210" s="77"/>
      <c r="D210" s="8">
        <f>C209</f>
        <v>21322</v>
      </c>
      <c r="E210" s="34" t="s">
        <v>27</v>
      </c>
      <c r="F210" s="5">
        <f>TRUNC(D210/D211/16)</f>
        <v>47</v>
      </c>
      <c r="G210" s="28">
        <f>(D210/D211/16-TRUNC(D210/D211/16))*16</f>
        <v>0.11203019453603247</v>
      </c>
      <c r="H210" s="93"/>
      <c r="I210" s="28"/>
      <c r="J210" s="6" t="s">
        <v>28</v>
      </c>
    </row>
    <row r="211" spans="2:10" ht="15.75" thickBot="1" x14ac:dyDescent="0.3">
      <c r="B211" s="18"/>
      <c r="C211" s="77"/>
      <c r="D211" s="10">
        <v>28.349499999999999</v>
      </c>
      <c r="E211" s="5" t="s">
        <v>31</v>
      </c>
      <c r="F211" s="62">
        <v>7</v>
      </c>
      <c r="G211" s="22">
        <v>8</v>
      </c>
      <c r="H211" s="94"/>
      <c r="I211" s="22"/>
      <c r="J211" s="11" t="s">
        <v>32</v>
      </c>
    </row>
    <row r="212" spans="2:10" ht="15.75" thickBot="1" x14ac:dyDescent="0.3">
      <c r="B212" s="18"/>
      <c r="C212" s="77"/>
      <c r="D212" s="10">
        <v>3.5274E-2</v>
      </c>
      <c r="E212" s="6" t="s">
        <v>35</v>
      </c>
      <c r="F212" s="23">
        <v>4</v>
      </c>
      <c r="G212" s="24"/>
      <c r="H212" s="95"/>
      <c r="I212" s="24"/>
      <c r="J212" s="7" t="s">
        <v>34</v>
      </c>
    </row>
    <row r="213" spans="2:10" ht="15.75" thickBot="1" x14ac:dyDescent="0.3">
      <c r="B213" s="18"/>
      <c r="C213" s="77"/>
      <c r="D213" s="20"/>
      <c r="E213" s="1" t="s">
        <v>36</v>
      </c>
      <c r="F213" s="4">
        <f>SUM(F210:F212)</f>
        <v>58</v>
      </c>
      <c r="G213" s="28">
        <f>SUM(G210:G212)</f>
        <v>8.1120301945360325</v>
      </c>
      <c r="H213" s="93"/>
      <c r="I213" s="28"/>
      <c r="J213" s="6" t="s">
        <v>37</v>
      </c>
    </row>
    <row r="214" spans="2:10" ht="15" x14ac:dyDescent="0.25">
      <c r="B214" s="18"/>
      <c r="C214" s="77"/>
      <c r="D214" s="20"/>
      <c r="E214" s="13" t="s">
        <v>33</v>
      </c>
      <c r="F214" s="20"/>
      <c r="G214" s="20"/>
      <c r="H214" s="89"/>
      <c r="I214" s="20"/>
      <c r="J214" s="20"/>
    </row>
    <row r="215" spans="2:10" ht="15" x14ac:dyDescent="0.25">
      <c r="B215" s="18"/>
      <c r="C215" s="77"/>
      <c r="D215" s="20" t="s">
        <v>29</v>
      </c>
      <c r="E215" s="20" t="s">
        <v>30</v>
      </c>
      <c r="G215" s="20"/>
      <c r="H215" s="89"/>
      <c r="I215" s="20"/>
      <c r="J215" s="20"/>
    </row>
    <row r="216" spans="2:10" ht="15" x14ac:dyDescent="0.25">
      <c r="C216" s="77"/>
      <c r="D216" s="20"/>
      <c r="E216" s="20"/>
      <c r="F216" s="20"/>
      <c r="G216" s="20"/>
      <c r="H216" s="89"/>
      <c r="I216" s="20"/>
      <c r="J216" s="20"/>
    </row>
    <row r="217" spans="2:10" ht="15" x14ac:dyDescent="0.25">
      <c r="C217" s="77"/>
      <c r="D217" s="20"/>
      <c r="E217" s="20"/>
      <c r="F217" s="20"/>
      <c r="G217" s="20"/>
      <c r="H217" s="89"/>
      <c r="I217" s="20"/>
      <c r="J217" s="20"/>
    </row>
    <row r="218" spans="2:10" ht="15" x14ac:dyDescent="0.25">
      <c r="C218" s="77"/>
      <c r="D218" s="20"/>
      <c r="E218" s="20"/>
      <c r="F218" s="20"/>
      <c r="G218" s="20"/>
      <c r="H218" s="89"/>
      <c r="I218" s="20"/>
      <c r="J218" s="20"/>
    </row>
    <row r="221" spans="2:10" x14ac:dyDescent="0.2">
      <c r="E221" s="15"/>
    </row>
    <row r="222" spans="2:10" x14ac:dyDescent="0.2">
      <c r="E222" s="15"/>
    </row>
    <row r="223" spans="2:10" x14ac:dyDescent="0.2">
      <c r="E223" s="15"/>
    </row>
    <row r="224" spans="2:10" x14ac:dyDescent="0.2">
      <c r="E224" s="15"/>
    </row>
    <row r="225" spans="5:5" x14ac:dyDescent="0.2">
      <c r="E225" s="15"/>
    </row>
    <row r="226" spans="5:5" x14ac:dyDescent="0.2">
      <c r="E226" s="15"/>
    </row>
    <row r="227" spans="5:5" x14ac:dyDescent="0.2">
      <c r="E227" s="15"/>
    </row>
    <row r="228" spans="5:5" x14ac:dyDescent="0.2">
      <c r="E228" s="15"/>
    </row>
    <row r="229" spans="5:5" x14ac:dyDescent="0.2">
      <c r="E229" s="15"/>
    </row>
    <row r="230" spans="5:5" x14ac:dyDescent="0.2">
      <c r="E230" s="15"/>
    </row>
    <row r="231" spans="5:5" x14ac:dyDescent="0.2">
      <c r="E231" s="15"/>
    </row>
    <row r="232" spans="5:5" x14ac:dyDescent="0.2">
      <c r="E232" s="15"/>
    </row>
    <row r="233" spans="5:5" x14ac:dyDescent="0.2">
      <c r="E233" s="15"/>
    </row>
    <row r="234" spans="5:5" x14ac:dyDescent="0.2">
      <c r="E234" s="15"/>
    </row>
  </sheetData>
  <conditionalFormatting sqref="B3">
    <cfRule type="expression" dxfId="8" priority="6">
      <formula>AND(COUNTBLANK($C$3)=0,$C$3=0)</formula>
    </cfRule>
  </conditionalFormatting>
  <conditionalFormatting sqref="B3:B206">
    <cfRule type="expression" dxfId="7" priority="5">
      <formula>AND($B3="x",AND(COUNTBLANK($C3)=0,$C3=0))</formula>
    </cfRule>
  </conditionalFormatting>
  <conditionalFormatting sqref="C3:C206">
    <cfRule type="expression" dxfId="6" priority="4">
      <formula>AND(COUNTBLANK($C3)=0,$C3=0)</formula>
    </cfRule>
  </conditionalFormatting>
  <conditionalFormatting sqref="E3:E216">
    <cfRule type="containsText" dxfId="5" priority="1" stopIfTrue="1" operator="containsText" text="~*~*">
      <formula>NOT(ISERROR(SEARCH("~*~*",E3)))</formula>
    </cfRule>
    <cfRule type="containsText" dxfId="4" priority="2" operator="containsText" text="~*">
      <formula>NOT(ISERROR(SEARCH("~*",E3)))</formula>
    </cfRule>
  </conditionalFormatting>
  <dataValidations count="6">
    <dataValidation type="list" allowBlank="1" showInputMessage="1" showErrorMessage="1" sqref="N4" xr:uid="{93D0D4FF-F73B-4CEC-9F59-1E03B78731B5}">
      <formula1>Backpacks</formula1>
    </dataValidation>
    <dataValidation type="list" allowBlank="1" showInputMessage="1" showErrorMessage="1" sqref="N5" xr:uid="{B40995D5-F9DE-441C-9473-82A30319B4D1}">
      <formula1>PackCover</formula1>
    </dataValidation>
    <dataValidation type="list" allowBlank="1" showInputMessage="1" showErrorMessage="1" sqref="N6" xr:uid="{51253874-8864-446E-ADE4-C53BC1E5DCF9}">
      <formula1>Hammocks</formula1>
    </dataValidation>
    <dataValidation type="list" allowBlank="1" showInputMessage="1" showErrorMessage="1" sqref="N7" xr:uid="{86807229-1D6D-4883-B815-047F1B6521D3}">
      <formula1>AirMatresses</formula1>
    </dataValidation>
    <dataValidation type="list" allowBlank="1" showInputMessage="1" showErrorMessage="1" sqref="N8" xr:uid="{006AF97D-D2CF-4222-A711-06089FC341CE}">
      <formula1>SleepingBags</formula1>
    </dataValidation>
    <dataValidation type="list" allowBlank="1" showInputMessage="1" showErrorMessage="1" sqref="N9" xr:uid="{305C59DD-782B-4B95-B638-F9C3441EC896}">
      <formula1>SleepingBagLiners</formula1>
    </dataValidation>
  </dataValidations>
  <printOptions gridLines="1"/>
  <pageMargins left="0.5" right="0.5" top="0.5" bottom="0.5" header="0.51180555555555496" footer="0.51180555555555496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CD66-1D6B-4A0D-A95E-23D7FB915CA2}">
  <dimension ref="A1:H36"/>
  <sheetViews>
    <sheetView workbookViewId="0">
      <selection activeCell="B1" sqref="B1"/>
    </sheetView>
  </sheetViews>
  <sheetFormatPr defaultRowHeight="15" x14ac:dyDescent="0.25"/>
  <cols>
    <col min="1" max="1" width="3.7109375" customWidth="1"/>
    <col min="2" max="2" width="25.140625" customWidth="1"/>
    <col min="3" max="3" width="3.7109375" customWidth="1"/>
    <col min="4" max="4" width="23.85546875" customWidth="1"/>
    <col min="5" max="5" width="3.7109375" customWidth="1"/>
    <col min="6" max="6" width="24.140625" customWidth="1"/>
    <col min="7" max="7" width="3.7109375" customWidth="1"/>
    <col min="8" max="8" width="26.7109375" bestFit="1" customWidth="1"/>
  </cols>
  <sheetData>
    <row r="1" spans="1:8" x14ac:dyDescent="0.25">
      <c r="B1" t="str" cm="1">
        <f t="array" ref="B1:B36">_xlfn._xlws.FILTER('New Gear Checklist'!E1:E79,"x"='New Gear Checklist'!B1:B79)</f>
        <v>Pack Group</v>
      </c>
      <c r="D1" t="str" cm="1">
        <f t="array" ref="D1:D34">_xlfn._xlws.FILTER('New Gear Checklist'!$E80:$E125,"x"='New Gear Checklist'!$B80:$B125)</f>
        <v>Kitchen Group</v>
      </c>
      <c r="F1" t="str" cm="1">
        <f t="array" ref="F1:F35">_xlfn._xlws.FILTER('New Gear Checklist'!$E126:$E179,"x"='New Gear Checklist'!$B126:$B179)</f>
        <v>Navigation Group</v>
      </c>
      <c r="H1" t="str" cm="1">
        <f t="array" ref="H1:H22">_xlfn._xlws.FILTER('New Gear Checklist'!$E180:$E206,"x"='New Gear Checklist'!$B180:$B206)</f>
        <v>Consumables Group</v>
      </c>
    </row>
    <row r="2" spans="1:8" x14ac:dyDescent="0.25">
      <c r="A2" s="68" t="s">
        <v>182</v>
      </c>
      <c r="B2" t="str">
        <v>Blue Pack</v>
      </c>
      <c r="C2" s="68" t="s">
        <v>182</v>
      </c>
      <c r="D2" t="str">
        <v>pot .7 gt cup &amp; windscreen</v>
      </c>
      <c r="E2" s="68" t="s">
        <v>182</v>
      </c>
      <c r="F2" t="str">
        <v>Maps</v>
      </c>
      <c r="G2" s="68" t="s">
        <v>182</v>
      </c>
      <c r="H2" t="str">
        <v>Medication</v>
      </c>
    </row>
    <row r="3" spans="1:8" x14ac:dyDescent="0.25">
      <c r="A3" s="68" t="s">
        <v>182</v>
      </c>
      <c r="B3" t="str">
        <v>Pack hip pockets</v>
      </c>
      <c r="C3" s="68" t="s">
        <v>182</v>
      </c>
      <c r="D3" t="str">
        <v>IsoPro Stove w/ ignitor</v>
      </c>
      <c r="E3" s="68" t="s">
        <v>182</v>
      </c>
      <c r="F3" t="str">
        <v>Compass</v>
      </c>
      <c r="G3" s="68" t="s">
        <v>182</v>
      </c>
      <c r="H3" t="str">
        <v>24-32 ounces food per day</v>
      </c>
    </row>
    <row r="4" spans="1:8" x14ac:dyDescent="0.25">
      <c r="A4" s="68" t="s">
        <v>182</v>
      </c>
      <c r="B4" t="str">
        <v>Pack Liner/Garbage bag</v>
      </c>
      <c r="C4" s="68" t="s">
        <v>182</v>
      </c>
      <c r="D4" t="str">
        <v>IsoPro canister 8oz</v>
      </c>
      <c r="E4" s="68" t="s">
        <v>182</v>
      </c>
      <c r="F4" t="str">
        <v>Trail details</v>
      </c>
      <c r="G4" s="68" t="s">
        <v>182</v>
      </c>
      <c r="H4" t="str">
        <v>64 ounces water</v>
      </c>
    </row>
    <row r="5" spans="1:8" x14ac:dyDescent="0.25">
      <c r="A5" s="68" t="s">
        <v>182</v>
      </c>
      <c r="B5" t="str">
        <v>Orange Pack Cover</v>
      </c>
      <c r="C5" s="68" t="s">
        <v>182</v>
      </c>
      <c r="D5" t="str">
        <v>IsoPro canister stand</v>
      </c>
      <c r="E5" s="68" t="s">
        <v>182</v>
      </c>
      <c r="F5" t="str">
        <v>pen / pencil</v>
      </c>
      <c r="H5" t="str">
        <v xml:space="preserve"> </v>
      </c>
    </row>
    <row r="6" spans="1:8" x14ac:dyDescent="0.25">
      <c r="B6" t="str">
        <v xml:space="preserve"> </v>
      </c>
      <c r="C6" s="68" t="s">
        <v>182</v>
      </c>
      <c r="D6" t="str">
        <v>cozy for freezer bag meals</v>
      </c>
      <c r="E6" s="68" t="s">
        <v>182</v>
      </c>
      <c r="F6" t="str">
        <v>notepad / journal</v>
      </c>
      <c r="H6" t="str">
        <v>Clothing Worn Group</v>
      </c>
    </row>
    <row r="7" spans="1:8" x14ac:dyDescent="0.25">
      <c r="A7" s="68"/>
      <c r="B7" t="str">
        <v>Shelter Group</v>
      </c>
      <c r="C7" s="68" t="s">
        <v>182</v>
      </c>
      <c r="D7" t="str">
        <v>lighter</v>
      </c>
      <c r="E7" s="68"/>
      <c r="F7" t="str">
        <v xml:space="preserve"> </v>
      </c>
      <c r="G7" s="68" t="s">
        <v>182</v>
      </c>
      <c r="H7" t="str">
        <v>trekking poles</v>
      </c>
    </row>
    <row r="8" spans="1:8" x14ac:dyDescent="0.25">
      <c r="A8" s="68" t="s">
        <v>182</v>
      </c>
      <c r="B8" t="str">
        <v>Bridge Hammock; 1.2 Hexon Olive</v>
      </c>
      <c r="C8" s="68" t="s">
        <v>182</v>
      </c>
      <c r="D8" t="str">
        <v>spork short</v>
      </c>
      <c r="E8" s="68"/>
      <c r="F8" t="str">
        <v>First Aid Group</v>
      </c>
      <c r="G8" s="68" t="s">
        <v>182</v>
      </c>
      <c r="H8" t="str">
        <v>hiking boots</v>
      </c>
    </row>
    <row r="9" spans="1:8" x14ac:dyDescent="0.25">
      <c r="A9" s="68" t="s">
        <v>182</v>
      </c>
      <c r="B9" t="str">
        <v>Spreader Bars 28"</v>
      </c>
      <c r="C9" s="68" t="s">
        <v>182</v>
      </c>
      <c r="D9" t="str">
        <v>spoon long</v>
      </c>
      <c r="E9" s="68" t="s">
        <v>182</v>
      </c>
      <c r="F9" t="str">
        <v>First aid kit</v>
      </c>
      <c r="G9" s="68" t="s">
        <v>182</v>
      </c>
      <c r="H9" t="str">
        <v>liner socks</v>
      </c>
    </row>
    <row r="10" spans="1:8" x14ac:dyDescent="0.25">
      <c r="A10" s="68" t="s">
        <v>182</v>
      </c>
      <c r="B10" t="str">
        <v>Tree straps spider poly</v>
      </c>
      <c r="C10" s="68" t="s">
        <v>182</v>
      </c>
      <c r="D10" t="str">
        <v>3 liter bladder</v>
      </c>
      <c r="E10" s="68"/>
      <c r="F10" t="str">
        <v xml:space="preserve"> </v>
      </c>
      <c r="G10" s="68" t="s">
        <v>182</v>
      </c>
      <c r="H10" t="str">
        <v>wool socks</v>
      </c>
    </row>
    <row r="11" spans="1:8" x14ac:dyDescent="0.25">
      <c r="A11" s="68" t="s">
        <v>182</v>
      </c>
      <c r="B11" t="str">
        <v>UCR</v>
      </c>
      <c r="C11" s="68" t="s">
        <v>182</v>
      </c>
      <c r="D11" t="str">
        <v>water bottles collapsable</v>
      </c>
      <c r="E11" s="68"/>
      <c r="F11" t="str">
        <v>Repair Group</v>
      </c>
      <c r="G11" s="68" t="s">
        <v>182</v>
      </c>
      <c r="H11" t="str">
        <v>gators</v>
      </c>
    </row>
    <row r="12" spans="1:8" x14ac:dyDescent="0.25">
      <c r="A12" s="68" t="s">
        <v>182</v>
      </c>
      <c r="B12" t="str">
        <v>Tarp Forest green &amp; lines</v>
      </c>
      <c r="C12" s="68" t="s">
        <v>182</v>
      </c>
      <c r="D12" t="str">
        <v>smart water bottles</v>
      </c>
      <c r="E12" s="68" t="s">
        <v>182</v>
      </c>
      <c r="F12" t="str">
        <v>Tenacious tape</v>
      </c>
      <c r="G12" s="68" t="s">
        <v>182</v>
      </c>
      <c r="H12" t="str">
        <v>tech shirt</v>
      </c>
    </row>
    <row r="13" spans="1:8" x14ac:dyDescent="0.25">
      <c r="A13" s="68" t="s">
        <v>182</v>
      </c>
      <c r="B13" t="str">
        <v>stakes AL red</v>
      </c>
      <c r="C13" s="68" t="s">
        <v>182</v>
      </c>
      <c r="D13" t="str">
        <v>Water Filter Kit</v>
      </c>
      <c r="E13" s="68" t="s">
        <v>182</v>
      </c>
      <c r="F13" t="str">
        <v>Duct tape on trekking poles</v>
      </c>
      <c r="G13" s="68" t="s">
        <v>182</v>
      </c>
      <c r="H13" t="str">
        <v>underwear</v>
      </c>
    </row>
    <row r="14" spans="1:8" x14ac:dyDescent="0.25">
      <c r="A14" s="68" t="s">
        <v>182</v>
      </c>
      <c r="B14" t="str">
        <v>Tyvek 4x3</v>
      </c>
      <c r="C14" s="68" t="s">
        <v>182</v>
      </c>
      <c r="D14" t="str">
        <v xml:space="preserve">  --Filter  (New: Versa Filter)</v>
      </c>
      <c r="E14" s="68" t="s">
        <v>182</v>
      </c>
      <c r="F14" t="str">
        <v>extra buckle</v>
      </c>
      <c r="G14" s="68" t="s">
        <v>182</v>
      </c>
      <c r="H14" t="str">
        <v>Kilt / Zip-offs</v>
      </c>
    </row>
    <row r="15" spans="1:8" x14ac:dyDescent="0.25">
      <c r="A15" s="68" t="s">
        <v>182</v>
      </c>
      <c r="B15" t="str">
        <v>Mylar blanket</v>
      </c>
      <c r="C15" s="68" t="s">
        <v>182</v>
      </c>
      <c r="D15" t="str">
        <v xml:space="preserve">   --CNOC 3 liter</v>
      </c>
      <c r="E15" s="68"/>
      <c r="F15" t="str">
        <v xml:space="preserve"> </v>
      </c>
      <c r="G15" s="68" t="s">
        <v>182</v>
      </c>
      <c r="H15" t="str">
        <v>runners cap</v>
      </c>
    </row>
    <row r="16" spans="1:8" x14ac:dyDescent="0.25">
      <c r="B16">
        <v>0</v>
      </c>
      <c r="C16" s="68" t="s">
        <v>182</v>
      </c>
      <c r="D16" t="str">
        <v xml:space="preserve">  --tubing</v>
      </c>
      <c r="E16" s="68"/>
      <c r="F16" t="str">
        <v>Misc Group</v>
      </c>
      <c r="G16" s="68" t="s">
        <v>182</v>
      </c>
      <c r="H16" t="str">
        <v>pocket knife</v>
      </c>
    </row>
    <row r="17" spans="1:8" x14ac:dyDescent="0.25">
      <c r="B17" t="str">
        <v>Sleeping Group</v>
      </c>
      <c r="C17" s="68" t="s">
        <v>182</v>
      </c>
      <c r="D17" t="str">
        <v xml:space="preserve">  --sawyer squeze</v>
      </c>
      <c r="E17" s="68" t="s">
        <v>182</v>
      </c>
      <c r="F17" t="str">
        <v>phone battery 4,000mAh</v>
      </c>
      <c r="G17" s="68" t="s">
        <v>182</v>
      </c>
      <c r="H17" t="str">
        <v>lip balm</v>
      </c>
    </row>
    <row r="18" spans="1:8" x14ac:dyDescent="0.25">
      <c r="A18" s="68" t="s">
        <v>182</v>
      </c>
      <c r="B18" t="str">
        <v>15° sleeping bag - Katahdin</v>
      </c>
      <c r="C18" s="68" t="s">
        <v>182</v>
      </c>
      <c r="D18" t="str">
        <v xml:space="preserve">  --bleach/polar pure/ tablets</v>
      </c>
      <c r="E18" s="68" t="s">
        <v>182</v>
      </c>
      <c r="F18" t="str">
        <v>Camp chair - heavy</v>
      </c>
      <c r="G18" s="68" t="s">
        <v>182</v>
      </c>
      <c r="H18" t="str">
        <v>phone (in zip-loc)</v>
      </c>
    </row>
    <row r="19" spans="1:8" x14ac:dyDescent="0.25">
      <c r="A19" s="68" t="s">
        <v>182</v>
      </c>
      <c r="B19" t="str">
        <v>sleeping bag liner blue</v>
      </c>
      <c r="C19" s="68" t="s">
        <v>182</v>
      </c>
      <c r="D19" t="str">
        <v>food bag Blue</v>
      </c>
      <c r="E19" s="68" t="s">
        <v>182</v>
      </c>
      <c r="F19" t="str">
        <v>hammock chair (green)</v>
      </c>
      <c r="G19" s="68" t="s">
        <v>182</v>
      </c>
      <c r="H19" t="str">
        <v>license / money / credit card</v>
      </c>
    </row>
    <row r="20" spans="1:8" x14ac:dyDescent="0.25">
      <c r="A20" s="68" t="s">
        <v>182</v>
      </c>
      <c r="B20" t="str">
        <v>pillow black (Outdoor Vitals)</v>
      </c>
      <c r="C20" s="68" t="s">
        <v>182</v>
      </c>
      <c r="D20" t="str">
        <v>bear bag and rope</v>
      </c>
      <c r="E20" s="68" t="s">
        <v>182</v>
      </c>
      <c r="F20" t="str">
        <v>head lamp</v>
      </c>
      <c r="G20" s="68" t="s">
        <v>182</v>
      </c>
      <c r="H20" t="str">
        <v>bandana</v>
      </c>
    </row>
    <row r="21" spans="1:8" x14ac:dyDescent="0.25">
      <c r="A21" s="68" t="s">
        <v>182</v>
      </c>
      <c r="B21" t="str">
        <v>Under Quilt Blue 5.0 Climashield</v>
      </c>
      <c r="C21" s="68" t="s">
        <v>182</v>
      </c>
      <c r="D21" t="str">
        <v>red bandana</v>
      </c>
      <c r="E21" s="68" t="s">
        <v>182</v>
      </c>
      <c r="F21" t="str">
        <v>spare batteries 3 AAA</v>
      </c>
      <c r="G21" s="68" t="s">
        <v>182</v>
      </c>
      <c r="H21" t="str">
        <v>belt</v>
      </c>
    </row>
    <row r="22" spans="1:8" x14ac:dyDescent="0.25">
      <c r="A22" s="68" t="s">
        <v>182</v>
      </c>
      <c r="B22" t="str">
        <v xml:space="preserve"> </v>
      </c>
      <c r="C22" s="68"/>
      <c r="D22" t="str">
        <v xml:space="preserve"> </v>
      </c>
      <c r="E22" s="68" t="s">
        <v>182</v>
      </c>
      <c r="F22" t="str">
        <v>rope pieces</v>
      </c>
      <c r="G22" s="68" t="s">
        <v>182</v>
      </c>
      <c r="H22" t="str">
        <v>suspenders</v>
      </c>
    </row>
    <row r="23" spans="1:8" x14ac:dyDescent="0.25">
      <c r="A23" s="68"/>
      <c r="B23" t="str">
        <v>Sleeping Clothes Group</v>
      </c>
      <c r="C23" s="68"/>
      <c r="D23" t="str">
        <v>Hygiene Group</v>
      </c>
      <c r="E23" s="68" t="s">
        <v>182</v>
      </c>
      <c r="F23" t="str">
        <v>eye glass case - soft</v>
      </c>
    </row>
    <row r="24" spans="1:8" x14ac:dyDescent="0.25">
      <c r="A24" s="68"/>
      <c r="B24" t="str">
        <v>Down booties</v>
      </c>
      <c r="C24" s="68" t="s">
        <v>182</v>
      </c>
      <c r="D24" t="str">
        <v>Bathroom kit</v>
      </c>
      <c r="E24" s="68" t="s">
        <v>182</v>
      </c>
      <c r="F24" t="str">
        <v>foam pad 12 x 18</v>
      </c>
    </row>
    <row r="25" spans="1:8" x14ac:dyDescent="0.25">
      <c r="A25" s="68" t="s">
        <v>182</v>
      </c>
      <c r="B25" t="str">
        <v>Fleece hat</v>
      </c>
      <c r="C25" s="68" t="s">
        <v>182</v>
      </c>
      <c r="D25" t="str">
        <v xml:space="preserve">  --TP</v>
      </c>
      <c r="E25" s="68"/>
      <c r="F25" t="str">
        <v xml:space="preserve"> </v>
      </c>
    </row>
    <row r="26" spans="1:8" x14ac:dyDescent="0.25">
      <c r="A26" s="68" t="s">
        <v>182</v>
      </c>
      <c r="B26" t="str">
        <v>long sleeve shirt</v>
      </c>
      <c r="C26" s="68" t="s">
        <v>182</v>
      </c>
      <c r="D26" t="str">
        <v xml:space="preserve">  --wet wipes</v>
      </c>
      <c r="E26" s="68"/>
      <c r="F26" t="str">
        <v>Clothing in Pack Group</v>
      </c>
    </row>
    <row r="27" spans="1:8" x14ac:dyDescent="0.25">
      <c r="A27" s="68" t="s">
        <v>182</v>
      </c>
      <c r="B27" t="str">
        <v>underwear</v>
      </c>
      <c r="C27" s="68" t="s">
        <v>182</v>
      </c>
      <c r="D27" t="str">
        <v xml:space="preserve">  -- hand sanitizer</v>
      </c>
      <c r="E27" s="68" t="s">
        <v>182</v>
      </c>
      <c r="F27" t="str">
        <v>puffy</v>
      </c>
    </row>
    <row r="28" spans="1:8" x14ac:dyDescent="0.25">
      <c r="A28" s="68" t="s">
        <v>182</v>
      </c>
      <c r="B28" t="str">
        <v>Wool socks</v>
      </c>
      <c r="C28" s="68" t="s">
        <v>182</v>
      </c>
      <c r="D28" t="str">
        <v xml:space="preserve">  --Gold Bond</v>
      </c>
      <c r="E28" s="68" t="s">
        <v>182</v>
      </c>
      <c r="F28" t="str">
        <v>gloves/mittens</v>
      </c>
    </row>
    <row r="29" spans="1:8" x14ac:dyDescent="0.25">
      <c r="A29" s="68" t="s">
        <v>182</v>
      </c>
      <c r="B29" t="str">
        <v>Liner socks</v>
      </c>
      <c r="C29" s="68" t="s">
        <v>182</v>
      </c>
      <c r="D29" t="str">
        <v>Shovel plastic</v>
      </c>
      <c r="E29" s="68" t="s">
        <v>182</v>
      </c>
      <c r="F29" t="str">
        <v>Liner socks</v>
      </c>
    </row>
    <row r="30" spans="1:8" x14ac:dyDescent="0.25">
      <c r="A30" s="68" t="s">
        <v>182</v>
      </c>
      <c r="B30" t="str">
        <v>running tights *</v>
      </c>
      <c r="C30" s="68" t="s">
        <v>182</v>
      </c>
      <c r="D30" t="str">
        <v>water jug botom</v>
      </c>
      <c r="E30" s="68" t="s">
        <v>182</v>
      </c>
      <c r="F30" t="str">
        <v>Wool socks</v>
      </c>
    </row>
    <row r="31" spans="1:8" x14ac:dyDescent="0.25">
      <c r="A31" s="68" t="s">
        <v>182</v>
      </c>
      <c r="B31" t="str">
        <v>camp shoes</v>
      </c>
      <c r="C31" s="68" t="s">
        <v>182</v>
      </c>
      <c r="D31" t="str">
        <v>tooth brush</v>
      </c>
      <c r="E31" s="68" t="s">
        <v>182</v>
      </c>
      <c r="F31" t="str">
        <v xml:space="preserve">long sleeve shirt </v>
      </c>
    </row>
    <row r="32" spans="1:8" x14ac:dyDescent="0.25">
      <c r="A32" s="68" t="s">
        <v>182</v>
      </c>
      <c r="B32" t="str">
        <v xml:space="preserve"> </v>
      </c>
      <c r="C32" s="68" t="s">
        <v>182</v>
      </c>
      <c r="D32" t="str">
        <v>tooth  dots / paste</v>
      </c>
      <c r="E32" s="68" t="s">
        <v>182</v>
      </c>
      <c r="F32" t="str">
        <v>underwear</v>
      </c>
    </row>
    <row r="33" spans="1:6" x14ac:dyDescent="0.25">
      <c r="B33" t="str">
        <v>Rain Gear Group</v>
      </c>
      <c r="C33" s="68" t="s">
        <v>182</v>
      </c>
      <c r="D33" t="str">
        <v>hand sanitizer on pack</v>
      </c>
      <c r="E33" s="68" t="s">
        <v>182</v>
      </c>
      <c r="F33" t="str">
        <v>shorts</v>
      </c>
    </row>
    <row r="34" spans="1:6" x14ac:dyDescent="0.25">
      <c r="A34" s="68"/>
      <c r="B34" t="str">
        <v>Rain jacket white/green</v>
      </c>
      <c r="D34" t="str">
        <v xml:space="preserve"> </v>
      </c>
      <c r="E34" s="68" t="s">
        <v>182</v>
      </c>
      <c r="F34" t="str">
        <v>zip-offs</v>
      </c>
    </row>
    <row r="35" spans="1:6" x14ac:dyDescent="0.25">
      <c r="A35" s="68" t="s">
        <v>182</v>
      </c>
      <c r="B35" t="str">
        <v>Rain pants blue FroggTog</v>
      </c>
      <c r="E35" s="68"/>
      <c r="F35" t="str">
        <v xml:space="preserve"> </v>
      </c>
    </row>
    <row r="36" spans="1:6" x14ac:dyDescent="0.25">
      <c r="A36" s="68" t="s">
        <v>182</v>
      </c>
      <c r="B36" t="str">
        <v xml:space="preserve"> </v>
      </c>
    </row>
  </sheetData>
  <conditionalFormatting sqref="A1:H15 B16:H18 A18 A19:H31 A32 B32:H33 A34:H44">
    <cfRule type="containsText" dxfId="3" priority="7" operator="containsText" text="Pounds">
      <formula>NOT(ISERROR(SEARCH("Pounds",A1)))</formula>
    </cfRule>
    <cfRule type="containsText" dxfId="2" priority="8" operator="containsText" text="Ounces">
      <formula>NOT(ISERROR(SEARCH("Ounces",A1)))</formula>
    </cfRule>
    <cfRule type="containsText" dxfId="1" priority="9" operator="containsText" text="Group">
      <formula>NOT(ISERROR(SEARCH("Group",A1)))</formula>
    </cfRule>
  </conditionalFormatting>
  <pageMargins left="0.45" right="0.45" top="0.5" bottom="0.2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20CA-B567-43D9-93C6-750379447115}">
  <sheetPr>
    <pageSetUpPr fitToPage="1"/>
  </sheetPr>
  <dimension ref="B1:J133"/>
  <sheetViews>
    <sheetView topLeftCell="A73" workbookViewId="0">
      <selection activeCell="E2" sqref="E2"/>
    </sheetView>
  </sheetViews>
  <sheetFormatPr defaultRowHeight="15" x14ac:dyDescent="0.25"/>
  <cols>
    <col min="1" max="1" width="4.28515625" customWidth="1"/>
    <col min="2" max="2" width="8.42578125" style="101" bestFit="1" customWidth="1"/>
    <col min="3" max="3" width="31.42578125" bestFit="1" customWidth="1"/>
    <col min="4" max="4" width="4.140625" style="109" customWidth="1"/>
    <col min="5" max="5" width="6.85546875" style="106" customWidth="1"/>
    <col min="6" max="6" width="8.42578125" customWidth="1"/>
    <col min="7" max="7" width="8.42578125" style="9" customWidth="1"/>
  </cols>
  <sheetData>
    <row r="1" spans="2:10" x14ac:dyDescent="0.25">
      <c r="B1" s="100" t="str" cm="1">
        <f t="array" ref="B1:E127">_xlfn._xlws.FILTER(_xlfn.CHOOSECOLS( 'New Gear Checklist'!D1:I207,1,2,5,6),"x"='New Gear Checklist'!B1:B207)</f>
        <v>ounces</v>
      </c>
      <c r="C1" t="str">
        <v>Pack Group</v>
      </c>
      <c r="D1" s="108" t="str">
        <v>lb</v>
      </c>
      <c r="E1" s="105" t="str">
        <v>oz</v>
      </c>
      <c r="F1" s="2"/>
      <c r="G1" s="98"/>
      <c r="H1" s="85"/>
      <c r="I1" s="85"/>
      <c r="J1" s="85"/>
    </row>
    <row r="2" spans="2:10" x14ac:dyDescent="0.25">
      <c r="B2" s="101">
        <v>45.50344803259317</v>
      </c>
      <c r="C2" t="str">
        <v>Blue Pack</v>
      </c>
      <c r="D2" s="109">
        <v>2</v>
      </c>
      <c r="E2" s="106">
        <v>13.50344803259317</v>
      </c>
      <c r="I2" s="86"/>
      <c r="J2" s="84"/>
    </row>
    <row r="3" spans="2:10" x14ac:dyDescent="0.25">
      <c r="B3" s="101">
        <v>0.95239774951939193</v>
      </c>
      <c r="C3" t="str">
        <v>Pack hip pockets</v>
      </c>
      <c r="D3" s="109">
        <v>0</v>
      </c>
      <c r="E3" s="106">
        <v>0.95239774951939193</v>
      </c>
      <c r="I3" s="86"/>
      <c r="J3" s="84"/>
    </row>
    <row r="4" spans="2:10" x14ac:dyDescent="0.25">
      <c r="B4" s="101">
        <v>5.0441806733804828</v>
      </c>
      <c r="C4" t="str">
        <v>Pack Liner/Garbage bag</v>
      </c>
      <c r="D4" s="109">
        <v>0</v>
      </c>
      <c r="E4" s="106">
        <v>5.0441806733804828</v>
      </c>
      <c r="I4" s="86"/>
      <c r="J4" s="84"/>
    </row>
    <row r="5" spans="2:10" x14ac:dyDescent="0.25">
      <c r="B5" s="101">
        <v>5.1500026455493044</v>
      </c>
      <c r="C5" t="str">
        <v>Orange Pack Cover</v>
      </c>
      <c r="D5" s="109">
        <v>0</v>
      </c>
      <c r="E5" s="106">
        <v>5.1500026455493044</v>
      </c>
      <c r="I5" s="86"/>
      <c r="J5" s="84"/>
    </row>
    <row r="6" spans="2:10" x14ac:dyDescent="0.25">
      <c r="B6" s="101">
        <v>56.65002910104235</v>
      </c>
      <c r="C6" t="str">
        <v xml:space="preserve"> </v>
      </c>
      <c r="D6" s="109">
        <v>3</v>
      </c>
      <c r="E6" s="106">
        <v>8.6500291010423496</v>
      </c>
      <c r="H6" s="9"/>
      <c r="I6" s="86"/>
      <c r="J6" s="84"/>
    </row>
    <row r="7" spans="2:10" x14ac:dyDescent="0.25">
      <c r="B7" s="101" t="str">
        <v/>
      </c>
      <c r="C7" t="str">
        <v>Shelter Group</v>
      </c>
      <c r="D7" s="109" t="str">
        <v/>
      </c>
      <c r="E7" s="106" t="str">
        <v/>
      </c>
      <c r="I7" s="86"/>
    </row>
    <row r="8" spans="2:10" x14ac:dyDescent="0.25">
      <c r="B8" s="101">
        <v>8.2188398384451222</v>
      </c>
      <c r="C8" t="str">
        <v>Bridge Hammock; 1.2 Hexon Olive</v>
      </c>
      <c r="D8" s="109">
        <v>0</v>
      </c>
      <c r="E8" s="106">
        <v>8.2188398384451222</v>
      </c>
      <c r="I8" s="86"/>
      <c r="J8" s="84"/>
    </row>
    <row r="9" spans="2:10" x14ac:dyDescent="0.25">
      <c r="B9" s="101">
        <v>7.3017160796486715</v>
      </c>
      <c r="C9" t="str">
        <v>Spreader Bars 28"</v>
      </c>
      <c r="D9" s="109">
        <v>0</v>
      </c>
      <c r="E9" s="106">
        <v>7.3017160796486715</v>
      </c>
      <c r="I9" s="86"/>
      <c r="J9" s="84"/>
    </row>
    <row r="10" spans="2:10" x14ac:dyDescent="0.25">
      <c r="B10" s="101">
        <v>2.8924672392811162</v>
      </c>
      <c r="C10" t="str">
        <v>Tree straps spider poly</v>
      </c>
      <c r="D10" s="109">
        <v>0</v>
      </c>
      <c r="E10" s="106">
        <v>2.8924672392811162</v>
      </c>
      <c r="I10" s="86"/>
      <c r="J10" s="84"/>
    </row>
    <row r="11" spans="2:10" x14ac:dyDescent="0.25">
      <c r="B11" s="101">
        <v>1.4109596289176176</v>
      </c>
      <c r="C11" t="str">
        <v>UCR</v>
      </c>
      <c r="D11" s="109">
        <v>0</v>
      </c>
      <c r="E11" s="106">
        <v>1.4109596289176176</v>
      </c>
      <c r="I11" s="86"/>
      <c r="J11" s="84"/>
    </row>
    <row r="12" spans="2:10" x14ac:dyDescent="0.25">
      <c r="B12" s="101">
        <v>16.71987160267377</v>
      </c>
      <c r="C12" t="str">
        <v>Tarp Forest green &amp; lines</v>
      </c>
      <c r="D12" s="109">
        <v>1</v>
      </c>
      <c r="E12" s="106">
        <v>0.71987160267376993</v>
      </c>
      <c r="I12" s="86"/>
      <c r="J12" s="84"/>
    </row>
    <row r="13" spans="2:10" x14ac:dyDescent="0.25">
      <c r="B13" s="101">
        <v>2.8219192578352352</v>
      </c>
      <c r="C13" t="str">
        <v>stakes AL red</v>
      </c>
      <c r="D13" s="109">
        <v>0</v>
      </c>
      <c r="E13" s="106">
        <v>2.8219192578352352</v>
      </c>
      <c r="I13" s="86"/>
      <c r="J13" s="84"/>
    </row>
    <row r="14" spans="2:10" x14ac:dyDescent="0.25">
      <c r="B14" s="101">
        <v>2.5044533413287713</v>
      </c>
      <c r="C14" t="str">
        <v>Tyvek 4x3</v>
      </c>
      <c r="D14" s="109">
        <v>0</v>
      </c>
      <c r="E14" s="106">
        <v>2.5044533413287713</v>
      </c>
      <c r="I14" s="86"/>
      <c r="J14" s="84"/>
    </row>
    <row r="15" spans="2:10" x14ac:dyDescent="0.25">
      <c r="B15" s="101">
        <v>1.3756856381946772</v>
      </c>
      <c r="C15" t="str">
        <v>Mylar blanket</v>
      </c>
      <c r="D15" s="109">
        <v>0</v>
      </c>
      <c r="E15" s="106">
        <v>1.3756856381946772</v>
      </c>
      <c r="I15" s="86"/>
      <c r="J15" s="84"/>
    </row>
    <row r="16" spans="2:10" x14ac:dyDescent="0.25">
      <c r="B16" s="101">
        <v>37.108238240533346</v>
      </c>
      <c r="C16">
        <v>0</v>
      </c>
      <c r="D16" s="109">
        <v>2</v>
      </c>
      <c r="E16" s="106">
        <v>5.1082382405333462</v>
      </c>
      <c r="H16" s="9"/>
      <c r="I16" s="86"/>
      <c r="J16" s="84"/>
    </row>
    <row r="17" spans="2:10" x14ac:dyDescent="0.25">
      <c r="B17" s="101" t="str">
        <v/>
      </c>
      <c r="C17" t="str">
        <v>Sleeping Group</v>
      </c>
      <c r="D17" s="109" t="str">
        <v/>
      </c>
      <c r="E17" s="106" t="str">
        <v/>
      </c>
      <c r="I17" s="86"/>
    </row>
    <row r="18" spans="2:10" x14ac:dyDescent="0.25">
      <c r="B18" s="101">
        <v>44.797968218134358</v>
      </c>
      <c r="C18" t="str">
        <v>15° sleeping bag - Katahdin</v>
      </c>
      <c r="D18" s="109">
        <v>2</v>
      </c>
      <c r="E18" s="106">
        <v>12.797968218134358</v>
      </c>
      <c r="I18" s="86"/>
      <c r="J18" s="84"/>
    </row>
    <row r="19" spans="2:10" x14ac:dyDescent="0.25">
      <c r="B19" s="101">
        <v>6.2082223672375179</v>
      </c>
      <c r="C19" t="str">
        <v>sleeping bag liner blue</v>
      </c>
      <c r="D19" s="109">
        <v>0</v>
      </c>
      <c r="E19" s="106">
        <v>6.2082223672375179</v>
      </c>
      <c r="I19" s="86"/>
      <c r="J19" s="84"/>
    </row>
    <row r="20" spans="2:10" x14ac:dyDescent="0.25">
      <c r="B20" s="101">
        <v>3.1746591650646399</v>
      </c>
      <c r="C20" t="str">
        <v>pillow black (Outdoor Vitals)</v>
      </c>
      <c r="D20" s="109">
        <v>0</v>
      </c>
      <c r="E20" s="106">
        <v>3.1746591650646399</v>
      </c>
      <c r="I20" s="86"/>
      <c r="J20" s="84"/>
    </row>
    <row r="21" spans="2:10" x14ac:dyDescent="0.25">
      <c r="B21" s="101">
        <v>31.676043669200517</v>
      </c>
      <c r="C21" t="str">
        <v>Under Quilt Blue 5.0 Climashield</v>
      </c>
      <c r="D21" s="109">
        <v>1</v>
      </c>
      <c r="E21" s="106">
        <v>15.676043669200517</v>
      </c>
      <c r="I21" s="86"/>
      <c r="J21" s="84"/>
    </row>
    <row r="22" spans="2:10" x14ac:dyDescent="0.25">
      <c r="B22" s="101">
        <v>85.856893419637032</v>
      </c>
      <c r="C22" t="str">
        <v xml:space="preserve"> </v>
      </c>
      <c r="D22" s="109">
        <v>5</v>
      </c>
      <c r="E22" s="106">
        <v>5.8568934196370321</v>
      </c>
      <c r="H22" s="9"/>
      <c r="I22" s="86"/>
      <c r="J22" s="84"/>
    </row>
    <row r="23" spans="2:10" x14ac:dyDescent="0.25">
      <c r="B23" s="101" t="str">
        <v/>
      </c>
      <c r="C23" t="str">
        <v>Sleeping Clothes Group</v>
      </c>
      <c r="D23" s="109" t="str">
        <v/>
      </c>
      <c r="E23" s="106" t="str">
        <v/>
      </c>
      <c r="I23" s="86"/>
    </row>
    <row r="24" spans="2:10" x14ac:dyDescent="0.25">
      <c r="B24" s="101">
        <v>2.9630152207269971</v>
      </c>
      <c r="C24" t="str">
        <v>Down booties</v>
      </c>
      <c r="D24" s="109">
        <v>0</v>
      </c>
      <c r="E24" s="106">
        <v>2.9630152207269971</v>
      </c>
      <c r="I24" s="86"/>
      <c r="J24" s="84"/>
    </row>
    <row r="25" spans="2:10" x14ac:dyDescent="0.25">
      <c r="B25" s="101">
        <v>3.280481137233461</v>
      </c>
      <c r="C25" t="str">
        <v>Fleece hat</v>
      </c>
      <c r="D25" s="109">
        <v>0</v>
      </c>
      <c r="E25" s="106">
        <v>3.280481137233461</v>
      </c>
      <c r="I25" s="86"/>
      <c r="J25" s="84"/>
    </row>
    <row r="26" spans="2:10" x14ac:dyDescent="0.25">
      <c r="B26" s="101">
        <v>5.2205506269951849</v>
      </c>
      <c r="C26" t="str">
        <v>long sleeve shirt</v>
      </c>
      <c r="D26" s="109">
        <v>0</v>
      </c>
      <c r="E26" s="106">
        <v>5.2205506269951849</v>
      </c>
      <c r="I26" s="86"/>
      <c r="J26" s="84"/>
    </row>
    <row r="27" spans="2:10" x14ac:dyDescent="0.25">
      <c r="B27" s="101">
        <v>2.6808232949434734</v>
      </c>
      <c r="C27" t="str">
        <v>underwear</v>
      </c>
      <c r="D27" s="109">
        <v>0</v>
      </c>
      <c r="E27" s="106">
        <v>2.6808232949434734</v>
      </c>
      <c r="I27" s="86"/>
      <c r="J27" s="84"/>
    </row>
    <row r="28" spans="2:10" x14ac:dyDescent="0.25">
      <c r="B28" s="101">
        <v>5.8554824600081128</v>
      </c>
      <c r="C28" t="str">
        <v>Wool socks</v>
      </c>
      <c r="D28" s="109">
        <v>0</v>
      </c>
      <c r="E28" s="106">
        <v>5.8554824600081128</v>
      </c>
      <c r="I28" s="86"/>
      <c r="J28" s="84"/>
    </row>
    <row r="29" spans="2:10" x14ac:dyDescent="0.25">
      <c r="B29" s="101">
        <v>1.6578775639782006</v>
      </c>
      <c r="C29" t="str">
        <v>Liner socks</v>
      </c>
      <c r="D29" s="109">
        <v>0</v>
      </c>
      <c r="E29" s="106">
        <v>1.6578775639782006</v>
      </c>
      <c r="I29" s="86"/>
      <c r="J29" s="84"/>
    </row>
    <row r="30" spans="2:10" x14ac:dyDescent="0.25">
      <c r="B30" s="101">
        <v>6.6315102559128025</v>
      </c>
      <c r="C30" t="str">
        <v>running tights *</v>
      </c>
      <c r="D30" s="109">
        <v>0</v>
      </c>
      <c r="E30" s="106">
        <v>6.6315102559128025</v>
      </c>
      <c r="I30" s="86"/>
      <c r="J30" s="84"/>
    </row>
    <row r="31" spans="2:10" x14ac:dyDescent="0.25">
      <c r="B31" s="101">
        <v>13.580486428332069</v>
      </c>
      <c r="C31" t="str">
        <v>camp shoes</v>
      </c>
      <c r="D31" s="109">
        <v>0</v>
      </c>
      <c r="E31" s="106">
        <v>13.580486428332069</v>
      </c>
      <c r="I31" s="86"/>
      <c r="J31" s="84"/>
    </row>
    <row r="32" spans="2:10" x14ac:dyDescent="0.25">
      <c r="B32" s="101">
        <v>41.870226988130305</v>
      </c>
      <c r="C32" t="str">
        <v xml:space="preserve"> </v>
      </c>
      <c r="D32" s="109">
        <v>2</v>
      </c>
      <c r="E32" s="106">
        <v>9.8702269881303053</v>
      </c>
      <c r="H32" s="9"/>
      <c r="I32" s="86"/>
      <c r="J32" s="84"/>
    </row>
    <row r="33" spans="2:10" x14ac:dyDescent="0.25">
      <c r="B33" s="101" t="str">
        <v/>
      </c>
      <c r="C33" t="str">
        <v>Rain Gear Group</v>
      </c>
      <c r="D33" s="109" t="str">
        <v/>
      </c>
      <c r="E33" s="106" t="str">
        <v/>
      </c>
      <c r="I33" s="86"/>
    </row>
    <row r="34" spans="2:10" x14ac:dyDescent="0.25">
      <c r="B34" s="101">
        <v>8.6068537363974684</v>
      </c>
      <c r="C34" t="str">
        <v>Rain jacket white/green</v>
      </c>
      <c r="D34" s="109">
        <v>0</v>
      </c>
      <c r="E34" s="106">
        <v>8.6068537363974684</v>
      </c>
      <c r="I34" s="86"/>
      <c r="J34" s="84"/>
    </row>
    <row r="35" spans="2:10" x14ac:dyDescent="0.25">
      <c r="B35" s="101">
        <v>4.5503448032593168</v>
      </c>
      <c r="C35" t="str">
        <v>Rain pants blue FroggTog</v>
      </c>
      <c r="D35" s="109">
        <v>0</v>
      </c>
      <c r="E35" s="106">
        <v>4.5503448032593168</v>
      </c>
      <c r="I35" s="86"/>
      <c r="J35" s="84"/>
    </row>
    <row r="36" spans="2:10" x14ac:dyDescent="0.25">
      <c r="B36" s="101">
        <v>13.157198539656784</v>
      </c>
      <c r="C36" t="str">
        <v xml:space="preserve"> </v>
      </c>
      <c r="D36" s="109">
        <v>0</v>
      </c>
      <c r="E36" s="106">
        <v>13.157198539656784</v>
      </c>
      <c r="H36" s="9"/>
      <c r="I36" s="86"/>
      <c r="J36" s="84"/>
    </row>
    <row r="37" spans="2:10" x14ac:dyDescent="0.25">
      <c r="B37" s="101" t="str">
        <v/>
      </c>
      <c r="C37" t="str">
        <v>Kitchen Group</v>
      </c>
      <c r="D37" s="109" t="str">
        <v/>
      </c>
      <c r="E37" s="106" t="str">
        <v/>
      </c>
      <c r="I37" s="86"/>
    </row>
    <row r="38" spans="2:10" x14ac:dyDescent="0.25">
      <c r="B38" s="101">
        <v>2.7513712763893543</v>
      </c>
      <c r="C38" t="str">
        <v>pot .7 gt cup &amp; windscreen</v>
      </c>
      <c r="D38" s="109">
        <v>0</v>
      </c>
      <c r="E38" s="106">
        <v>2.7513712763893543</v>
      </c>
      <c r="I38" s="86"/>
      <c r="J38" s="84"/>
    </row>
    <row r="39" spans="2:10" x14ac:dyDescent="0.25">
      <c r="B39" s="101">
        <v>3.8801389795234487</v>
      </c>
      <c r="C39" t="str">
        <v>IsoPro Stove w/ ignitor</v>
      </c>
      <c r="D39" s="109">
        <v>0</v>
      </c>
      <c r="E39" s="106">
        <v>3.8801389795234487</v>
      </c>
      <c r="I39" s="86"/>
      <c r="J39" s="84"/>
    </row>
    <row r="40" spans="2:10" x14ac:dyDescent="0.25">
      <c r="B40" s="101">
        <v>8.0071958941074808</v>
      </c>
      <c r="C40" t="str">
        <v>IsoPro canister 8oz</v>
      </c>
      <c r="D40" s="109">
        <v>0</v>
      </c>
      <c r="E40" s="106">
        <v>8.0071958941074808</v>
      </c>
      <c r="I40" s="86"/>
      <c r="J40" s="84"/>
    </row>
    <row r="41" spans="2:10" x14ac:dyDescent="0.25">
      <c r="B41" s="101">
        <v>0.95239774951939193</v>
      </c>
      <c r="C41" t="str">
        <v>IsoPro canister stand</v>
      </c>
      <c r="D41" s="109">
        <v>0</v>
      </c>
      <c r="E41" s="106">
        <v>0.95239774951939193</v>
      </c>
      <c r="I41" s="86"/>
      <c r="J41" s="84"/>
    </row>
    <row r="42" spans="2:10" x14ac:dyDescent="0.25">
      <c r="B42" s="101">
        <v>0.91712375879645147</v>
      </c>
      <c r="C42" t="str">
        <v>cozy for freezer bag meals</v>
      </c>
      <c r="D42" s="109">
        <v>0</v>
      </c>
      <c r="E42" s="106">
        <v>0.91712375879645147</v>
      </c>
      <c r="I42" s="86"/>
      <c r="J42" s="84"/>
    </row>
    <row r="43" spans="2:10" x14ac:dyDescent="0.25">
      <c r="B43" s="101">
        <v>1.0582197216882132</v>
      </c>
      <c r="C43" t="str">
        <v>lighter</v>
      </c>
      <c r="D43" s="109">
        <v>0</v>
      </c>
      <c r="E43" s="106">
        <v>1.0582197216882132</v>
      </c>
      <c r="I43" s="86"/>
      <c r="J43" s="84"/>
    </row>
    <row r="44" spans="2:10" x14ac:dyDescent="0.25">
      <c r="B44" s="101">
        <v>0.3527399072294044</v>
      </c>
      <c r="C44" t="str">
        <v>spork short</v>
      </c>
      <c r="D44" s="109">
        <v>0</v>
      </c>
      <c r="E44" s="106">
        <v>0.3527399072294044</v>
      </c>
      <c r="I44" s="86"/>
      <c r="J44" s="84"/>
    </row>
    <row r="45" spans="2:10" x14ac:dyDescent="0.25">
      <c r="B45" s="101">
        <v>0.3527399072294044</v>
      </c>
      <c r="C45" t="str">
        <v>spoon long</v>
      </c>
      <c r="D45" s="109">
        <v>0</v>
      </c>
      <c r="E45" s="106">
        <v>0.3527399072294044</v>
      </c>
      <c r="I45" s="86"/>
      <c r="J45" s="84"/>
    </row>
    <row r="46" spans="2:10" x14ac:dyDescent="0.25">
      <c r="B46" s="101">
        <v>7.372264061094552</v>
      </c>
      <c r="C46" t="str">
        <v>3 liter bladder</v>
      </c>
      <c r="D46" s="109">
        <v>0</v>
      </c>
      <c r="E46" s="106">
        <v>7.372264061094552</v>
      </c>
      <c r="I46" s="86"/>
      <c r="J46" s="84"/>
    </row>
    <row r="47" spans="2:10" x14ac:dyDescent="0.25">
      <c r="B47" s="101">
        <v>1.2345896753029155</v>
      </c>
      <c r="C47" t="str">
        <v>water bottles collapsable</v>
      </c>
      <c r="D47" s="109">
        <v>0</v>
      </c>
      <c r="E47" s="106">
        <v>1.2345896753029155</v>
      </c>
      <c r="I47" s="86"/>
      <c r="J47" s="84"/>
    </row>
    <row r="48" spans="2:10" x14ac:dyDescent="0.25">
      <c r="B48" s="101">
        <v>1.0582197216882132</v>
      </c>
      <c r="C48" t="str">
        <v>smart water bottles</v>
      </c>
      <c r="D48" s="109">
        <v>0</v>
      </c>
      <c r="E48" s="106">
        <v>1.0582197216882132</v>
      </c>
      <c r="I48" s="86"/>
      <c r="J48" s="84"/>
    </row>
    <row r="49" spans="2:10" x14ac:dyDescent="0.25">
      <c r="B49" s="101">
        <v>10.088361346760966</v>
      </c>
      <c r="C49" t="str">
        <v>Water Filter Kit</v>
      </c>
      <c r="D49" s="109">
        <v>0</v>
      </c>
      <c r="E49" s="106">
        <v>10.088361346760966</v>
      </c>
      <c r="I49" s="86"/>
      <c r="J49" s="84"/>
    </row>
    <row r="50" spans="2:10" x14ac:dyDescent="0.25">
      <c r="B50" s="101" t="str">
        <v/>
      </c>
      <c r="C50" t="str">
        <v xml:space="preserve">  --Filter  (New: Versa Filter)</v>
      </c>
      <c r="D50" s="109" t="str">
        <v/>
      </c>
      <c r="E50" s="106" t="str">
        <v/>
      </c>
      <c r="I50" s="86"/>
      <c r="J50" s="84"/>
    </row>
    <row r="51" spans="2:10" x14ac:dyDescent="0.25">
      <c r="B51" s="101" t="str">
        <v/>
      </c>
      <c r="C51" t="str">
        <v xml:space="preserve">   --CNOC 3 liter</v>
      </c>
      <c r="D51" s="109" t="str">
        <v/>
      </c>
      <c r="E51" s="106" t="str">
        <v/>
      </c>
      <c r="I51" s="86"/>
      <c r="J51" s="84"/>
    </row>
    <row r="52" spans="2:10" x14ac:dyDescent="0.25">
      <c r="B52" s="101" t="str">
        <v/>
      </c>
      <c r="C52" t="str">
        <v xml:space="preserve">  --tubing</v>
      </c>
      <c r="D52" s="109" t="str">
        <v/>
      </c>
      <c r="E52" s="106" t="str">
        <v/>
      </c>
      <c r="I52" s="86"/>
      <c r="J52" s="84"/>
    </row>
    <row r="53" spans="2:10" x14ac:dyDescent="0.25">
      <c r="B53" s="101" t="str">
        <v/>
      </c>
      <c r="C53" t="str">
        <v xml:space="preserve">  --sawyer squeze</v>
      </c>
      <c r="D53" s="109" t="str">
        <v/>
      </c>
      <c r="E53" s="106" t="str">
        <v/>
      </c>
      <c r="I53" s="86"/>
      <c r="J53" s="84"/>
    </row>
    <row r="54" spans="2:10" x14ac:dyDescent="0.25">
      <c r="B54" s="101" t="str">
        <v/>
      </c>
      <c r="C54" t="str">
        <v xml:space="preserve">  --bleach/polar pure/ tablets</v>
      </c>
      <c r="D54" s="109" t="str">
        <v/>
      </c>
      <c r="E54" s="106" t="str">
        <v/>
      </c>
      <c r="I54" s="86"/>
      <c r="J54" s="84"/>
    </row>
    <row r="55" spans="2:10" x14ac:dyDescent="0.25">
      <c r="B55" s="101">
        <v>1.4462336196405581</v>
      </c>
      <c r="C55" t="str">
        <v>food bag Blue</v>
      </c>
      <c r="D55" s="109">
        <v>0</v>
      </c>
      <c r="E55" s="106">
        <v>1.4462336196405581</v>
      </c>
      <c r="I55" s="86"/>
      <c r="J55" s="84"/>
    </row>
    <row r="56" spans="2:10" x14ac:dyDescent="0.25">
      <c r="B56" s="101">
        <v>1.1287677031340941</v>
      </c>
      <c r="C56" t="str">
        <v>bear bag and rope</v>
      </c>
      <c r="D56" s="109">
        <v>0</v>
      </c>
      <c r="E56" s="106">
        <v>1.1287677031340941</v>
      </c>
      <c r="I56" s="86"/>
      <c r="J56" s="84"/>
    </row>
    <row r="57" spans="2:10" x14ac:dyDescent="0.25">
      <c r="B57" s="101">
        <v>0.74075380518174927</v>
      </c>
      <c r="C57" t="str">
        <v>red bandana</v>
      </c>
      <c r="D57" s="109">
        <v>0</v>
      </c>
      <c r="E57" s="106">
        <v>0.74075380518174927</v>
      </c>
      <c r="I57" s="86"/>
      <c r="J57" s="84"/>
    </row>
    <row r="58" spans="2:10" x14ac:dyDescent="0.25">
      <c r="B58" s="101" t="str">
        <v/>
      </c>
      <c r="C58" t="str">
        <v xml:space="preserve"> </v>
      </c>
      <c r="D58" s="109" t="str">
        <v/>
      </c>
      <c r="E58" s="106" t="str">
        <v/>
      </c>
      <c r="H58" s="9"/>
      <c r="I58" s="86"/>
      <c r="J58" s="84"/>
    </row>
    <row r="59" spans="2:10" x14ac:dyDescent="0.25">
      <c r="B59" s="101" t="str">
        <v/>
      </c>
      <c r="C59" t="str">
        <v>Hygiene Group</v>
      </c>
      <c r="D59" s="109" t="str">
        <v/>
      </c>
      <c r="E59" s="106" t="str">
        <v/>
      </c>
      <c r="I59" s="86"/>
    </row>
    <row r="60" spans="2:10" x14ac:dyDescent="0.25">
      <c r="B60" s="101">
        <v>6.3845923208522199</v>
      </c>
      <c r="C60" t="str">
        <v>Bathroom kit</v>
      </c>
      <c r="D60" s="109">
        <v>0</v>
      </c>
      <c r="E60" s="106">
        <v>6.3845923208522199</v>
      </c>
      <c r="I60" s="86"/>
    </row>
    <row r="61" spans="2:10" x14ac:dyDescent="0.25">
      <c r="B61" s="101" t="str">
        <v/>
      </c>
      <c r="C61" t="str">
        <v xml:space="preserve">  --TP</v>
      </c>
      <c r="D61" s="109" t="str">
        <v/>
      </c>
      <c r="E61" s="106" t="str">
        <v/>
      </c>
      <c r="I61" s="86"/>
    </row>
    <row r="62" spans="2:10" x14ac:dyDescent="0.25">
      <c r="B62" s="101" t="str">
        <v/>
      </c>
      <c r="C62" t="str">
        <v xml:space="preserve">  --wet wipes</v>
      </c>
      <c r="D62" s="109" t="str">
        <v/>
      </c>
      <c r="E62" s="106" t="str">
        <v/>
      </c>
      <c r="I62" s="86"/>
    </row>
    <row r="63" spans="2:10" x14ac:dyDescent="0.25">
      <c r="B63" s="101" t="str">
        <v/>
      </c>
      <c r="C63" t="str">
        <v xml:space="preserve">  -- hand sanitizer</v>
      </c>
      <c r="D63" s="109" t="str">
        <v/>
      </c>
      <c r="E63" s="106" t="str">
        <v/>
      </c>
      <c r="I63" s="86"/>
    </row>
    <row r="64" spans="2:10" x14ac:dyDescent="0.25">
      <c r="B64" s="101" t="str">
        <v/>
      </c>
      <c r="C64" t="str">
        <v xml:space="preserve">  --Gold Bond</v>
      </c>
      <c r="D64" s="109" t="str">
        <v/>
      </c>
      <c r="E64" s="106" t="str">
        <v/>
      </c>
      <c r="I64" s="86"/>
    </row>
    <row r="65" spans="2:10" x14ac:dyDescent="0.25">
      <c r="B65" s="101">
        <v>1.8342475175929029</v>
      </c>
      <c r="C65" t="str">
        <v>Shovel plastic</v>
      </c>
      <c r="D65" s="109">
        <v>0</v>
      </c>
      <c r="E65" s="106">
        <v>1.8342475175929029</v>
      </c>
      <c r="I65" s="86"/>
    </row>
    <row r="66" spans="2:10" x14ac:dyDescent="0.25">
      <c r="B66" s="101">
        <v>0.9876717402423324</v>
      </c>
      <c r="C66" t="str">
        <v>water jug botom</v>
      </c>
      <c r="D66" s="109">
        <v>0</v>
      </c>
      <c r="E66" s="106">
        <v>0.9876717402423324</v>
      </c>
      <c r="I66" s="86"/>
    </row>
    <row r="67" spans="2:10" x14ac:dyDescent="0.25">
      <c r="B67" s="101">
        <v>0.81130178662763019</v>
      </c>
      <c r="C67" t="str">
        <v>tooth brush</v>
      </c>
      <c r="D67" s="109">
        <v>0</v>
      </c>
      <c r="E67" s="106">
        <v>0.81130178662763019</v>
      </c>
      <c r="I67" s="86"/>
    </row>
    <row r="68" spans="2:10" x14ac:dyDescent="0.25">
      <c r="B68" s="101">
        <v>0.77602779590468973</v>
      </c>
      <c r="C68" t="str">
        <v>tooth  dots / paste</v>
      </c>
      <c r="D68" s="109">
        <v>0</v>
      </c>
      <c r="E68" s="106">
        <v>0.77602779590468973</v>
      </c>
      <c r="I68" s="86"/>
    </row>
    <row r="69" spans="2:10" x14ac:dyDescent="0.25">
      <c r="B69" s="101">
        <v>1.0582197216882132</v>
      </c>
      <c r="C69" t="str">
        <v>hand sanitizer on pack</v>
      </c>
      <c r="D69" s="109">
        <v>0</v>
      </c>
      <c r="E69" s="106">
        <v>1.0582197216882132</v>
      </c>
      <c r="I69" s="86"/>
    </row>
    <row r="70" spans="2:10" x14ac:dyDescent="0.25">
      <c r="B70" s="101">
        <v>11.852060882907988</v>
      </c>
      <c r="C70" t="str">
        <v xml:space="preserve"> </v>
      </c>
      <c r="D70" s="109">
        <v>0</v>
      </c>
      <c r="E70" s="106">
        <v>11.852060882907988</v>
      </c>
      <c r="H70" s="9"/>
      <c r="I70" s="86"/>
      <c r="J70" s="84"/>
    </row>
    <row r="71" spans="2:10" x14ac:dyDescent="0.25">
      <c r="B71" s="101" t="str">
        <v/>
      </c>
      <c r="C71" t="str">
        <v>Navigation Group</v>
      </c>
      <c r="D71" s="109" t="str">
        <v/>
      </c>
      <c r="E71" s="106" t="str">
        <v/>
      </c>
      <c r="I71" s="86"/>
    </row>
    <row r="72" spans="2:10" x14ac:dyDescent="0.25">
      <c r="B72" s="101" t="str">
        <v/>
      </c>
      <c r="C72" t="str">
        <v>Maps</v>
      </c>
      <c r="D72" s="109" t="str">
        <v/>
      </c>
      <c r="E72" s="106" t="str">
        <v/>
      </c>
      <c r="I72" s="86"/>
    </row>
    <row r="73" spans="2:10" x14ac:dyDescent="0.25">
      <c r="B73" s="101">
        <v>0.9876717402423324</v>
      </c>
      <c r="C73" t="str">
        <v>Compass</v>
      </c>
      <c r="D73" s="109">
        <v>0</v>
      </c>
      <c r="E73" s="106">
        <v>0.9876717402423324</v>
      </c>
      <c r="I73" s="86"/>
    </row>
    <row r="74" spans="2:10" x14ac:dyDescent="0.25">
      <c r="B74" s="101" t="str">
        <v/>
      </c>
      <c r="C74" t="str">
        <v>Trail details</v>
      </c>
      <c r="D74" s="109" t="str">
        <v/>
      </c>
      <c r="E74" s="106" t="str">
        <v/>
      </c>
      <c r="I74" s="86"/>
    </row>
    <row r="75" spans="2:10" x14ac:dyDescent="0.25">
      <c r="B75" s="101">
        <v>0.317465916506464</v>
      </c>
      <c r="C75" t="str">
        <v>pen / pencil</v>
      </c>
      <c r="D75" s="109">
        <v>0</v>
      </c>
      <c r="E75" s="106">
        <v>0.317465916506464</v>
      </c>
      <c r="I75" s="86"/>
    </row>
    <row r="76" spans="2:10" x14ac:dyDescent="0.25">
      <c r="B76" s="101">
        <v>8.3246618106139447</v>
      </c>
      <c r="C76" t="str">
        <v>notepad / journal</v>
      </c>
      <c r="D76" s="109">
        <v>0</v>
      </c>
      <c r="E76" s="106">
        <v>8.3246618106139447</v>
      </c>
      <c r="I76" s="86"/>
    </row>
    <row r="77" spans="2:10" x14ac:dyDescent="0.25">
      <c r="B77" s="101">
        <v>9.6297994673627407</v>
      </c>
      <c r="C77" t="str">
        <v xml:space="preserve"> </v>
      </c>
      <c r="D77" s="109">
        <v>0</v>
      </c>
      <c r="E77" s="106">
        <v>9.6297994673627407</v>
      </c>
      <c r="H77" s="9"/>
      <c r="I77" s="86"/>
      <c r="J77" s="84"/>
    </row>
    <row r="78" spans="2:10" x14ac:dyDescent="0.25">
      <c r="B78" s="101" t="str">
        <v/>
      </c>
      <c r="C78" t="str">
        <v>First Aid Group</v>
      </c>
      <c r="D78" s="109" t="str">
        <v/>
      </c>
      <c r="E78" s="106" t="str">
        <v/>
      </c>
      <c r="I78" s="86"/>
    </row>
    <row r="79" spans="2:10" x14ac:dyDescent="0.25">
      <c r="B79" s="101">
        <v>5.6438385156704705</v>
      </c>
      <c r="C79" t="str">
        <v>First aid kit</v>
      </c>
      <c r="D79" s="109">
        <v>0</v>
      </c>
      <c r="E79" s="106">
        <v>5.6438385156704705</v>
      </c>
      <c r="H79" s="9"/>
      <c r="I79" s="86"/>
      <c r="J79" s="84"/>
    </row>
    <row r="80" spans="2:10" x14ac:dyDescent="0.25">
      <c r="B80" s="101" t="str">
        <v/>
      </c>
      <c r="C80" t="str">
        <v xml:space="preserve"> </v>
      </c>
      <c r="D80" s="109" t="str">
        <v/>
      </c>
      <c r="E80" s="106" t="str">
        <v/>
      </c>
      <c r="I80" s="86"/>
    </row>
    <row r="81" spans="2:10" x14ac:dyDescent="0.25">
      <c r="B81" s="101" t="str">
        <v/>
      </c>
      <c r="C81" t="str">
        <v>Repair Group</v>
      </c>
      <c r="D81" s="109" t="str">
        <v/>
      </c>
      <c r="E81" s="106" t="str">
        <v/>
      </c>
      <c r="I81" s="86"/>
    </row>
    <row r="82" spans="2:10" x14ac:dyDescent="0.25">
      <c r="B82" s="101">
        <v>0.42328788867528527</v>
      </c>
      <c r="C82" t="str">
        <v>Tenacious tape</v>
      </c>
      <c r="D82" s="109">
        <v>0</v>
      </c>
      <c r="E82" s="106">
        <v>0.42328788867528527</v>
      </c>
      <c r="I82" s="86"/>
    </row>
    <row r="83" spans="2:10" x14ac:dyDescent="0.25">
      <c r="B83" s="101" t="str">
        <v/>
      </c>
      <c r="C83" t="str">
        <v>Duct tape on trekking poles</v>
      </c>
      <c r="D83" s="109" t="str">
        <v/>
      </c>
      <c r="E83" s="106" t="str">
        <v/>
      </c>
      <c r="I83" s="86"/>
    </row>
    <row r="84" spans="2:10" x14ac:dyDescent="0.25">
      <c r="B84" s="101">
        <v>1.3404116474717367</v>
      </c>
      <c r="C84" t="str">
        <v>extra buckle</v>
      </c>
      <c r="D84" s="109">
        <v>0</v>
      </c>
      <c r="E84" s="106">
        <v>1.3404116474717367</v>
      </c>
      <c r="I84" s="86"/>
    </row>
    <row r="85" spans="2:10" x14ac:dyDescent="0.25">
      <c r="B85" s="101">
        <v>1.763699536147022</v>
      </c>
      <c r="C85" t="str">
        <v xml:space="preserve"> </v>
      </c>
      <c r="D85" s="109">
        <v>0</v>
      </c>
      <c r="E85" s="106">
        <v>1.763699536147022</v>
      </c>
      <c r="H85" s="9"/>
      <c r="I85" s="86"/>
      <c r="J85" s="84"/>
    </row>
    <row r="86" spans="2:10" x14ac:dyDescent="0.25">
      <c r="B86" s="101" t="str">
        <v/>
      </c>
      <c r="C86" t="str">
        <v>Misc Group</v>
      </c>
      <c r="D86" s="109" t="str">
        <v/>
      </c>
      <c r="E86" s="106" t="str">
        <v/>
      </c>
      <c r="I86" s="86"/>
    </row>
    <row r="87" spans="2:10" x14ac:dyDescent="0.25">
      <c r="B87" s="101">
        <v>4.7619887475969591</v>
      </c>
      <c r="C87" t="str">
        <v>phone battery 4,000mAh</v>
      </c>
      <c r="D87" s="109">
        <v>0</v>
      </c>
      <c r="E87" s="106">
        <v>4.7619887475969591</v>
      </c>
      <c r="I87" s="86"/>
    </row>
    <row r="88" spans="2:10" x14ac:dyDescent="0.25">
      <c r="B88" s="101">
        <v>35.273990722940439</v>
      </c>
      <c r="C88" t="str">
        <v>Camp chair - heavy</v>
      </c>
      <c r="D88" s="109">
        <v>2</v>
      </c>
      <c r="E88" s="106">
        <v>3.2739907229404395</v>
      </c>
      <c r="I88" s="86"/>
    </row>
    <row r="89" spans="2:10" x14ac:dyDescent="0.25">
      <c r="B89" s="101">
        <v>4.6208927847051982</v>
      </c>
      <c r="C89" t="str">
        <v>hammock chair (green)</v>
      </c>
      <c r="D89" s="109">
        <v>0</v>
      </c>
      <c r="E89" s="106">
        <v>4.6208927847051982</v>
      </c>
      <c r="I89" s="86"/>
    </row>
    <row r="90" spans="2:10" x14ac:dyDescent="0.25">
      <c r="B90" s="101">
        <v>2.4339053598828904</v>
      </c>
      <c r="C90" t="str">
        <v>head lamp</v>
      </c>
      <c r="D90" s="109">
        <v>0</v>
      </c>
      <c r="E90" s="106">
        <v>2.4339053598828904</v>
      </c>
      <c r="I90" s="86"/>
    </row>
    <row r="91" spans="2:10" x14ac:dyDescent="0.25">
      <c r="B91" s="101">
        <v>1.269863666025856</v>
      </c>
      <c r="C91" t="str">
        <v>spare batteries 3 AAA</v>
      </c>
      <c r="D91" s="109">
        <v>0</v>
      </c>
      <c r="E91" s="106">
        <v>1.269863666025856</v>
      </c>
      <c r="I91" s="86"/>
    </row>
    <row r="92" spans="2:10" x14ac:dyDescent="0.25">
      <c r="B92" s="101">
        <v>1.0582197216882132</v>
      </c>
      <c r="C92" t="str">
        <v>rope pieces</v>
      </c>
      <c r="D92" s="109">
        <v>0</v>
      </c>
      <c r="E92" s="106">
        <v>1.0582197216882132</v>
      </c>
      <c r="I92" s="86"/>
    </row>
    <row r="93" spans="2:10" x14ac:dyDescent="0.25">
      <c r="B93" s="101">
        <v>0.70547981445880881</v>
      </c>
      <c r="C93" t="str">
        <v>eye glass case - soft</v>
      </c>
      <c r="D93" s="109">
        <v>0</v>
      </c>
      <c r="E93" s="106">
        <v>0.70547981445880881</v>
      </c>
      <c r="I93" s="86"/>
    </row>
    <row r="94" spans="2:10" x14ac:dyDescent="0.25">
      <c r="B94" s="101">
        <v>1.7284255454240816</v>
      </c>
      <c r="C94" t="str">
        <v>foam pad 12 x 18</v>
      </c>
      <c r="D94" s="109">
        <v>0</v>
      </c>
      <c r="E94" s="106">
        <v>1.7284255454240816</v>
      </c>
      <c r="I94" s="86"/>
    </row>
    <row r="95" spans="2:10" x14ac:dyDescent="0.25">
      <c r="B95" s="101">
        <v>66.526746503465674</v>
      </c>
      <c r="C95" t="str">
        <v xml:space="preserve"> </v>
      </c>
      <c r="D95" s="109">
        <v>4</v>
      </c>
      <c r="E95" s="106">
        <v>2.5267465034656738</v>
      </c>
      <c r="H95" s="9"/>
      <c r="I95" s="86"/>
      <c r="J95" s="84"/>
    </row>
    <row r="96" spans="2:10" x14ac:dyDescent="0.25">
      <c r="B96" s="101" t="str">
        <v/>
      </c>
      <c r="C96" t="str">
        <v>Clothing in Pack Group</v>
      </c>
      <c r="D96" s="109" t="str">
        <v/>
      </c>
      <c r="E96" s="106" t="str">
        <v/>
      </c>
      <c r="I96" s="86"/>
    </row>
    <row r="97" spans="2:10" x14ac:dyDescent="0.25">
      <c r="B97" s="101">
        <v>11.358225012786821</v>
      </c>
      <c r="C97" t="str">
        <v>puffy</v>
      </c>
      <c r="D97" s="109">
        <v>0</v>
      </c>
      <c r="E97" s="106">
        <v>11.358225012786821</v>
      </c>
      <c r="I97" s="86"/>
    </row>
    <row r="98" spans="2:10" x14ac:dyDescent="0.25">
      <c r="B98" s="101">
        <v>3.8095909980775677</v>
      </c>
      <c r="C98" t="str">
        <v>gloves/mittens</v>
      </c>
      <c r="D98" s="109">
        <v>0</v>
      </c>
      <c r="E98" s="106">
        <v>3.8095909980775677</v>
      </c>
      <c r="I98" s="86"/>
    </row>
    <row r="99" spans="2:10" x14ac:dyDescent="0.25">
      <c r="B99" s="101">
        <v>1.763699536147022</v>
      </c>
      <c r="C99" t="str">
        <v>Liner socks</v>
      </c>
      <c r="D99" s="109">
        <v>0</v>
      </c>
      <c r="E99" s="106">
        <v>1.763699536147022</v>
      </c>
      <c r="I99" s="86"/>
    </row>
    <row r="100" spans="2:10" x14ac:dyDescent="0.25">
      <c r="B100" s="101">
        <v>5.8202084692851725</v>
      </c>
      <c r="C100" t="str">
        <v>Wool socks</v>
      </c>
      <c r="D100" s="109">
        <v>0</v>
      </c>
      <c r="E100" s="106">
        <v>5.8202084692851725</v>
      </c>
      <c r="I100" s="86"/>
    </row>
    <row r="101" spans="2:10" x14ac:dyDescent="0.25">
      <c r="B101" s="101">
        <v>5.2910986084410663</v>
      </c>
      <c r="C101" t="str">
        <v xml:space="preserve">long sleeve shirt </v>
      </c>
      <c r="D101" s="109">
        <v>0</v>
      </c>
      <c r="E101" s="106">
        <v>5.2910986084410663</v>
      </c>
      <c r="I101" s="86"/>
    </row>
    <row r="102" spans="2:10" x14ac:dyDescent="0.25">
      <c r="B102" s="101">
        <v>2.6808232949434734</v>
      </c>
      <c r="C102" t="str">
        <v>underwear</v>
      </c>
      <c r="D102" s="109">
        <v>0</v>
      </c>
      <c r="E102" s="106">
        <v>2.6808232949434734</v>
      </c>
      <c r="I102" s="86"/>
    </row>
    <row r="103" spans="2:10" x14ac:dyDescent="0.25">
      <c r="B103" s="101">
        <v>4.7619887475969591</v>
      </c>
      <c r="C103" t="str">
        <v>shorts</v>
      </c>
      <c r="D103" s="109">
        <v>0</v>
      </c>
      <c r="E103" s="106">
        <v>4.7619887475969591</v>
      </c>
      <c r="I103" s="86"/>
    </row>
    <row r="104" spans="2:10" x14ac:dyDescent="0.25">
      <c r="B104" s="101">
        <v>0</v>
      </c>
      <c r="C104" t="str">
        <v>zip-offs</v>
      </c>
      <c r="D104" s="109">
        <v>0</v>
      </c>
      <c r="E104" s="106">
        <v>0</v>
      </c>
      <c r="I104" s="86"/>
    </row>
    <row r="105" spans="2:10" x14ac:dyDescent="0.25">
      <c r="B105" s="101">
        <v>35.485634667278084</v>
      </c>
      <c r="C105" t="str">
        <v xml:space="preserve"> </v>
      </c>
      <c r="D105" s="109">
        <v>2</v>
      </c>
      <c r="E105" s="106">
        <v>3.4856346672780845</v>
      </c>
      <c r="H105" s="9"/>
      <c r="I105" s="86"/>
      <c r="J105" s="84"/>
    </row>
    <row r="106" spans="2:10" x14ac:dyDescent="0.25">
      <c r="B106" s="101" t="str">
        <v/>
      </c>
      <c r="C106" t="str">
        <v>Consumables Group</v>
      </c>
      <c r="D106" s="109" t="str">
        <v/>
      </c>
      <c r="E106" s="106" t="str">
        <v/>
      </c>
      <c r="I106" s="86"/>
    </row>
    <row r="107" spans="2:10" x14ac:dyDescent="0.25">
      <c r="B107" s="101" t="str">
        <v/>
      </c>
      <c r="C107" t="str">
        <v>Medication</v>
      </c>
      <c r="D107" s="109" t="str">
        <v/>
      </c>
      <c r="E107" s="106" t="str">
        <v/>
      </c>
      <c r="I107" s="86"/>
    </row>
    <row r="108" spans="2:10" x14ac:dyDescent="0.25">
      <c r="B108" s="101" t="str">
        <v/>
      </c>
      <c r="C108" t="str">
        <v>24-32 ounces food per day</v>
      </c>
      <c r="D108" s="109" t="str">
        <v/>
      </c>
      <c r="E108" s="106" t="str">
        <v/>
      </c>
      <c r="I108" s="86"/>
    </row>
    <row r="109" spans="2:10" x14ac:dyDescent="0.25">
      <c r="B109" s="101" t="str">
        <v/>
      </c>
      <c r="C109" t="str">
        <v>64 ounces water</v>
      </c>
      <c r="D109" s="109" t="str">
        <v/>
      </c>
      <c r="E109" s="106" t="str">
        <v/>
      </c>
      <c r="I109" s="86"/>
    </row>
    <row r="110" spans="2:10" x14ac:dyDescent="0.25">
      <c r="B110" s="101" t="str">
        <v/>
      </c>
      <c r="C110" t="str">
        <v xml:space="preserve"> </v>
      </c>
      <c r="D110" s="109" t="str">
        <v/>
      </c>
      <c r="E110" s="106" t="str">
        <v/>
      </c>
      <c r="H110" s="9"/>
      <c r="I110" s="86"/>
      <c r="J110" s="84"/>
    </row>
    <row r="111" spans="2:10" x14ac:dyDescent="0.25">
      <c r="B111" s="101" t="str">
        <v/>
      </c>
      <c r="C111" t="str">
        <v>Clothing Worn Group</v>
      </c>
      <c r="D111" s="109" t="str">
        <v/>
      </c>
      <c r="E111" s="106" t="str">
        <v/>
      </c>
      <c r="I111" s="86"/>
    </row>
    <row r="112" spans="2:10" x14ac:dyDescent="0.25">
      <c r="B112" s="101" t="str">
        <v/>
      </c>
      <c r="C112" t="str">
        <v>trekking poles</v>
      </c>
      <c r="D112" s="109" t="str">
        <v/>
      </c>
      <c r="E112" s="106" t="str">
        <v/>
      </c>
      <c r="I112" s="86"/>
    </row>
    <row r="113" spans="2:10" x14ac:dyDescent="0.25">
      <c r="B113" s="101" t="str">
        <v/>
      </c>
      <c r="C113" t="str">
        <v>hiking boots</v>
      </c>
      <c r="D113" s="109" t="str">
        <v/>
      </c>
      <c r="E113" s="106" t="str">
        <v/>
      </c>
      <c r="I113" s="86"/>
    </row>
    <row r="114" spans="2:10" x14ac:dyDescent="0.25">
      <c r="B114" s="101" t="str">
        <v/>
      </c>
      <c r="C114" t="str">
        <v>liner socks</v>
      </c>
      <c r="D114" s="109" t="str">
        <v/>
      </c>
      <c r="E114" s="106" t="str">
        <v/>
      </c>
      <c r="I114" s="86"/>
    </row>
    <row r="115" spans="2:10" x14ac:dyDescent="0.25">
      <c r="B115" s="101" t="str">
        <v/>
      </c>
      <c r="C115" t="str">
        <v>wool socks</v>
      </c>
      <c r="D115" s="109" t="str">
        <v/>
      </c>
      <c r="E115" s="106" t="str">
        <v/>
      </c>
      <c r="I115" s="86"/>
    </row>
    <row r="116" spans="2:10" x14ac:dyDescent="0.25">
      <c r="B116" s="101" t="str">
        <v/>
      </c>
      <c r="C116" t="str">
        <v>gators</v>
      </c>
      <c r="D116" s="109" t="str">
        <v/>
      </c>
      <c r="E116" s="106" t="str">
        <v/>
      </c>
      <c r="I116" s="86"/>
    </row>
    <row r="117" spans="2:10" x14ac:dyDescent="0.25">
      <c r="B117" s="101" t="str">
        <v/>
      </c>
      <c r="C117" t="str">
        <v>tech shirt</v>
      </c>
      <c r="D117" s="109" t="str">
        <v/>
      </c>
      <c r="E117" s="106" t="str">
        <v/>
      </c>
      <c r="I117" s="86"/>
    </row>
    <row r="118" spans="2:10" x14ac:dyDescent="0.25">
      <c r="B118" s="101" t="str">
        <v/>
      </c>
      <c r="C118" t="str">
        <v>underwear</v>
      </c>
      <c r="D118" s="109" t="str">
        <v/>
      </c>
      <c r="E118" s="106" t="str">
        <v/>
      </c>
      <c r="I118" s="86"/>
    </row>
    <row r="119" spans="2:10" x14ac:dyDescent="0.25">
      <c r="B119" s="101" t="str">
        <v/>
      </c>
      <c r="C119" t="str">
        <v>Kilt / Zip-offs</v>
      </c>
      <c r="D119" s="109" t="str">
        <v/>
      </c>
      <c r="E119" s="106" t="str">
        <v/>
      </c>
      <c r="I119" s="86"/>
    </row>
    <row r="120" spans="2:10" x14ac:dyDescent="0.25">
      <c r="B120" s="101" t="str">
        <v/>
      </c>
      <c r="C120" t="str">
        <v>runners cap</v>
      </c>
      <c r="D120" s="109" t="str">
        <v/>
      </c>
      <c r="E120" s="106" t="str">
        <v/>
      </c>
      <c r="I120" s="86"/>
    </row>
    <row r="121" spans="2:10" x14ac:dyDescent="0.25">
      <c r="B121" s="101" t="str">
        <v/>
      </c>
      <c r="C121" t="str">
        <v>pocket knife</v>
      </c>
      <c r="D121" s="109" t="str">
        <v/>
      </c>
      <c r="E121" s="106" t="str">
        <v/>
      </c>
      <c r="I121" s="86"/>
    </row>
    <row r="122" spans="2:10" x14ac:dyDescent="0.25">
      <c r="B122" s="101" t="str">
        <v/>
      </c>
      <c r="C122" t="str">
        <v>lip balm</v>
      </c>
      <c r="D122" s="109" t="str">
        <v/>
      </c>
      <c r="E122" s="106" t="str">
        <v/>
      </c>
      <c r="I122" s="86"/>
    </row>
    <row r="123" spans="2:10" x14ac:dyDescent="0.25">
      <c r="B123" s="101" t="str">
        <v/>
      </c>
      <c r="C123" t="str">
        <v>phone (in zip-loc)</v>
      </c>
      <c r="D123" s="109" t="str">
        <v/>
      </c>
      <c r="E123" s="106" t="str">
        <v/>
      </c>
      <c r="I123" s="86"/>
    </row>
    <row r="124" spans="2:10" x14ac:dyDescent="0.25">
      <c r="B124" s="101" t="str">
        <v/>
      </c>
      <c r="C124" t="str">
        <v>license / money / credit card</v>
      </c>
      <c r="D124" s="109" t="str">
        <v/>
      </c>
      <c r="E124" s="106" t="str">
        <v/>
      </c>
      <c r="I124" s="86"/>
    </row>
    <row r="125" spans="2:10" x14ac:dyDescent="0.25">
      <c r="B125" s="101" t="str">
        <v/>
      </c>
      <c r="C125" t="str">
        <v>bandana</v>
      </c>
      <c r="D125" s="109" t="str">
        <v/>
      </c>
      <c r="E125" s="106" t="str">
        <v/>
      </c>
      <c r="I125" s="86"/>
    </row>
    <row r="126" spans="2:10" x14ac:dyDescent="0.25">
      <c r="B126" s="101" t="str">
        <v/>
      </c>
      <c r="C126" t="str">
        <v>belt</v>
      </c>
      <c r="D126" s="109" t="str">
        <v/>
      </c>
      <c r="E126" s="106" t="str">
        <v/>
      </c>
      <c r="I126" s="86"/>
    </row>
    <row r="127" spans="2:10" x14ac:dyDescent="0.25">
      <c r="B127" s="101" t="str">
        <v/>
      </c>
      <c r="C127" t="str">
        <v>suspenders</v>
      </c>
      <c r="D127" s="109" t="str">
        <v/>
      </c>
      <c r="E127" s="106" t="str">
        <v/>
      </c>
      <c r="H127" s="9"/>
      <c r="I127" s="86"/>
      <c r="J127" s="84"/>
    </row>
    <row r="131" spans="2:10" x14ac:dyDescent="0.25">
      <c r="B131" s="102">
        <f>SUM(B1:B127)</f>
        <v>758.24970458032828</v>
      </c>
      <c r="C131" s="69" t="s">
        <v>183</v>
      </c>
      <c r="D131" s="110"/>
      <c r="E131" s="107"/>
      <c r="F131" s="96"/>
      <c r="G131" s="97"/>
      <c r="H131" s="85"/>
      <c r="I131" s="85"/>
      <c r="J131" s="85"/>
    </row>
    <row r="132" spans="2:10" x14ac:dyDescent="0.25">
      <c r="B132" s="103">
        <f>TRUNC(B131/16)</f>
        <v>47</v>
      </c>
      <c r="C132" s="70" t="s">
        <v>168</v>
      </c>
      <c r="D132" s="110"/>
      <c r="E132" s="107"/>
      <c r="F132" s="96"/>
      <c r="G132" s="97"/>
      <c r="H132" s="9"/>
      <c r="J132" s="84"/>
    </row>
    <row r="133" spans="2:10" x14ac:dyDescent="0.25">
      <c r="B133" s="104">
        <f>MOD(B131,16)</f>
        <v>6.2497045803282845</v>
      </c>
      <c r="C133" s="71" t="s">
        <v>169</v>
      </c>
      <c r="D133" s="110"/>
      <c r="E133" s="107"/>
      <c r="F133" s="96"/>
      <c r="G133" s="97"/>
    </row>
  </sheetData>
  <conditionalFormatting sqref="C1:G124 C131:G151">
    <cfRule type="containsText" dxfId="0" priority="13" operator="containsText" text="Group">
      <formula>NOT(ISERROR(SEARCH("Group",C1)))</formula>
    </cfRule>
  </conditionalFormatting>
  <pageMargins left="0.45" right="0.45" top="0.5" bottom="0.5" header="0.3" footer="0.3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C781-2E91-4D12-AF54-CE496269B0FE}">
  <dimension ref="A1:P45"/>
  <sheetViews>
    <sheetView topLeftCell="A16" workbookViewId="0">
      <selection activeCell="M40" sqref="M40"/>
    </sheetView>
  </sheetViews>
  <sheetFormatPr defaultRowHeight="15" x14ac:dyDescent="0.25"/>
  <cols>
    <col min="1" max="1" width="9.140625" style="9"/>
    <col min="2" max="2" width="31.85546875" customWidth="1"/>
    <col min="3" max="3" width="4.7109375" customWidth="1"/>
    <col min="4" max="4" width="7.140625" style="9" customWidth="1"/>
    <col min="5" max="5" width="25.42578125" customWidth="1"/>
    <col min="6" max="6" width="6.7109375" customWidth="1"/>
    <col min="7" max="7" width="9.28515625" customWidth="1"/>
    <col min="8" max="8" width="19.5703125" bestFit="1" customWidth="1"/>
    <col min="9" max="9" width="4.5703125" customWidth="1"/>
    <col min="10" max="10" width="6.5703125" customWidth="1"/>
    <col min="11" max="11" width="26.85546875" customWidth="1"/>
    <col min="13" max="14" width="5.85546875" customWidth="1"/>
    <col min="15" max="15" width="7.140625" customWidth="1"/>
    <col min="16" max="16" width="6.28515625" customWidth="1"/>
  </cols>
  <sheetData>
    <row r="1" spans="1:14" ht="15.75" thickBot="1" x14ac:dyDescent="0.3">
      <c r="B1" s="2" t="s">
        <v>228</v>
      </c>
      <c r="C1" t="s">
        <v>218</v>
      </c>
      <c r="D1" s="9" t="s">
        <v>1</v>
      </c>
      <c r="G1" s="10">
        <v>28.349499999999999</v>
      </c>
      <c r="H1" s="5" t="s">
        <v>31</v>
      </c>
    </row>
    <row r="2" spans="1:14" ht="15.75" thickBot="1" x14ac:dyDescent="0.3">
      <c r="A2" s="9" cm="1">
        <f t="array" ref="A2:D5">_xlfn._xlws.FILTER(_xlfn.CHOOSECOLS( 'New Gear Checklist'!D1:I207,1,2,5,6),"P"='New Gear Checklist'!A1:A207)</f>
        <v>45.50344803259317</v>
      </c>
      <c r="B2" t="str">
        <v>Blue Pack</v>
      </c>
      <c r="C2" s="86">
        <v>2</v>
      </c>
      <c r="D2" s="9">
        <v>13.50344803259317</v>
      </c>
      <c r="G2" s="10">
        <v>3.5274E-2</v>
      </c>
      <c r="H2" s="6" t="s">
        <v>35</v>
      </c>
    </row>
    <row r="3" spans="1:14" x14ac:dyDescent="0.25">
      <c r="A3" s="9">
        <v>0.95239774951939193</v>
      </c>
      <c r="B3" t="str">
        <v>Pack hip pockets</v>
      </c>
      <c r="C3" s="86">
        <v>0</v>
      </c>
      <c r="D3" s="9">
        <v>0.95239774951939193</v>
      </c>
      <c r="G3">
        <f>36*36</f>
        <v>1296</v>
      </c>
      <c r="H3" t="s">
        <v>232</v>
      </c>
    </row>
    <row r="4" spans="1:14" x14ac:dyDescent="0.25">
      <c r="A4" s="9">
        <v>5.0441806733804828</v>
      </c>
      <c r="B4" t="str">
        <v>Pack Liner/Garbage bag</v>
      </c>
      <c r="C4" s="86">
        <v>0</v>
      </c>
      <c r="D4" s="9">
        <v>5.0441806733804828</v>
      </c>
    </row>
    <row r="5" spans="1:14" x14ac:dyDescent="0.25">
      <c r="A5" s="9">
        <v>5.1500026455493044</v>
      </c>
      <c r="B5" t="str">
        <v>Orange Pack Cover</v>
      </c>
      <c r="C5" s="86">
        <v>0</v>
      </c>
      <c r="D5" s="9">
        <v>5.1500026455493044</v>
      </c>
    </row>
    <row r="6" spans="1:14" x14ac:dyDescent="0.25">
      <c r="A6" s="9">
        <f>SUM(A2:A5)</f>
        <v>56.65002910104235</v>
      </c>
      <c r="C6" s="86">
        <f>INT(A6/16)</f>
        <v>3</v>
      </c>
      <c r="D6" s="9">
        <f>A6-(C6*16)</f>
        <v>8.6500291010423496</v>
      </c>
    </row>
    <row r="7" spans="1:14" x14ac:dyDescent="0.25">
      <c r="C7" s="86"/>
    </row>
    <row r="8" spans="1:14" x14ac:dyDescent="0.25">
      <c r="B8" s="2" t="s">
        <v>225</v>
      </c>
      <c r="C8" s="86" t="s">
        <v>218</v>
      </c>
      <c r="D8" s="9" t="s">
        <v>1</v>
      </c>
      <c r="F8" s="113" t="s">
        <v>0</v>
      </c>
      <c r="G8" s="113" t="s">
        <v>1</v>
      </c>
      <c r="H8" s="85" t="s">
        <v>231</v>
      </c>
      <c r="I8" s="113" t="s">
        <v>218</v>
      </c>
      <c r="J8" s="113" t="s">
        <v>1</v>
      </c>
      <c r="L8" s="123" t="s">
        <v>260</v>
      </c>
    </row>
    <row r="9" spans="1:14" x14ac:dyDescent="0.25">
      <c r="A9" s="9" cm="1">
        <f t="array" ref="A9:D14">_xlfn._xlws.FILTER(_xlfn.CHOOSECOLS( 'New Gear Checklist'!D7:I213,1,2,5,6),"H"='New Gear Checklist'!A7:A213)</f>
        <v>8.2188398384451222</v>
      </c>
      <c r="B9" t="str">
        <v>Bridge Hammock; 1.2 Hexon Olive</v>
      </c>
      <c r="C9" s="86">
        <v>0</v>
      </c>
      <c r="D9" s="9">
        <v>8.2188398384451222</v>
      </c>
      <c r="F9">
        <v>724</v>
      </c>
      <c r="G9" s="9">
        <f>F9/$G$1</f>
        <v>25.53836928340888</v>
      </c>
      <c r="H9" t="s">
        <v>236</v>
      </c>
      <c r="I9">
        <f>INT(G9/16)</f>
        <v>1</v>
      </c>
      <c r="J9" s="9">
        <f>MOD(G9,16)</f>
        <v>9.5383692834088798</v>
      </c>
      <c r="L9">
        <f>((36*4)*60)/(36*36)</f>
        <v>6.666666666666667</v>
      </c>
      <c r="M9">
        <f>L9*1.6</f>
        <v>10.666666666666668</v>
      </c>
      <c r="N9" t="s">
        <v>258</v>
      </c>
    </row>
    <row r="10" spans="1:14" x14ac:dyDescent="0.25">
      <c r="A10" s="9">
        <v>7.3017160796486715</v>
      </c>
      <c r="B10" t="str">
        <v>Spreader Bars 28"</v>
      </c>
      <c r="C10" s="86">
        <v>0</v>
      </c>
      <c r="D10" s="9">
        <v>7.3017160796486715</v>
      </c>
      <c r="E10" t="s">
        <v>230</v>
      </c>
      <c r="F10">
        <v>193</v>
      </c>
      <c r="G10" s="9">
        <f>F10/$G$1</f>
        <v>6.8078802095275055</v>
      </c>
      <c r="H10" t="s">
        <v>233</v>
      </c>
      <c r="I10">
        <f>INT(G10/16)</f>
        <v>0</v>
      </c>
      <c r="J10" s="9">
        <f>MOD(G10,16)</f>
        <v>6.8078802095275055</v>
      </c>
      <c r="L10">
        <v>6</v>
      </c>
      <c r="M10">
        <f>L10*0.67</f>
        <v>4.0200000000000005</v>
      </c>
      <c r="N10" t="s">
        <v>259</v>
      </c>
    </row>
    <row r="11" spans="1:14" x14ac:dyDescent="0.25">
      <c r="A11" s="9">
        <v>2.8924672392811162</v>
      </c>
      <c r="B11" t="str">
        <v>Tree straps spider poly</v>
      </c>
      <c r="C11" s="86">
        <v>0</v>
      </c>
      <c r="D11" s="9">
        <v>2.8924672392811162</v>
      </c>
      <c r="F11">
        <v>303</v>
      </c>
      <c r="G11" s="9">
        <f>F11/$G$1</f>
        <v>10.688019189050953</v>
      </c>
      <c r="H11" t="s">
        <v>237</v>
      </c>
      <c r="I11">
        <f>INT(G11/16)</f>
        <v>0</v>
      </c>
      <c r="J11" s="9">
        <f>MOD(G11,16)</f>
        <v>10.688019189050953</v>
      </c>
      <c r="M11">
        <f>M10+M9</f>
        <v>14.686666666666667</v>
      </c>
    </row>
    <row r="12" spans="1:14" x14ac:dyDescent="0.25">
      <c r="A12" s="9">
        <v>1.4109596289176176</v>
      </c>
      <c r="B12" t="str">
        <v>UCR</v>
      </c>
      <c r="C12" s="86">
        <v>0</v>
      </c>
      <c r="D12" s="9">
        <v>1.4109596289176176</v>
      </c>
      <c r="F12">
        <v>10</v>
      </c>
      <c r="G12" s="9">
        <f>F12/$G$1</f>
        <v>0.3527399072294044</v>
      </c>
      <c r="H12" t="s">
        <v>235</v>
      </c>
      <c r="I12">
        <f>INT(G12/16)</f>
        <v>0</v>
      </c>
      <c r="J12" s="9">
        <f>MOD(G12,16)</f>
        <v>0.3527399072294044</v>
      </c>
    </row>
    <row r="13" spans="1:14" x14ac:dyDescent="0.25">
      <c r="A13" s="9">
        <v>10.970211114834477</v>
      </c>
      <c r="B13" t="str">
        <v>bug net original</v>
      </c>
      <c r="C13" s="86">
        <v>0</v>
      </c>
      <c r="D13" s="9">
        <v>10.970211114834477</v>
      </c>
      <c r="E13" t="s">
        <v>229</v>
      </c>
      <c r="F13">
        <v>37</v>
      </c>
      <c r="G13" s="9">
        <f>F13/$G$1</f>
        <v>1.3051376567487962</v>
      </c>
      <c r="H13" t="s">
        <v>234</v>
      </c>
      <c r="I13">
        <f>INT(G13/16)</f>
        <v>0</v>
      </c>
      <c r="J13" s="9">
        <f>MOD(G13,16)</f>
        <v>1.3051376567487962</v>
      </c>
    </row>
    <row r="14" spans="1:14" x14ac:dyDescent="0.25">
      <c r="A14" s="9">
        <v>0</v>
      </c>
      <c r="B14" t="str">
        <v>bug net new</v>
      </c>
      <c r="C14" s="86">
        <v>0</v>
      </c>
      <c r="D14" s="9">
        <v>0</v>
      </c>
      <c r="G14" s="9"/>
      <c r="J14" s="9"/>
    </row>
    <row r="15" spans="1:14" x14ac:dyDescent="0.25">
      <c r="A15" s="9">
        <f>SUM(A9:A14)</f>
        <v>30.794193901127006</v>
      </c>
      <c r="C15" s="86">
        <f>INT(A15/16)</f>
        <v>1</v>
      </c>
      <c r="D15" s="9">
        <f>A15-(C15*16)</f>
        <v>14.794193901127006</v>
      </c>
      <c r="G15" s="9"/>
      <c r="J15" s="9"/>
    </row>
    <row r="16" spans="1:14" x14ac:dyDescent="0.25">
      <c r="C16" s="86"/>
      <c r="G16" s="9"/>
      <c r="J16" s="9"/>
    </row>
    <row r="17" spans="1:16" x14ac:dyDescent="0.25">
      <c r="B17" s="2" t="s">
        <v>227</v>
      </c>
      <c r="C17" s="86" t="s">
        <v>218</v>
      </c>
      <c r="D17" s="9" t="s">
        <v>1</v>
      </c>
      <c r="G17" s="9"/>
      <c r="J17" s="9"/>
    </row>
    <row r="18" spans="1:16" x14ac:dyDescent="0.25">
      <c r="A18" s="9" cm="1">
        <f t="array" ref="A18:D19">_xlfn._xlws.FILTER(_xlfn.CHOOSECOLS( 'New Gear Checklist'!D21:I226,1,2,5,6),"C"='New Gear Checklist'!A21:A226)</f>
        <v>16.71987160267377</v>
      </c>
      <c r="B18" t="str">
        <v>Tarp Forest green &amp; lines</v>
      </c>
      <c r="C18" s="86">
        <v>1</v>
      </c>
      <c r="D18" s="9">
        <v>0.71987160267376993</v>
      </c>
      <c r="F18">
        <v>490</v>
      </c>
      <c r="G18" s="9">
        <f>F18/$G$1</f>
        <v>17.284255454240817</v>
      </c>
      <c r="H18" t="s">
        <v>227</v>
      </c>
      <c r="I18">
        <f>INT(G18/16)</f>
        <v>1</v>
      </c>
      <c r="J18" s="9">
        <f>MOD(G18,16)</f>
        <v>1.2842554542408173</v>
      </c>
    </row>
    <row r="19" spans="1:16" x14ac:dyDescent="0.25">
      <c r="A19" s="9">
        <v>2.8219192578352352</v>
      </c>
      <c r="B19" t="str">
        <v>stakes AL red</v>
      </c>
      <c r="C19" s="86">
        <v>0</v>
      </c>
      <c r="D19" s="9">
        <v>2.8219192578352352</v>
      </c>
      <c r="G19" s="9"/>
      <c r="J19" s="9"/>
    </row>
    <row r="20" spans="1:16" x14ac:dyDescent="0.25">
      <c r="A20" s="9">
        <f>SUM(A18:A19)</f>
        <v>19.541790860509003</v>
      </c>
      <c r="C20" s="86">
        <f>INT(A20/16)</f>
        <v>1</v>
      </c>
      <c r="D20" s="9">
        <f>A20-(C20*16)</f>
        <v>3.5417908605090034</v>
      </c>
      <c r="G20" s="9"/>
      <c r="J20" s="9"/>
    </row>
    <row r="21" spans="1:16" x14ac:dyDescent="0.25">
      <c r="F21">
        <f>SUM(F9:F18)</f>
        <v>1757</v>
      </c>
      <c r="G21" s="9">
        <f>F21/$G$1</f>
        <v>61.976401700206353</v>
      </c>
      <c r="H21" t="s">
        <v>241</v>
      </c>
      <c r="I21">
        <f>INT(G21/16)</f>
        <v>3</v>
      </c>
      <c r="J21" s="9">
        <f>MOD(G21,16)</f>
        <v>13.976401700206353</v>
      </c>
    </row>
    <row r="22" spans="1:16" x14ac:dyDescent="0.25">
      <c r="B22" s="2" t="s">
        <v>226</v>
      </c>
      <c r="C22" s="86" t="s">
        <v>218</v>
      </c>
      <c r="D22" s="9" t="s">
        <v>1</v>
      </c>
      <c r="G22" s="9"/>
      <c r="J22" s="9"/>
    </row>
    <row r="23" spans="1:16" x14ac:dyDescent="0.25">
      <c r="A23" s="9" cm="1">
        <f t="array" ref="A23:D27">_xlfn._xlws.FILTER(_xlfn.CHOOSECOLS( 'New Gear Checklist'!D15:I221,1,2,5,6),"T"='New Gear Checklist'!A15:A221)</f>
        <v>4.4445228310904952</v>
      </c>
      <c r="B23" t="str">
        <v>stakes Ti</v>
      </c>
      <c r="C23">
        <v>0</v>
      </c>
      <c r="D23" s="9">
        <v>4.4445228310904952</v>
      </c>
      <c r="G23" s="9"/>
      <c r="J23" s="9"/>
    </row>
    <row r="24" spans="1:16" x14ac:dyDescent="0.25">
      <c r="A24" s="9">
        <v>19.224324944002539</v>
      </c>
      <c r="B24" t="str">
        <v>tent outside</v>
      </c>
      <c r="C24">
        <v>1</v>
      </c>
      <c r="D24" s="9">
        <v>3.2243249440025394</v>
      </c>
      <c r="G24" s="9"/>
      <c r="J24" s="9"/>
    </row>
    <row r="25" spans="1:16" x14ac:dyDescent="0.25">
      <c r="A25" s="9">
        <v>10.758567170496834</v>
      </c>
      <c r="B25" t="str">
        <v>tent inside</v>
      </c>
      <c r="C25">
        <v>0</v>
      </c>
      <c r="D25" s="9">
        <v>10.758567170496834</v>
      </c>
      <c r="G25" s="9"/>
      <c r="J25" s="9"/>
    </row>
    <row r="26" spans="1:16" x14ac:dyDescent="0.25">
      <c r="A26" s="9">
        <v>4.1976048960299126</v>
      </c>
      <c r="B26" t="str">
        <v>Tyvek 8x3 footprint</v>
      </c>
      <c r="C26">
        <v>0</v>
      </c>
      <c r="D26" s="9">
        <v>4.1976048960299126</v>
      </c>
      <c r="G26" s="9"/>
      <c r="J26" s="9"/>
    </row>
    <row r="27" spans="1:16" x14ac:dyDescent="0.25">
      <c r="A27" s="9">
        <v>17.213707472794937</v>
      </c>
      <c r="B27" t="str">
        <v>Air matress blue</v>
      </c>
      <c r="C27">
        <v>1</v>
      </c>
      <c r="D27" s="9">
        <v>1.2137074727949368</v>
      </c>
      <c r="G27" s="9"/>
      <c r="J27" s="9"/>
    </row>
    <row r="28" spans="1:16" x14ac:dyDescent="0.25">
      <c r="A28" s="9">
        <f>SUM(A23:A26)</f>
        <v>38.625019841619782</v>
      </c>
      <c r="C28" s="86">
        <f>INT(A28/16)</f>
        <v>2</v>
      </c>
      <c r="D28" s="9">
        <f>A28-(C28*16)</f>
        <v>6.6250198416197819</v>
      </c>
      <c r="J28" s="9"/>
    </row>
    <row r="29" spans="1:16" x14ac:dyDescent="0.25">
      <c r="M29" t="s">
        <v>248</v>
      </c>
    </row>
    <row r="30" spans="1:16" x14ac:dyDescent="0.25">
      <c r="B30" s="2" t="s">
        <v>242</v>
      </c>
      <c r="F30" t="s">
        <v>0</v>
      </c>
      <c r="G30" t="s">
        <v>1</v>
      </c>
      <c r="I30" s="113" t="s">
        <v>218</v>
      </c>
      <c r="J30" s="113" t="s">
        <v>1</v>
      </c>
      <c r="M30" t="s">
        <v>251</v>
      </c>
      <c r="O30" t="s">
        <v>252</v>
      </c>
    </row>
    <row r="31" spans="1:16" x14ac:dyDescent="0.25">
      <c r="A31" s="9" cm="1">
        <f t="array" ref="A31:D43">_xlfn.CHOOSECOLS( 'New Gear Checklist'!D42:I54,1,2,5,6)</f>
        <v>38.378101906559202</v>
      </c>
      <c r="B31" s="9" t="str">
        <v>30° sleeping bag</v>
      </c>
      <c r="C31">
        <v>2</v>
      </c>
      <c r="D31" s="9">
        <v>6.378101906559202</v>
      </c>
      <c r="J31" s="9"/>
      <c r="L31" t="s">
        <v>246</v>
      </c>
      <c r="M31">
        <v>0.9</v>
      </c>
      <c r="N31">
        <v>0.67</v>
      </c>
      <c r="O31">
        <v>6</v>
      </c>
      <c r="P31">
        <v>3.6</v>
      </c>
    </row>
    <row r="32" spans="1:16" x14ac:dyDescent="0.25">
      <c r="A32" s="115">
        <v>44.797968218134358</v>
      </c>
      <c r="B32" s="116" t="str">
        <v>15° sleeping bag - Katahdin</v>
      </c>
      <c r="C32" s="116">
        <v>2</v>
      </c>
      <c r="D32" s="115">
        <v>12.797968218134358</v>
      </c>
      <c r="F32">
        <f>(O32+M32)*$G$1</f>
        <v>798.51091666666662</v>
      </c>
      <c r="G32" s="9">
        <f>F32/$G$1</f>
        <v>28.166666666666664</v>
      </c>
      <c r="H32" t="s">
        <v>224</v>
      </c>
      <c r="I32">
        <f t="shared" ref="I32:I33" si="0">INT(G32/16)</f>
        <v>1</v>
      </c>
      <c r="J32" s="9">
        <f t="shared" ref="J32:J33" si="1">MOD(G32,16)</f>
        <v>12.166666666666664</v>
      </c>
      <c r="L32" s="9">
        <f>(78*60)/(36*36)</f>
        <v>3.6111111111111112</v>
      </c>
      <c r="M32" s="9">
        <f>L32*2*M31</f>
        <v>6.5</v>
      </c>
      <c r="N32" s="9">
        <f>L32*2*N31</f>
        <v>4.8388888888888895</v>
      </c>
      <c r="O32" s="9">
        <f>L32*O31</f>
        <v>21.666666666666668</v>
      </c>
      <c r="P32" s="9">
        <f>L32*P31</f>
        <v>13</v>
      </c>
    </row>
    <row r="33" spans="1:16" x14ac:dyDescent="0.25">
      <c r="A33" s="9">
        <v>55.203795481401791</v>
      </c>
      <c r="B33" t="str">
        <v>0° sleeping bag - Antero</v>
      </c>
      <c r="C33">
        <v>3</v>
      </c>
      <c r="D33" s="9">
        <v>7.2037954814017908</v>
      </c>
      <c r="F33">
        <f>(O33+M33)*$G$1</f>
        <v>737.08699999999999</v>
      </c>
      <c r="G33" s="9">
        <f t="shared" ref="G33:G34" si="2">F33/$G$1</f>
        <v>26</v>
      </c>
      <c r="H33" t="s">
        <v>243</v>
      </c>
      <c r="I33">
        <f t="shared" si="0"/>
        <v>1</v>
      </c>
      <c r="J33" s="9">
        <f t="shared" si="1"/>
        <v>10</v>
      </c>
      <c r="L33" s="9">
        <f>(72*60)/(36*36)</f>
        <v>3.3333333333333335</v>
      </c>
      <c r="M33" s="9">
        <f>L33*2*0.9</f>
        <v>6</v>
      </c>
      <c r="N33" s="9">
        <f>L33*2*N31</f>
        <v>4.4666666666666668</v>
      </c>
      <c r="O33" s="9">
        <f>L33*O31</f>
        <v>20</v>
      </c>
      <c r="P33" s="9">
        <f>L33*P31</f>
        <v>12</v>
      </c>
    </row>
    <row r="34" spans="1:16" x14ac:dyDescent="0.25">
      <c r="A34" s="9">
        <v>38.413375897282137</v>
      </c>
      <c r="B34" t="str">
        <v>Fleece sleeping bag</v>
      </c>
      <c r="C34">
        <v>2</v>
      </c>
      <c r="D34" s="9">
        <v>6.4133758972821369</v>
      </c>
      <c r="F34" s="116">
        <f>SUM(F32:F33)</f>
        <v>1535.5979166666666</v>
      </c>
      <c r="G34" s="115">
        <f t="shared" si="2"/>
        <v>54.166666666666664</v>
      </c>
      <c r="H34" s="116" t="s">
        <v>249</v>
      </c>
      <c r="I34" s="116">
        <f>SUM(I32:I33)</f>
        <v>2</v>
      </c>
      <c r="J34" s="115">
        <f>SUM(J32:J33)</f>
        <v>22.166666666666664</v>
      </c>
    </row>
    <row r="35" spans="1:16" x14ac:dyDescent="0.25">
      <c r="A35" s="9">
        <v>6.2082223672375179</v>
      </c>
      <c r="B35" t="str">
        <v>sleeping bag liner blue</v>
      </c>
      <c r="C35">
        <v>0</v>
      </c>
      <c r="D35" s="9">
        <v>6.2082223672375179</v>
      </c>
      <c r="F35" s="117">
        <v>128</v>
      </c>
      <c r="G35" s="118">
        <f>F35/$G$1</f>
        <v>4.5150708125363765</v>
      </c>
      <c r="H35" s="117" t="s">
        <v>244</v>
      </c>
      <c r="I35" s="117">
        <f>INT(G35/16)</f>
        <v>0</v>
      </c>
      <c r="J35" s="118">
        <f>MOD(G35,16)</f>
        <v>4.5150708125363765</v>
      </c>
      <c r="K35" t="s">
        <v>245</v>
      </c>
    </row>
    <row r="36" spans="1:16" x14ac:dyDescent="0.25">
      <c r="A36" s="9">
        <v>0</v>
      </c>
      <c r="B36" t="str">
        <v>sleeping bag liner #2</v>
      </c>
      <c r="C36">
        <v>0</v>
      </c>
      <c r="D36" s="9">
        <v>0</v>
      </c>
      <c r="F36" s="9"/>
      <c r="G36" s="119">
        <f>A35-G35</f>
        <v>1.6931515547011413</v>
      </c>
      <c r="H36" s="120" t="s">
        <v>250</v>
      </c>
      <c r="I36" s="120">
        <f>INT(G36/16)</f>
        <v>0</v>
      </c>
      <c r="J36" s="119">
        <f>MOD(G36,16)</f>
        <v>1.6931515547011413</v>
      </c>
    </row>
    <row r="37" spans="1:16" x14ac:dyDescent="0.25">
      <c r="A37" s="9">
        <v>3.033563202172878</v>
      </c>
      <c r="B37" t="str">
        <v>pillow orange/gray</v>
      </c>
      <c r="C37">
        <v>0</v>
      </c>
      <c r="D37" s="9">
        <v>3.033563202172878</v>
      </c>
    </row>
    <row r="38" spans="1:16" x14ac:dyDescent="0.25">
      <c r="A38" s="9">
        <v>3.1746591650646399</v>
      </c>
      <c r="B38" t="str">
        <v>pillow black (Outdoor Vitals)</v>
      </c>
      <c r="C38">
        <v>0</v>
      </c>
      <c r="D38" s="9">
        <v>3.1746591650646399</v>
      </c>
      <c r="F38" s="9"/>
      <c r="G38" s="121">
        <f>A45-G34</f>
        <v>22.313333333333325</v>
      </c>
      <c r="H38" s="122" t="s">
        <v>250</v>
      </c>
      <c r="I38" s="122">
        <f t="shared" ref="I38" si="3">INT(G38/16)</f>
        <v>1</v>
      </c>
      <c r="J38" s="121">
        <f t="shared" ref="J38" si="4">MOD(G38,16)</f>
        <v>6.3133333333333255</v>
      </c>
      <c r="L38" t="s">
        <v>253</v>
      </c>
    </row>
    <row r="39" spans="1:16" x14ac:dyDescent="0.25">
      <c r="A39" s="9">
        <v>25.079807404010655</v>
      </c>
      <c r="B39" t="str">
        <v>Air matress Big Birtha</v>
      </c>
      <c r="C39">
        <v>1</v>
      </c>
      <c r="D39" s="9">
        <v>9.0798074040106549</v>
      </c>
      <c r="L39">
        <v>2</v>
      </c>
      <c r="M39" t="s">
        <v>261</v>
      </c>
    </row>
    <row r="40" spans="1:16" x14ac:dyDescent="0.25">
      <c r="A40" s="9">
        <v>17.213707472794937</v>
      </c>
      <c r="B40" t="str">
        <v>Air matress blue</v>
      </c>
      <c r="C40">
        <v>1</v>
      </c>
      <c r="D40" s="9">
        <v>1.2137074727949368</v>
      </c>
      <c r="L40">
        <v>3.6</v>
      </c>
      <c r="M40" t="s">
        <v>254</v>
      </c>
    </row>
    <row r="41" spans="1:16" x14ac:dyDescent="0.25">
      <c r="A41" s="9">
        <v>0</v>
      </c>
      <c r="B41" t="str">
        <v>Top Quilt</v>
      </c>
      <c r="C41" t="str">
        <v/>
      </c>
      <c r="D41" s="9">
        <v>0</v>
      </c>
      <c r="L41">
        <v>5</v>
      </c>
      <c r="M41" t="s">
        <v>255</v>
      </c>
    </row>
    <row r="42" spans="1:16" x14ac:dyDescent="0.25">
      <c r="A42" s="115">
        <v>31.676043669200517</v>
      </c>
      <c r="B42" s="116" t="str">
        <v>Under Quilt Blue 5.0 Climashield</v>
      </c>
      <c r="C42" s="116">
        <v>1</v>
      </c>
      <c r="D42" s="115">
        <v>15.676043669200517</v>
      </c>
      <c r="L42">
        <v>6</v>
      </c>
      <c r="M42" t="s">
        <v>256</v>
      </c>
    </row>
    <row r="43" spans="1:16" x14ac:dyDescent="0.25">
      <c r="A43" s="9">
        <v>0</v>
      </c>
      <c r="B43" t="str">
        <v>New Under Quilt</v>
      </c>
      <c r="C43">
        <v>0</v>
      </c>
      <c r="D43" s="9">
        <v>0</v>
      </c>
      <c r="L43">
        <v>7.5</v>
      </c>
      <c r="M43" t="s">
        <v>257</v>
      </c>
    </row>
    <row r="45" spans="1:16" x14ac:dyDescent="0.25">
      <c r="A45" s="115">
        <f>44.8+31.68</f>
        <v>76.47999999999999</v>
      </c>
      <c r="B45" s="116" t="s">
        <v>247</v>
      </c>
      <c r="C45" s="116">
        <f t="shared" ref="C45" si="5">INT(A45/16)</f>
        <v>4</v>
      </c>
      <c r="D45" s="115">
        <f t="shared" ref="D45" si="6">MOD(A45,16)</f>
        <v>12.47999999999999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E1AB5-58DA-4A94-818C-B63F1F9862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New Gear Checklist</vt:lpstr>
      <vt:lpstr>Single Sheet</vt:lpstr>
      <vt:lpstr>Single Column</vt:lpstr>
      <vt:lpstr>Gear combos</vt:lpstr>
      <vt:lpstr>AirMatresses</vt:lpstr>
      <vt:lpstr>Backpacks</vt:lpstr>
      <vt:lpstr>Hammocks</vt:lpstr>
      <vt:lpstr>PackCover</vt:lpstr>
      <vt:lpstr>'New Gear Checklist'!Print_Titles</vt:lpstr>
      <vt:lpstr>'New Gear Checklist'!Print_Titles_0</vt:lpstr>
      <vt:lpstr>SleepingBagLiners</vt:lpstr>
      <vt:lpstr>SleepingBags</vt:lpstr>
      <vt:lpstr>Tarps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Smith Personal</dc:creator>
  <cp:keywords/>
  <dc:description/>
  <cp:lastModifiedBy>Smith, David P</cp:lastModifiedBy>
  <cp:revision/>
  <cp:lastPrinted>2024-08-19T18:56:21Z</cp:lastPrinted>
  <dcterms:created xsi:type="dcterms:W3CDTF">2020-09-07T11:43:12Z</dcterms:created>
  <dcterms:modified xsi:type="dcterms:W3CDTF">2025-03-14T12:47:48Z</dcterms:modified>
  <cp:category/>
  <cp:contentStatus/>
</cp:coreProperties>
</file>