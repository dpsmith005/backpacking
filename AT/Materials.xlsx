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llspan-my.sharepoint.com/personal/dsmith14_wellspan_org/Documents/Documents/GitHub/dps/AT/"/>
    </mc:Choice>
  </mc:AlternateContent>
  <xr:revisionPtr revIDLastSave="146" documentId="8_{C7F6FACF-983A-4174-A2EA-A87A6F163CFF}" xr6:coauthVersionLast="47" xr6:coauthVersionMax="47" xr10:uidLastSave="{50DEF07D-C02C-47C3-B13E-1918AE72648A}"/>
  <bookViews>
    <workbookView xWindow="885" yWindow="510" windowWidth="27525" windowHeight="15225" activeTab="2" xr2:uid="{362FB22F-6BD6-431B-94C9-F0870D854534}"/>
  </bookViews>
  <sheets>
    <sheet name="Materials" sheetId="1" r:id="rId1"/>
    <sheet name="ToDo" sheetId="2" r:id="rId2"/>
    <sheet name="Make" sheetId="4" r:id="rId3"/>
    <sheet name="No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4" l="1"/>
  <c r="H19" i="4"/>
  <c r="H48" i="4"/>
  <c r="E49" i="4"/>
  <c r="R19" i="3" l="1"/>
  <c r="R20" i="3"/>
  <c r="R21" i="3"/>
  <c r="R22" i="3"/>
  <c r="R18" i="3"/>
  <c r="U23" i="3"/>
  <c r="S47" i="4"/>
  <c r="S46" i="4"/>
  <c r="S45" i="4"/>
  <c r="C4" i="3"/>
  <c r="C5" i="3"/>
  <c r="C6" i="3"/>
  <c r="C7" i="3"/>
  <c r="C8" i="3"/>
  <c r="C3" i="3"/>
  <c r="H119" i="4"/>
  <c r="Q122" i="4"/>
  <c r="S33" i="4"/>
  <c r="S32" i="4"/>
  <c r="J4" i="4"/>
  <c r="J6" i="4"/>
  <c r="J7" i="4"/>
  <c r="J8" i="4"/>
  <c r="J9" i="4"/>
  <c r="J10" i="4"/>
  <c r="J11" i="4"/>
  <c r="J12" i="4"/>
  <c r="J13" i="4"/>
  <c r="J14" i="4"/>
  <c r="J15" i="4"/>
  <c r="J16" i="4"/>
  <c r="J17" i="4"/>
  <c r="J19" i="4"/>
  <c r="J20" i="4"/>
  <c r="J21" i="4"/>
  <c r="J22" i="4"/>
  <c r="J23" i="4"/>
  <c r="J24" i="4"/>
  <c r="J25" i="4"/>
  <c r="J26" i="4"/>
  <c r="J27" i="4"/>
  <c r="J28" i="4"/>
  <c r="J30" i="4"/>
  <c r="J31" i="4"/>
  <c r="J32" i="4"/>
  <c r="J33" i="4"/>
  <c r="J34" i="4"/>
  <c r="J35" i="4"/>
  <c r="J36" i="4"/>
  <c r="J37" i="4"/>
  <c r="J38" i="4"/>
  <c r="J40" i="4"/>
  <c r="J43" i="4"/>
  <c r="J44" i="4"/>
  <c r="J45" i="4"/>
  <c r="J47" i="4"/>
  <c r="J48" i="4"/>
  <c r="J49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100" i="4"/>
  <c r="J101" i="4"/>
  <c r="J102" i="4"/>
  <c r="J103" i="4"/>
  <c r="J104" i="4"/>
  <c r="J105" i="4"/>
  <c r="J106" i="4"/>
  <c r="J108" i="4"/>
  <c r="J109" i="4"/>
  <c r="J111" i="4"/>
  <c r="J112" i="4"/>
  <c r="J113" i="4"/>
  <c r="J114" i="4"/>
  <c r="J115" i="4"/>
  <c r="J116" i="4"/>
  <c r="J117" i="4"/>
  <c r="J118" i="4"/>
  <c r="J3" i="4"/>
  <c r="Q121" i="4"/>
  <c r="L121" i="4"/>
  <c r="C117" i="4"/>
  <c r="E117" i="4" s="1"/>
  <c r="H117" i="4"/>
  <c r="Q117" i="4"/>
  <c r="T33" i="4" s="1"/>
  <c r="N117" i="4"/>
  <c r="Q5" i="4"/>
  <c r="Q6" i="4"/>
  <c r="H5" i="4"/>
  <c r="H6" i="4"/>
  <c r="H7" i="4"/>
  <c r="S14" i="3"/>
  <c r="A45" i="4" l="1"/>
  <c r="R12" i="3"/>
  <c r="P12" i="3"/>
  <c r="E45" i="4" l="1"/>
  <c r="J46" i="4"/>
  <c r="E44" i="4"/>
  <c r="P13" i="3"/>
  <c r="P14" i="3" s="1"/>
  <c r="R13" i="3"/>
  <c r="R14" i="3" s="1"/>
  <c r="Q32" i="4"/>
  <c r="H33" i="4"/>
  <c r="N100" i="4"/>
  <c r="E100" i="4"/>
  <c r="E101" i="4"/>
  <c r="T13" i="4"/>
  <c r="Q60" i="4"/>
  <c r="H60" i="4"/>
  <c r="Q52" i="4"/>
  <c r="Q53" i="4"/>
  <c r="Q54" i="4"/>
  <c r="Q55" i="4"/>
  <c r="Q56" i="4"/>
  <c r="Q57" i="4"/>
  <c r="Q58" i="4"/>
  <c r="Q59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51" i="4"/>
  <c r="Q111" i="4"/>
  <c r="H111" i="4"/>
  <c r="Q90" i="4"/>
  <c r="Q91" i="4"/>
  <c r="H91" i="4"/>
  <c r="E93" i="4"/>
  <c r="A39" i="4"/>
  <c r="J39" i="4" s="1"/>
  <c r="Q38" i="4"/>
  <c r="Q39" i="4"/>
  <c r="Q40" i="4"/>
  <c r="Q35" i="4"/>
  <c r="Q34" i="4"/>
  <c r="Q19" i="4"/>
  <c r="Q20" i="4"/>
  <c r="Q21" i="4"/>
  <c r="Q22" i="4"/>
  <c r="Q23" i="4"/>
  <c r="Q24" i="4"/>
  <c r="H36" i="4" l="1"/>
  <c r="T11" i="4"/>
  <c r="T12" i="4"/>
  <c r="T14" i="4"/>
  <c r="T15" i="4"/>
  <c r="T16" i="4"/>
  <c r="T17" i="4"/>
  <c r="T10" i="4"/>
  <c r="S31" i="4"/>
  <c r="S30" i="4"/>
  <c r="S29" i="4"/>
  <c r="S28" i="4"/>
  <c r="S27" i="4"/>
  <c r="S26" i="4"/>
  <c r="S25" i="4"/>
  <c r="S24" i="4"/>
  <c r="S23" i="4"/>
  <c r="S22" i="4"/>
  <c r="S21" i="4"/>
  <c r="H46" i="4"/>
  <c r="H47" i="4"/>
  <c r="Q25" i="4"/>
  <c r="H26" i="4"/>
  <c r="H35" i="4"/>
  <c r="H38" i="4"/>
  <c r="H39" i="4"/>
  <c r="H40" i="4"/>
  <c r="H41" i="4"/>
  <c r="H44" i="4"/>
  <c r="H45" i="4"/>
  <c r="H51" i="4"/>
  <c r="H55" i="4"/>
  <c r="H56" i="4"/>
  <c r="H57" i="4"/>
  <c r="H58" i="4"/>
  <c r="H59" i="4"/>
  <c r="H61" i="4"/>
  <c r="H62" i="4"/>
  <c r="H63" i="4"/>
  <c r="H64" i="4"/>
  <c r="H65" i="4"/>
  <c r="H66" i="4"/>
  <c r="H67" i="4"/>
  <c r="H68" i="4"/>
  <c r="H69" i="4"/>
  <c r="H70" i="4"/>
  <c r="H17" i="4"/>
  <c r="H18" i="4"/>
  <c r="H20" i="4"/>
  <c r="H21" i="4"/>
  <c r="H22" i="4"/>
  <c r="H23" i="4"/>
  <c r="H24" i="4"/>
  <c r="H25" i="4"/>
  <c r="H11" i="4"/>
  <c r="H12" i="4"/>
  <c r="H13" i="4"/>
  <c r="H14" i="4"/>
  <c r="H16" i="4"/>
  <c r="Q106" i="4"/>
  <c r="N106" i="4"/>
  <c r="H106" i="4"/>
  <c r="E106" i="4"/>
  <c r="N93" i="4"/>
  <c r="N105" i="4"/>
  <c r="E105" i="4"/>
  <c r="Q86" i="4"/>
  <c r="Q88" i="4"/>
  <c r="Q89" i="4"/>
  <c r="Q93" i="4"/>
  <c r="Q94" i="4"/>
  <c r="Q100" i="4"/>
  <c r="Q101" i="4"/>
  <c r="Q105" i="4"/>
  <c r="H100" i="4"/>
  <c r="H101" i="4"/>
  <c r="H105" i="4"/>
  <c r="H94" i="4"/>
  <c r="E94" i="4"/>
  <c r="H43" i="4" l="1"/>
  <c r="Q112" i="4"/>
  <c r="H112" i="4"/>
  <c r="T30" i="4" s="1"/>
  <c r="Q92" i="4"/>
  <c r="Q97" i="4"/>
  <c r="H104" i="4"/>
  <c r="T29" i="4" s="1"/>
  <c r="H27" i="4"/>
  <c r="T22" i="4" s="1"/>
  <c r="H49" i="4"/>
  <c r="T25" i="4" s="1"/>
  <c r="T24" i="4"/>
  <c r="H93" i="4"/>
  <c r="H97" i="4" s="1"/>
  <c r="T28" i="4" s="1"/>
  <c r="T41" i="4" l="1"/>
  <c r="T42" i="4"/>
  <c r="E90" i="4"/>
  <c r="H90" i="4"/>
  <c r="H89" i="4"/>
  <c r="E89" i="4"/>
  <c r="E88" i="4"/>
  <c r="H86" i="4"/>
  <c r="H88" i="4"/>
  <c r="H114" i="4"/>
  <c r="H115" i="4"/>
  <c r="H116" i="4"/>
  <c r="Q28" i="4"/>
  <c r="Q29" i="4"/>
  <c r="Q30" i="4"/>
  <c r="Q31" i="4"/>
  <c r="Q33" i="4"/>
  <c r="N46" i="4"/>
  <c r="H28" i="4"/>
  <c r="H29" i="4"/>
  <c r="H30" i="4"/>
  <c r="H31" i="4"/>
  <c r="H34" i="4"/>
  <c r="H52" i="4"/>
  <c r="H53" i="4"/>
  <c r="H54" i="4"/>
  <c r="C51" i="4"/>
  <c r="A5" i="4"/>
  <c r="E19" i="4" s="1"/>
  <c r="H32" i="4"/>
  <c r="H75" i="4"/>
  <c r="H74" i="4"/>
  <c r="Q44" i="4"/>
  <c r="Q45" i="4"/>
  <c r="H71" i="4"/>
  <c r="H72" i="4"/>
  <c r="H73" i="4"/>
  <c r="H76" i="4"/>
  <c r="H77" i="4"/>
  <c r="H9" i="4"/>
  <c r="H10" i="4"/>
  <c r="H8" i="4"/>
  <c r="E38" i="4"/>
  <c r="A18" i="4"/>
  <c r="J18" i="4" s="1"/>
  <c r="N89" i="4" l="1"/>
  <c r="J5" i="4"/>
  <c r="H92" i="4"/>
  <c r="T27" i="4" s="1"/>
  <c r="T38" i="4" s="1"/>
  <c r="Q49" i="4"/>
  <c r="H37" i="4"/>
  <c r="T23" i="4" s="1"/>
  <c r="E18" i="4"/>
  <c r="E17" i="4"/>
  <c r="N18" i="4"/>
  <c r="E9" i="4"/>
  <c r="E10" i="4"/>
  <c r="E8" i="4"/>
  <c r="E7" i="4"/>
  <c r="E39" i="4"/>
  <c r="N17" i="4"/>
  <c r="E16" i="4"/>
  <c r="T5" i="4" s="1"/>
  <c r="N4" i="4" l="1"/>
  <c r="N7" i="4"/>
  <c r="N8" i="4"/>
  <c r="N9" i="4"/>
  <c r="N10" i="4"/>
  <c r="N3" i="4"/>
  <c r="E4" i="4"/>
  <c r="E3" i="4"/>
  <c r="T4" i="4" s="1"/>
  <c r="T6" i="4" s="1"/>
  <c r="A29" i="4"/>
  <c r="J29" i="4" s="1"/>
  <c r="H78" i="4"/>
  <c r="H79" i="4" s="1"/>
  <c r="W40" i="4" s="1"/>
  <c r="Q16" i="4"/>
  <c r="Q17" i="4"/>
  <c r="Q18" i="4"/>
  <c r="Q12" i="4"/>
  <c r="Q11" i="4"/>
  <c r="Q10" i="4"/>
  <c r="Q9" i="4"/>
  <c r="Q4" i="4"/>
  <c r="Q7" i="4"/>
  <c r="Q8" i="4"/>
  <c r="Q27" i="4"/>
  <c r="Q36" i="4" s="1"/>
  <c r="Q37" i="4"/>
  <c r="Q43" i="4" s="1"/>
  <c r="Q80" i="4"/>
  <c r="Q81" i="4"/>
  <c r="Q82" i="4"/>
  <c r="Q84" i="4"/>
  <c r="Q85" i="4"/>
  <c r="Q3" i="4"/>
  <c r="H3" i="4"/>
  <c r="H4" i="4"/>
  <c r="H80" i="4"/>
  <c r="H81" i="4"/>
  <c r="H82" i="4"/>
  <c r="H84" i="4"/>
  <c r="H85" i="4"/>
  <c r="Q87" i="4" l="1"/>
  <c r="Q83" i="4"/>
  <c r="Q15" i="4"/>
  <c r="Q26" i="4"/>
  <c r="Q79" i="4"/>
  <c r="T26" i="4" s="1"/>
  <c r="T39" i="4" s="1"/>
  <c r="H87" i="4"/>
  <c r="T32" i="4" s="1"/>
  <c r="H83" i="4"/>
  <c r="T31" i="4" s="1"/>
  <c r="H15" i="4"/>
  <c r="T21" i="4" s="1"/>
  <c r="T40" i="4" s="1"/>
  <c r="E29" i="4"/>
  <c r="E28" i="4"/>
  <c r="K4" i="3"/>
  <c r="J51" i="2"/>
  <c r="J44" i="2"/>
  <c r="J46" i="2"/>
  <c r="J50" i="2"/>
  <c r="J41" i="2"/>
  <c r="J49" i="2"/>
  <c r="L50" i="2" s="1"/>
  <c r="J47" i="2"/>
  <c r="J48" i="2"/>
  <c r="J31" i="2"/>
  <c r="J32" i="2"/>
  <c r="J33" i="2"/>
  <c r="J34" i="2"/>
  <c r="J35" i="2"/>
  <c r="J36" i="2"/>
  <c r="J37" i="2"/>
  <c r="J38" i="2"/>
  <c r="J39" i="2"/>
  <c r="J40" i="2"/>
  <c r="J42" i="2"/>
  <c r="J43" i="2"/>
  <c r="J45" i="2"/>
  <c r="J30" i="2"/>
  <c r="N30" i="1"/>
  <c r="N29" i="1"/>
  <c r="F15" i="3"/>
  <c r="H15" i="3" s="1"/>
  <c r="F27" i="3"/>
  <c r="H27" i="3" s="1"/>
  <c r="F28" i="3"/>
  <c r="H28" i="3" s="1"/>
  <c r="F26" i="3"/>
  <c r="H26" i="3" s="1"/>
  <c r="F25" i="3"/>
  <c r="F24" i="3"/>
  <c r="F22" i="3"/>
  <c r="H22" i="3" s="1"/>
  <c r="F21" i="3"/>
  <c r="F18" i="3"/>
  <c r="H18" i="3" s="1"/>
  <c r="F17" i="3"/>
  <c r="H17" i="3" s="1"/>
  <c r="F14" i="3"/>
  <c r="H14" i="3" s="1"/>
  <c r="F13" i="3"/>
  <c r="H13" i="3" s="1"/>
  <c r="F11" i="3"/>
  <c r="H11" i="3" s="1"/>
  <c r="E2" i="3"/>
  <c r="N26" i="1"/>
  <c r="N27" i="1"/>
  <c r="N6" i="1"/>
  <c r="N15" i="1"/>
  <c r="N21" i="1"/>
  <c r="N24" i="1"/>
  <c r="N28" i="1"/>
  <c r="N23" i="1"/>
  <c r="N22" i="1"/>
  <c r="N13" i="1"/>
  <c r="N10" i="1"/>
  <c r="N4" i="1"/>
  <c r="N5" i="1"/>
  <c r="N7" i="1"/>
  <c r="N8" i="1"/>
  <c r="N9" i="1"/>
  <c r="N11" i="1"/>
  <c r="N12" i="1"/>
  <c r="N14" i="1"/>
  <c r="N16" i="1"/>
  <c r="N17" i="1"/>
  <c r="N25" i="1"/>
  <c r="O28" i="1" s="1"/>
  <c r="N3" i="1"/>
  <c r="F3" i="1"/>
  <c r="F11" i="1"/>
  <c r="F15" i="1"/>
  <c r="H35" i="1"/>
  <c r="H36" i="1"/>
  <c r="H34" i="1"/>
  <c r="H32" i="1"/>
  <c r="H33" i="1"/>
  <c r="G19" i="1"/>
  <c r="G22" i="1"/>
  <c r="G14" i="1"/>
  <c r="H30" i="1"/>
  <c r="G38" i="1"/>
  <c r="F21" i="1"/>
  <c r="G10" i="1"/>
  <c r="T37" i="4" l="1"/>
  <c r="T35" i="4"/>
  <c r="K8" i="3"/>
  <c r="K9" i="3" s="1"/>
  <c r="M15" i="3"/>
  <c r="M19" i="3"/>
  <c r="M23" i="3"/>
  <c r="M27" i="3"/>
  <c r="L12" i="3"/>
  <c r="L16" i="3"/>
  <c r="L20" i="3"/>
  <c r="L24" i="3"/>
  <c r="L28" i="3"/>
  <c r="M12" i="3"/>
  <c r="M16" i="3"/>
  <c r="M20" i="3"/>
  <c r="M24" i="3"/>
  <c r="M28" i="3"/>
  <c r="L14" i="3"/>
  <c r="L26" i="3"/>
  <c r="L19" i="3"/>
  <c r="L23" i="3"/>
  <c r="L13" i="3"/>
  <c r="L17" i="3"/>
  <c r="L21" i="3"/>
  <c r="L25" i="3"/>
  <c r="L11" i="3"/>
  <c r="L18" i="3"/>
  <c r="M13" i="3"/>
  <c r="M17" i="3"/>
  <c r="M21" i="3"/>
  <c r="M25" i="3"/>
  <c r="M11" i="3"/>
  <c r="L22" i="3"/>
  <c r="L15" i="3"/>
  <c r="L27" i="3"/>
  <c r="M14" i="3"/>
  <c r="M18" i="3"/>
  <c r="M22" i="3"/>
  <c r="M26" i="3"/>
  <c r="J52" i="2"/>
  <c r="O24" i="1"/>
  <c r="N19" i="1"/>
  <c r="G28" i="1"/>
  <c r="G27" i="1"/>
  <c r="G5" i="1"/>
  <c r="G25" i="1"/>
  <c r="G9" i="1"/>
  <c r="G39" i="1" l="1"/>
  <c r="F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Smith, David P</author>
  </authors>
  <commentList>
    <comment ref="I40" authorId="0" shapeId="0" xr:uid="{4F307DA1-3A70-4A4C-ADB6-43849FC873C5}">
      <text>
        <r>
          <rPr>
            <b/>
            <sz val="9"/>
            <color indexed="81"/>
            <rFont val="Tahoma"/>
            <family val="2"/>
          </rPr>
          <t>Smith, David 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<sst xmlns="http://schemas.openxmlformats.org/spreadsheetml/2006/main" count="843" uniqueCount="508">
  <si>
    <t>piping slide</t>
  </si>
  <si>
    <t>1/2" Ladder lock</t>
  </si>
  <si>
    <t>Pockets size 8" tall x 6" wide x 1 1/2" deep. Shape like blue pack.  7" zipper #3 (have)</t>
  </si>
  <si>
    <t>Qty</t>
  </si>
  <si>
    <t>New Pack</t>
  </si>
  <si>
    <t>New Tarp</t>
  </si>
  <si>
    <t>Tarp Kit</t>
  </si>
  <si>
    <t>RipStop</t>
  </si>
  <si>
    <t>Dutchwear</t>
  </si>
  <si>
    <t>bug net</t>
  </si>
  <si>
    <t>8 yds</t>
  </si>
  <si>
    <t>HyperD 300 tie-outs &amp; ridgeline</t>
  </si>
  <si>
    <t>https://cdn.shopify.com/s/files/1/0261/6507/files/HEX12_Tarp_Instructions_-_revA.pdf?2687007158395941466</t>
  </si>
  <si>
    <t>tarp sleeves</t>
  </si>
  <si>
    <t>1/2 yard</t>
  </si>
  <si>
    <t>https://dutchwaregear.com/2016/05/10/diy-winter-tarp-tutorial/</t>
  </si>
  <si>
    <t>1.1 oz silpoly</t>
  </si>
  <si>
    <t>1.1 oz Xenon poly (4000)</t>
  </si>
  <si>
    <t>Item</t>
  </si>
  <si>
    <t>.67 oz (Dutch is Nano)</t>
  </si>
  <si>
    <t>50'</t>
  </si>
  <si>
    <t>25'</t>
  </si>
  <si>
    <t>shock cord 3/32 (25')</t>
  </si>
  <si>
    <t>reflective cord (25') 1mm</t>
  </si>
  <si>
    <t>reflective cord (25') 1.3mm</t>
  </si>
  <si>
    <t>Totals</t>
  </si>
  <si>
    <t>tree straps (25')</t>
  </si>
  <si>
    <t>strap hook (Dutch clip)</t>
  </si>
  <si>
    <t>beetle buckle Ti</t>
  </si>
  <si>
    <t>Cinch Buckle</t>
  </si>
  <si>
    <t>Zint-It (25')</t>
  </si>
  <si>
    <t>loop alien</t>
  </si>
  <si>
    <t>ring worm</t>
  </si>
  <si>
    <t>hook worm</t>
  </si>
  <si>
    <t>guy lines</t>
  </si>
  <si>
    <t>tarp</t>
  </si>
  <si>
    <t>cinch bugs Ti</t>
  </si>
  <si>
    <t>Amsteel 7/64"</t>
  </si>
  <si>
    <t>tarpworm</t>
  </si>
  <si>
    <t>1/2" Grossgrain</t>
  </si>
  <si>
    <t>reflective cord (25') 1.5mm</t>
  </si>
  <si>
    <t>1.5 yds</t>
  </si>
  <si>
    <t>Dynaglide</t>
  </si>
  <si>
    <t>$60 complete strap setup</t>
  </si>
  <si>
    <t>New Bugnet</t>
  </si>
  <si>
    <t>New Hammock</t>
  </si>
  <si>
    <t>Bill - Down underquilt</t>
  </si>
  <si>
    <t>Bear bag line</t>
  </si>
  <si>
    <t>New hammock suspension</t>
  </si>
  <si>
    <t xml:space="preserve">  -soft shackle w/ diamon knot</t>
  </si>
  <si>
    <t>Pack - 300D per 1/2 yd</t>
  </si>
  <si>
    <t>Hammock - hexon 1.6</t>
  </si>
  <si>
    <t>Hammock - 1.6 HyperD</t>
  </si>
  <si>
    <t>tyvek 3' wide (DG 1/2yd x 60")</t>
  </si>
  <si>
    <t>tyvek 3' wide (RBTR 1' x 36")</t>
  </si>
  <si>
    <t>8' x 4'</t>
  </si>
  <si>
    <t>Seam Grip + SIL</t>
  </si>
  <si>
    <t>Line Lock V</t>
  </si>
  <si>
    <t>4 yds</t>
  </si>
  <si>
    <t>speader bar .665 39"</t>
  </si>
  <si>
    <t>3 yds</t>
  </si>
  <si>
    <t>Bridge Hammock</t>
  </si>
  <si>
    <t>set of 4</t>
  </si>
  <si>
    <t>AL Bridge Hammock end</t>
  </si>
  <si>
    <t>1/2" polyester webbing</t>
  </si>
  <si>
    <t>Total</t>
  </si>
  <si>
    <t>Hammock</t>
  </si>
  <si>
    <t>Total:</t>
  </si>
  <si>
    <t>Hexon 1.6 (gathered end)</t>
  </si>
  <si>
    <t>1/2" webbing</t>
  </si>
  <si>
    <t>cinch bugs Ti (2)</t>
  </si>
  <si>
    <t>AL Bridge Hammock end (4)</t>
  </si>
  <si>
    <t>Dutch clip (2)</t>
  </si>
  <si>
    <t>Gutterman Mara 70 - dark olive</t>
  </si>
  <si>
    <t>Twist Pouches</t>
  </si>
  <si>
    <t>.67 oz no-seeum bugnet (1 yd * 8)</t>
  </si>
  <si>
    <t>clip hook</t>
  </si>
  <si>
    <t>ION (UQ)</t>
  </si>
  <si>
    <t>Climashield 2.5 oz</t>
  </si>
  <si>
    <t>Thread</t>
  </si>
  <si>
    <t>.67 oz no-seeum half bugnet</t>
  </si>
  <si>
    <t>Make evo loops</t>
  </si>
  <si>
    <t>Make universal becket loop</t>
  </si>
  <si>
    <t>https://www.youtube.com/watch?v=UNKPmNFO_4U&amp;t=325s</t>
  </si>
  <si>
    <t>Hammock to webbing with prusik and  becket hitch</t>
  </si>
  <si>
    <t>Use for webbing at tree.</t>
  </si>
  <si>
    <t>See in use</t>
  </si>
  <si>
    <t>https://www.youtube.com/watch?v=8ddmyrwAJX8&amp;list=PL98AtR_6iiAJX-aKyRgvAc6IqYbvuBHt5</t>
  </si>
  <si>
    <t>Make UCR</t>
  </si>
  <si>
    <t>https://www.youtube.com/watch?v=ryrXxv7XuBU</t>
  </si>
  <si>
    <t>https://www.youtube.com/watch?v=j3c4rgetTtU</t>
  </si>
  <si>
    <t>loop with button knot</t>
  </si>
  <si>
    <t>For hammock hang to webbing (x2)</t>
  </si>
  <si>
    <t>For adjustable ridgeline</t>
  </si>
  <si>
    <t>Hexon 1.2 (bridge) dark olive</t>
  </si>
  <si>
    <t>275 pounds</t>
  </si>
  <si>
    <t>Hexon 1.0 200#</t>
  </si>
  <si>
    <t>Hexon 1.6 350#</t>
  </si>
  <si>
    <t>(209) Button Knot Soft Shackle D.I.Y. How To - YouTube</t>
  </si>
  <si>
    <t>How to make</t>
  </si>
  <si>
    <t>(209) Soft Buckle II plus no jam larks head - YouTube</t>
  </si>
  <si>
    <t>webbing to hammock connector</t>
  </si>
  <si>
    <t>https://www.youtube.com/watch?v=VKGusu5CiOQ&amp;t=0s</t>
  </si>
  <si>
    <t>Make different colored bags</t>
  </si>
  <si>
    <t xml:space="preserve">Rain Gear </t>
  </si>
  <si>
    <t>Water Filter</t>
  </si>
  <si>
    <t>Food Bag</t>
  </si>
  <si>
    <t>yellow</t>
  </si>
  <si>
    <t>Kitchen</t>
  </si>
  <si>
    <t>FirstAid</t>
  </si>
  <si>
    <t>red</t>
  </si>
  <si>
    <t>blue</t>
  </si>
  <si>
    <t>Misc / Extras</t>
  </si>
  <si>
    <t>green</t>
  </si>
  <si>
    <t>sleeping bag liner</t>
  </si>
  <si>
    <t>Tarp</t>
  </si>
  <si>
    <t>Tree Huggers</t>
  </si>
  <si>
    <t>grey</t>
  </si>
  <si>
    <t>complete</t>
  </si>
  <si>
    <t>forest green</t>
  </si>
  <si>
    <t>olive</t>
  </si>
  <si>
    <t>make w/ HyperD orange</t>
  </si>
  <si>
    <t>orange</t>
  </si>
  <si>
    <t>Zing-it</t>
  </si>
  <si>
    <t>Splicing needles</t>
  </si>
  <si>
    <t>X</t>
  </si>
  <si>
    <t>7/64 Amsteel (25') (red &amp; blue)</t>
  </si>
  <si>
    <t>.582 spreader bar 28.5"</t>
  </si>
  <si>
    <t>Gutterman Mara 50 - black</t>
  </si>
  <si>
    <t>Argon .9 or .67 ($7.50, $10.00)</t>
  </si>
  <si>
    <t>Hexon 1.2 (gathered end)</t>
  </si>
  <si>
    <t>Bag Liner ION 2-3 yards</t>
  </si>
  <si>
    <t>Spider 1" webbing - lightest webbing 10'</t>
  </si>
  <si>
    <t>Climashield APEX</t>
  </si>
  <si>
    <t>2.5 oz</t>
  </si>
  <si>
    <t>7.5 oz</t>
  </si>
  <si>
    <t>5.0 oz</t>
  </si>
  <si>
    <t>3.6 oz</t>
  </si>
  <si>
    <t>10 oz</t>
  </si>
  <si>
    <t>F</t>
  </si>
  <si>
    <t>C</t>
  </si>
  <si>
    <t>weight</t>
  </si>
  <si>
    <t>Fabric</t>
  </si>
  <si>
    <t>ION</t>
  </si>
  <si>
    <t>Argon</t>
  </si>
  <si>
    <t>Quilts</t>
  </si>
  <si>
    <t>Hexon</t>
  </si>
  <si>
    <t>Hammocks</t>
  </si>
  <si>
    <t>Xenon</t>
  </si>
  <si>
    <t>Tarps</t>
  </si>
  <si>
    <t>Waterproof</t>
  </si>
  <si>
    <t>1500 mm head</t>
  </si>
  <si>
    <t>300D</t>
  </si>
  <si>
    <t>Pack back</t>
  </si>
  <si>
    <t>Pack front</t>
  </si>
  <si>
    <t>Robic 210D</t>
  </si>
  <si>
    <t>275 #</t>
  </si>
  <si>
    <t>350 #</t>
  </si>
  <si>
    <t>1gm</t>
  </si>
  <si>
    <t>oz</t>
  </si>
  <si>
    <t>1oz</t>
  </si>
  <si>
    <t>gm</t>
  </si>
  <si>
    <t>gm/yd full width</t>
  </si>
  <si>
    <t>15d</t>
  </si>
  <si>
    <t>10d</t>
  </si>
  <si>
    <t>20d</t>
  </si>
  <si>
    <t>climashield</t>
  </si>
  <si>
    <t>300d</t>
  </si>
  <si>
    <t>5yds</t>
  </si>
  <si>
    <t>4yds</t>
  </si>
  <si>
    <t>8yds</t>
  </si>
  <si>
    <t>total oz</t>
  </si>
  <si>
    <t>2yds</t>
  </si>
  <si>
    <t>Under Quilt</t>
  </si>
  <si>
    <t>Sleeping bag liner</t>
  </si>
  <si>
    <t>new</t>
  </si>
  <si>
    <t>existing</t>
  </si>
  <si>
    <t>Kilt</t>
  </si>
  <si>
    <t>3yds</t>
  </si>
  <si>
    <t>Dark Olive 1.2 3yds - Bridge Hammock</t>
  </si>
  <si>
    <t>Gutterman 70 Thread- Black (+ colors to match purchased material)</t>
  </si>
  <si>
    <t>Zing-it / Lash-it</t>
  </si>
  <si>
    <t>25' @ $5.50</t>
  </si>
  <si>
    <t>Bridge Hammock with Dark Olive 1.2</t>
  </si>
  <si>
    <t>Bridge Hammock bug net</t>
  </si>
  <si>
    <t>Backback</t>
  </si>
  <si>
    <t>Backpack rain cover</t>
  </si>
  <si>
    <t>Under Quilt 2.5 Climashield</t>
  </si>
  <si>
    <t>Argon .67 or .9</t>
  </si>
  <si>
    <t>5 yds</t>
  </si>
  <si>
    <t>Gathered end Hammock (Hexon 1.2?1.6)</t>
  </si>
  <si>
    <t>Climashield 2 yds</t>
  </si>
  <si>
    <t>Sleeping Bag liner</t>
  </si>
  <si>
    <t>Ion 2 yds</t>
  </si>
  <si>
    <t>Ion 3 yds</t>
  </si>
  <si>
    <t>liner</t>
  </si>
  <si>
    <t>Purchase</t>
  </si>
  <si>
    <t>Zing-it 2@25'</t>
  </si>
  <si>
    <t>Shock cord 3/32 4 yds</t>
  </si>
  <si>
    <t>3/32 Shock cord - 4 yds</t>
  </si>
  <si>
    <t>Orange</t>
  </si>
  <si>
    <t>https://dutchwaregear.com/2016/02/12/diy-pack-cover/</t>
  </si>
  <si>
    <t>Grosgrain 1/2" &amp; 1"</t>
  </si>
  <si>
    <t>50 F</t>
  </si>
  <si>
    <t>40 F</t>
  </si>
  <si>
    <t>30 F</t>
  </si>
  <si>
    <t xml:space="preserve">Liner, Kilt - </t>
  </si>
  <si>
    <t xml:space="preserve">Quilt - </t>
  </si>
  <si>
    <t>Use</t>
  </si>
  <si>
    <t>Cost</t>
  </si>
  <si>
    <t>Price</t>
  </si>
  <si>
    <t>Climashield - 2.5oz</t>
  </si>
  <si>
    <t>Climashield - 3.6 oz</t>
  </si>
  <si>
    <t>Argon .67</t>
  </si>
  <si>
    <t>Argon .9</t>
  </si>
  <si>
    <t>Thread 50 - Black</t>
  </si>
  <si>
    <t>Thread 70 - ?</t>
  </si>
  <si>
    <t>Aluminum bridge ends (4)</t>
  </si>
  <si>
    <t>1/2" Webbing 25'</t>
  </si>
  <si>
    <t>32" spreader bar</t>
  </si>
  <si>
    <t>7/64 Amsteel 25'</t>
  </si>
  <si>
    <t>.67 bugnet</t>
  </si>
  <si>
    <t>Dutchware Pricing</t>
  </si>
  <si>
    <t xml:space="preserve">Hammock - </t>
  </si>
  <si>
    <t xml:space="preserve">BridgeHammock - </t>
  </si>
  <si>
    <t xml:space="preserve">Bridge Hammock - </t>
  </si>
  <si>
    <t>1" Webbing 25'</t>
  </si>
  <si>
    <t>Hexon 1.2 (275#)</t>
  </si>
  <si>
    <t>Hexon 1.6 (350#)</t>
  </si>
  <si>
    <t>Climashield - 6 oz</t>
  </si>
  <si>
    <t>102 gm</t>
  </si>
  <si>
    <t>112 gm</t>
  </si>
  <si>
    <t>.582 32" 350#</t>
  </si>
  <si>
    <t>.582 28.5 350#</t>
  </si>
  <si>
    <t xml:space="preserve">.665 32" </t>
  </si>
  <si>
    <t>131 gm</t>
  </si>
  <si>
    <t>.685 39"</t>
  </si>
  <si>
    <t>153 gm</t>
  </si>
  <si>
    <t>spreader bars</t>
  </si>
  <si>
    <t>5/8" Grosgrain 25'</t>
  </si>
  <si>
    <t>1" Grosgrain 25'</t>
  </si>
  <si>
    <t>1/2" Grosgrain 25'</t>
  </si>
  <si>
    <t>6.0 oz</t>
  </si>
  <si>
    <t>3/8 Amsteel 1'</t>
  </si>
  <si>
    <t>Amsteel</t>
  </si>
  <si>
    <t>1/4 - .95/foot</t>
  </si>
  <si>
    <t>3/16 - .57/foot</t>
  </si>
  <si>
    <t>5/16 - $1.5-/foot</t>
  </si>
  <si>
    <t>7/64 $5.50 25'</t>
  </si>
  <si>
    <t>1/8 $7.50 25'</t>
  </si>
  <si>
    <t>3/8 - $2.00/foot</t>
  </si>
  <si>
    <t>Fast Shackle</t>
  </si>
  <si>
    <t>https://www.youtube.com/watch?v=QYZ3ZL1Mhao</t>
  </si>
  <si>
    <t>start with 28" 7/64 Amsteel - Used for bridge hammock dogbones and UCR</t>
  </si>
  <si>
    <t>Ion</t>
  </si>
  <si>
    <t>.665 spreader bar 32"</t>
  </si>
  <si>
    <t>purchased</t>
  </si>
  <si>
    <t>Quilt $58.50 - $92.00</t>
  </si>
  <si>
    <t>Sq inches per yard</t>
  </si>
  <si>
    <t>Width</t>
  </si>
  <si>
    <t>Length</t>
  </si>
  <si>
    <t>Wt/yd</t>
  </si>
  <si>
    <t>total sq. yds</t>
  </si>
  <si>
    <t>Total weight</t>
  </si>
  <si>
    <t>(F-32) * 5/9 - F to C formula</t>
  </si>
  <si>
    <t>Wt Oz</t>
  </si>
  <si>
    <t>Wt. gm</t>
  </si>
  <si>
    <t>210d</t>
  </si>
  <si>
    <t>20 F</t>
  </si>
  <si>
    <t>Top Quilt</t>
  </si>
  <si>
    <t>Materials</t>
  </si>
  <si>
    <t>Quantity</t>
  </si>
  <si>
    <t>Griz Ariel Hammock</t>
  </si>
  <si>
    <t>Ripstop by the Roll</t>
  </si>
  <si>
    <t>Gathered End Hammock</t>
  </si>
  <si>
    <t>Climashield 6oz</t>
  </si>
  <si>
    <t>Climashield 5oz</t>
  </si>
  <si>
    <t>Climashield 3.6oz</t>
  </si>
  <si>
    <t>Back Pack</t>
  </si>
  <si>
    <t>Hexon 1.6</t>
  </si>
  <si>
    <t>Dutchware</t>
  </si>
  <si>
    <t>Total Wt</t>
  </si>
  <si>
    <t>Buckles 1"</t>
  </si>
  <si>
    <t>Buckles 3/4"</t>
  </si>
  <si>
    <t>Amsteel 7/64</t>
  </si>
  <si>
    <t>Shock Cord</t>
  </si>
  <si>
    <t>Sleeping Bag Liner</t>
  </si>
  <si>
    <t>Ditty Bags (See ToDo)</t>
  </si>
  <si>
    <t>Kilt (Use ION)</t>
  </si>
  <si>
    <t>shock cord</t>
  </si>
  <si>
    <t>HyperD 1.6</t>
  </si>
  <si>
    <t>Membrane 10 .66oz</t>
  </si>
  <si>
    <t>Membrane 15 .9oz</t>
  </si>
  <si>
    <t>wt</t>
  </si>
  <si>
    <t>HyperD 1.0</t>
  </si>
  <si>
    <t>Ripstop 1.1oz</t>
  </si>
  <si>
    <t>Thread Mara 50</t>
  </si>
  <si>
    <t>Thread Mara 70</t>
  </si>
  <si>
    <t>Tension Lock 12</t>
  </si>
  <si>
    <t>Tri-Glide 12</t>
  </si>
  <si>
    <t>cord locks mini</t>
  </si>
  <si>
    <t>cord locks regular 12</t>
  </si>
  <si>
    <t>cord locks mini 12</t>
  </si>
  <si>
    <t>?</t>
  </si>
  <si>
    <t>HHH zipper #5 /ft</t>
  </si>
  <si>
    <t>HHH pull #5</t>
  </si>
  <si>
    <t>1/8" 25' (gm/in)</t>
  </si>
  <si>
    <t>3/32" 25' (gm/in)</t>
  </si>
  <si>
    <t>yellow 25' (gm/ft)</t>
  </si>
  <si>
    <t>blue 25' (gm/ft)</t>
  </si>
  <si>
    <t>red 25' (gm/ft)</t>
  </si>
  <si>
    <t>pocket mesh 4oz</t>
  </si>
  <si>
    <t>420D Robic</t>
  </si>
  <si>
    <t>102x46</t>
  </si>
  <si>
    <t>cord lock</t>
  </si>
  <si>
    <t>78x48</t>
  </si>
  <si>
    <t>no-seem .5 oz</t>
  </si>
  <si>
    <t>no-seem .67 oz</t>
  </si>
  <si>
    <t>no-seem .9 oz</t>
  </si>
  <si>
    <t>Grossgrain 3/4" 25'</t>
  </si>
  <si>
    <t>Grossgrain 1/2" 25'</t>
  </si>
  <si>
    <t>gm/yd</t>
  </si>
  <si>
    <t>Grossgrain 1/2" 5yd</t>
  </si>
  <si>
    <t>Grossgrain 3/4" 5 yd</t>
  </si>
  <si>
    <t>Grossgrain 1" 5 yd</t>
  </si>
  <si>
    <t>gm/ft</t>
  </si>
  <si>
    <t>gm/in</t>
  </si>
  <si>
    <t>mil-spec webbing 1" 25'</t>
  </si>
  <si>
    <t>mil-spec webbing 2" 25'</t>
  </si>
  <si>
    <t>polyester webbing 1" 25'</t>
  </si>
  <si>
    <t>mil-spec webbing 3/4" 25'</t>
  </si>
  <si>
    <t>hexon 1.0 oz</t>
  </si>
  <si>
    <t>thread</t>
  </si>
  <si>
    <t>pocket mesh</t>
  </si>
  <si>
    <t>Hexon 1.2</t>
  </si>
  <si>
    <t>webbing 2" polypro per foot</t>
  </si>
  <si>
    <t>webbing 3/4" polyester 25'</t>
  </si>
  <si>
    <t>webbing 1/2" polyester 25'</t>
  </si>
  <si>
    <t>webbing 1" polyester 25'</t>
  </si>
  <si>
    <t>Buckles 2"</t>
  </si>
  <si>
    <t>Velcro 2" per foot</t>
  </si>
  <si>
    <t>Velcro 1" per foot</t>
  </si>
  <si>
    <t>unavailable</t>
  </si>
  <si>
    <t>ykk waterproff #3 zipper /ft</t>
  </si>
  <si>
    <t>YKK waterproff pull #3</t>
  </si>
  <si>
    <t>.665 pole tip</t>
  </si>
  <si>
    <t>magic buckle 1"</t>
  </si>
  <si>
    <t>54x78</t>
  </si>
  <si>
    <t>spacer mesh 1/8" 1/2yd</t>
  </si>
  <si>
    <t>nano no-seem .67 oz</t>
  </si>
  <si>
    <t>nano noseeum tarp sleeves</t>
  </si>
  <si>
    <t>amsteel</t>
  </si>
  <si>
    <t>amsteel (2@16')</t>
  </si>
  <si>
    <t>cannot find</t>
  </si>
  <si>
    <t>spacer mesh 1/4" per foot</t>
  </si>
  <si>
    <t>spacer mesh 1/8" per foot</t>
  </si>
  <si>
    <t>Rain Pants</t>
  </si>
  <si>
    <t>Dyneema .51 oz 1/2 yd</t>
  </si>
  <si>
    <t>Rain Kilt (30L x 48W)</t>
  </si>
  <si>
    <t>Bug Net</t>
  </si>
  <si>
    <t>58 x 72</t>
  </si>
  <si>
    <t>Food Bag (12.5 x 22)</t>
  </si>
  <si>
    <t>1.4 oz 10D waterproof/breathable</t>
  </si>
  <si>
    <t>make pattern</t>
  </si>
  <si>
    <t>Pack Cover (new pack)</t>
  </si>
  <si>
    <t>existing orange material</t>
  </si>
  <si>
    <t>existing ION material</t>
  </si>
  <si>
    <t>See ToDo</t>
  </si>
  <si>
    <t>1" PET PSA seam seal tape /yd</t>
  </si>
  <si>
    <t>Xenon 1.1</t>
  </si>
  <si>
    <t>PET Seam seal 1"</t>
  </si>
  <si>
    <t>LineLoc 3 - 12</t>
  </si>
  <si>
    <t>shock cord (3/32 15')</t>
  </si>
  <si>
    <t>cord lock (4)</t>
  </si>
  <si>
    <t>shock cord (1/8 6')</t>
  </si>
  <si>
    <t>Linelocs 3 (4)</t>
  </si>
  <si>
    <t>shock cord (1/8 15')</t>
  </si>
  <si>
    <t>cord lock (3)</t>
  </si>
  <si>
    <t>cord lock (5)</t>
  </si>
  <si>
    <t>TQ</t>
  </si>
  <si>
    <t>UQ</t>
  </si>
  <si>
    <t>LineLocs</t>
  </si>
  <si>
    <t>with half bug net</t>
  </si>
  <si>
    <t>Griz</t>
  </si>
  <si>
    <t>shock cord 3/32</t>
  </si>
  <si>
    <t>shock cord 1/8</t>
  </si>
  <si>
    <t>Order</t>
  </si>
  <si>
    <t>Bugnet</t>
  </si>
  <si>
    <t>Buckle 1"</t>
  </si>
  <si>
    <t>elastic / 1/8" chock cord (36")</t>
  </si>
  <si>
    <t>FB</t>
  </si>
  <si>
    <t>RK</t>
  </si>
  <si>
    <t>RP</t>
  </si>
  <si>
    <t>Pack</t>
  </si>
  <si>
    <t>Webbing 1"</t>
  </si>
  <si>
    <t>cord lock (1)</t>
  </si>
  <si>
    <t>cord lock - regular</t>
  </si>
  <si>
    <t>cord lock - small</t>
  </si>
  <si>
    <t>1-3</t>
  </si>
  <si>
    <t>Order 4</t>
  </si>
  <si>
    <t>Order 5</t>
  </si>
  <si>
    <t>mini plastic hook (3/32)</t>
  </si>
  <si>
    <t>Order Items</t>
  </si>
  <si>
    <t>mini combo hook - 12</t>
  </si>
  <si>
    <t>120x55</t>
  </si>
  <si>
    <t>Dyneema 1.3 oz 1/2 yd</t>
  </si>
  <si>
    <t>Dyneema 1.43 oz 1/2 yd</t>
  </si>
  <si>
    <t>11,12</t>
  </si>
  <si>
    <t>8,9</t>
  </si>
  <si>
    <t>use existing orange hood</t>
  </si>
  <si>
    <t>* Work on quantities</t>
  </si>
  <si>
    <t>D rings 1" - 12</t>
  </si>
  <si>
    <t>Beastee Dee rings 1/2" - 12</t>
  </si>
  <si>
    <t>D rings 1" (2)</t>
  </si>
  <si>
    <t>Tri-Glide (2)</t>
  </si>
  <si>
    <t>Tension Lock (6)</t>
  </si>
  <si>
    <t>Buckles 1" (2)</t>
  </si>
  <si>
    <t>cord locks regular (4)</t>
  </si>
  <si>
    <t>Amazon $6.99 for 4</t>
  </si>
  <si>
    <t>do not carry</t>
  </si>
  <si>
    <t>Beastee Dee rings 1/2" (6)</t>
  </si>
  <si>
    <t>Robic 210D 1/2 yd (3)</t>
  </si>
  <si>
    <t>300D 1/2 yd (3)</t>
  </si>
  <si>
    <t>regeneration 420 1/2 yd (1)</t>
  </si>
  <si>
    <t>X-Pac VX25 1/2 yd (1)</t>
  </si>
  <si>
    <t>RS &amp; Dutch</t>
  </si>
  <si>
    <t>-OR- 36L x 56W</t>
  </si>
  <si>
    <t>Spreader bar 28.5"</t>
  </si>
  <si>
    <t>Tent</t>
  </si>
  <si>
    <t>matress</t>
  </si>
  <si>
    <t>sleeping bag</t>
  </si>
  <si>
    <t>hammock</t>
  </si>
  <si>
    <t xml:space="preserve">spreader </t>
  </si>
  <si>
    <t>Tent vs Hammock Weight</t>
  </si>
  <si>
    <t>bugnet</t>
  </si>
  <si>
    <t>tyvek</t>
  </si>
  <si>
    <t>120 x 96</t>
  </si>
  <si>
    <t>pounds</t>
  </si>
  <si>
    <t>ounces</t>
  </si>
  <si>
    <t>stakes</t>
  </si>
  <si>
    <t>straps</t>
  </si>
  <si>
    <t>down</t>
  </si>
  <si>
    <t>down saves</t>
  </si>
  <si>
    <t>$50 / lb down - $13 more</t>
  </si>
  <si>
    <t>down (Amazon)</t>
  </si>
  <si>
    <t>Make pullover/hoodie patern</t>
  </si>
  <si>
    <t>Make jacket patern</t>
  </si>
  <si>
    <t>Polartec Alpha Direct 4008</t>
  </si>
  <si>
    <t>slate blue 4008</t>
  </si>
  <si>
    <t>mara 70 thread</t>
  </si>
  <si>
    <t>Mango yellow</t>
  </si>
  <si>
    <t>pattern</t>
  </si>
  <si>
    <t>pullover hoodie Alpha Direct 4008</t>
  </si>
  <si>
    <t>gm          =</t>
  </si>
  <si>
    <t>Amzn 6 + webbing 11.99</t>
  </si>
  <si>
    <t>TQ Wt</t>
  </si>
  <si>
    <t>UQ Wt</t>
  </si>
  <si>
    <t>Total lb</t>
  </si>
  <si>
    <t>4,5</t>
  </si>
  <si>
    <t>7,10</t>
  </si>
  <si>
    <t>RS</t>
  </si>
  <si>
    <t>Pullover/hoodie</t>
  </si>
  <si>
    <t>6,13</t>
  </si>
  <si>
    <t>4048 with wool</t>
  </si>
  <si>
    <t>Alpha Direct 4028</t>
  </si>
  <si>
    <t>Alpha Direct 4004</t>
  </si>
  <si>
    <t>Alpha Direct 4008</t>
  </si>
  <si>
    <t>Alpha Direct 4024</t>
  </si>
  <si>
    <t>Alpha Direct 4048 w/ wool</t>
  </si>
  <si>
    <t>gsm</t>
  </si>
  <si>
    <t>oz per 2 yds</t>
  </si>
  <si>
    <t>4004</t>
  </si>
  <si>
    <t>L</t>
  </si>
  <si>
    <t>Order 6</t>
  </si>
  <si>
    <t>36x58</t>
  </si>
  <si>
    <t>sq yds</t>
  </si>
  <si>
    <t>1,2,3</t>
  </si>
  <si>
    <t>velcro</t>
  </si>
  <si>
    <t>Argon 90 charcoal</t>
  </si>
  <si>
    <t>Argon 67</t>
  </si>
  <si>
    <t>Argon 49</t>
  </si>
  <si>
    <t>Argon 90</t>
  </si>
  <si>
    <t>both</t>
  </si>
  <si>
    <t>and use current 5oz UQ</t>
  </si>
  <si>
    <t>make this a TQ. See above</t>
  </si>
  <si>
    <t>make 2nd top quilt 3.5oz</t>
  </si>
  <si>
    <t>3yd 6oz &amp; 2 yd 3.5oz</t>
  </si>
  <si>
    <t>add 1/2yd 6oz to 3.5oz TQ</t>
  </si>
  <si>
    <t>tapperd &amp; sewn waist down</t>
  </si>
  <si>
    <t>future if 5oz UQ is not warm</t>
  </si>
  <si>
    <t>Total $129.33</t>
  </si>
  <si>
    <t>Ordered 7/25/25 #245630</t>
  </si>
  <si>
    <t>food bag and rain kilt optional</t>
  </si>
  <si>
    <t>Hex 2.2 PU3000 - 70d</t>
  </si>
  <si>
    <t>HyperD 300 - 300d</t>
  </si>
  <si>
    <t>210D Robic - 210d</t>
  </si>
  <si>
    <t>RSBTR $87.46</t>
  </si>
  <si>
    <t>13, 6 partial</t>
  </si>
  <si>
    <t>+6</t>
  </si>
  <si>
    <t>Redesign to make it partial</t>
  </si>
  <si>
    <t>cover head to waist only</t>
  </si>
  <si>
    <t>nano no-seem .67 oz (7 yds)</t>
  </si>
  <si>
    <t>The Ultimate Hang half bug net 72" x 55" (.67 noseeum)</t>
  </si>
  <si>
    <t>webbing 1" - 2' ( or 1/2")</t>
  </si>
  <si>
    <t>Xenon sil .9 oz</t>
  </si>
  <si>
    <t>Xenon waterproof for bottom</t>
  </si>
  <si>
    <t>D rings 1/2" (2)</t>
  </si>
  <si>
    <t>Make items above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</si>
</sst>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1"/>
    <xf numFmtId="0" fontId="3" fillId="0" borderId="0" xfId="0" applyFont="1"/>
    <xf numFmtId="2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0" fontId="0" fillId="0" borderId="0" xfId="0" applyFill="1"/>
    <xf numFmtId="2" fontId="0" fillId="4" borderId="0" xfId="0" applyNumberFormat="1" applyFill="1"/>
    <xf numFmtId="2" fontId="0" fillId="3" borderId="0" xfId="0" applyNumberFormat="1" applyFill="1"/>
    <xf numFmtId="2" fontId="0" fillId="0" borderId="0" xfId="0" applyNumberFormat="1" applyFill="1"/>
    <xf numFmtId="2" fontId="0" fillId="5" borderId="0" xfId="0" applyNumberFormat="1" applyFill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1" fillId="0" borderId="0" xfId="0" applyFont="1"/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0" fillId="7" borderId="0" xfId="0" applyFill="1"/>
    <xf numFmtId="0" fontId="3" fillId="0" borderId="0" xfId="0" applyFont="1" applyAlignment="1">
      <alignment horizontal="right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wrapText="1"/>
    </xf>
    <xf numFmtId="2" fontId="0" fillId="9" borderId="0" xfId="0" applyNumberFormat="1" applyFill="1"/>
    <xf numFmtId="0" fontId="0" fillId="10" borderId="0" xfId="0" applyFill="1"/>
    <xf numFmtId="164" fontId="0" fillId="0" borderId="0" xfId="0" applyNumberFormat="1"/>
    <xf numFmtId="0" fontId="0" fillId="0" borderId="0" xfId="0" quotePrefix="1"/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1" xfId="0" applyBorder="1"/>
    <xf numFmtId="0" fontId="1" fillId="4" borderId="0" xfId="0" applyFont="1" applyFill="1"/>
    <xf numFmtId="0" fontId="0" fillId="4" borderId="1" xfId="0" applyFill="1" applyBorder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center"/>
    </xf>
    <xf numFmtId="0" fontId="0" fillId="3" borderId="1" xfId="0" applyFill="1" applyBorder="1"/>
    <xf numFmtId="0" fontId="0" fillId="11" borderId="0" xfId="0" applyFill="1" applyBorder="1"/>
    <xf numFmtId="0" fontId="0" fillId="7" borderId="1" xfId="0" applyFill="1" applyBorder="1"/>
    <xf numFmtId="2" fontId="0" fillId="4" borderId="1" xfId="0" applyNumberFormat="1" applyFill="1" applyBorder="1"/>
    <xf numFmtId="0" fontId="0" fillId="0" borderId="1" xfId="0" applyFill="1" applyBorder="1"/>
    <xf numFmtId="2" fontId="0" fillId="0" borderId="1" xfId="0" applyNumberFormat="1" applyFill="1" applyBorder="1"/>
    <xf numFmtId="2" fontId="0" fillId="0" borderId="0" xfId="0" applyNumberForma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center"/>
    </xf>
    <xf numFmtId="0" fontId="0" fillId="0" borderId="0" xfId="0" applyFont="1" applyAlignment="1">
      <alignment horizontal="right"/>
    </xf>
    <xf numFmtId="0" fontId="2" fillId="0" borderId="1" xfId="1" applyBorder="1"/>
    <xf numFmtId="0" fontId="7" fillId="0" borderId="0" xfId="0" applyFont="1"/>
    <xf numFmtId="164" fontId="0" fillId="0" borderId="2" xfId="0" applyNumberForma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164" fontId="1" fillId="0" borderId="2" xfId="0" applyNumberFormat="1" applyFont="1" applyBorder="1" applyAlignment="1">
      <alignment horizontal="center"/>
    </xf>
    <xf numFmtId="0" fontId="0" fillId="0" borderId="0" xfId="0" applyBorder="1"/>
    <xf numFmtId="164" fontId="1" fillId="4" borderId="2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2" fontId="0" fillId="4" borderId="0" xfId="0" applyNumberFormat="1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3" fontId="0" fillId="0" borderId="0" xfId="0" applyNumberFormat="1"/>
    <xf numFmtId="0" fontId="3" fillId="0" borderId="3" xfId="0" applyFont="1" applyBorder="1" applyAlignment="1">
      <alignment horizontal="right"/>
    </xf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6" borderId="1" xfId="0" applyFill="1" applyBorder="1" applyAlignment="1">
      <alignment horizontal="right"/>
    </xf>
    <xf numFmtId="164" fontId="0" fillId="6" borderId="0" xfId="0" applyNumberFormat="1" applyFill="1" applyBorder="1"/>
    <xf numFmtId="0" fontId="8" fillId="6" borderId="0" xfId="0" applyFont="1" applyFill="1" applyBorder="1"/>
    <xf numFmtId="0" fontId="0" fillId="6" borderId="0" xfId="0" applyFill="1" applyBorder="1"/>
    <xf numFmtId="0" fontId="0" fillId="6" borderId="6" xfId="0" applyFill="1" applyBorder="1"/>
    <xf numFmtId="0" fontId="0" fillId="5" borderId="1" xfId="0" applyFill="1" applyBorder="1" applyAlignment="1">
      <alignment horizontal="right"/>
    </xf>
    <xf numFmtId="164" fontId="0" fillId="5" borderId="0" xfId="0" applyNumberFormat="1" applyFill="1" applyBorder="1"/>
    <xf numFmtId="0" fontId="8" fillId="5" borderId="0" xfId="0" applyFont="1" applyFill="1" applyBorder="1"/>
    <xf numFmtId="0" fontId="0" fillId="5" borderId="0" xfId="0" applyFill="1" applyBorder="1"/>
    <xf numFmtId="0" fontId="0" fillId="5" borderId="6" xfId="0" applyFill="1" applyBorder="1"/>
    <xf numFmtId="0" fontId="0" fillId="13" borderId="1" xfId="0" applyFill="1" applyBorder="1" applyAlignment="1">
      <alignment horizontal="right"/>
    </xf>
    <xf numFmtId="164" fontId="0" fillId="13" borderId="0" xfId="0" applyNumberFormat="1" applyFill="1" applyBorder="1"/>
    <xf numFmtId="0" fontId="8" fillId="13" borderId="0" xfId="0" applyFont="1" applyFill="1" applyBorder="1"/>
    <xf numFmtId="0" fontId="0" fillId="13" borderId="0" xfId="0" applyFill="1" applyBorder="1"/>
    <xf numFmtId="0" fontId="0" fillId="13" borderId="6" xfId="0" applyFill="1" applyBorder="1"/>
    <xf numFmtId="0" fontId="0" fillId="8" borderId="1" xfId="0" applyFill="1" applyBorder="1" applyAlignment="1">
      <alignment horizontal="right"/>
    </xf>
    <xf numFmtId="164" fontId="0" fillId="8" borderId="0" xfId="0" applyNumberFormat="1" applyFill="1" applyBorder="1"/>
    <xf numFmtId="0" fontId="8" fillId="8" borderId="0" xfId="0" applyFont="1" applyFill="1" applyBorder="1"/>
    <xf numFmtId="0" fontId="0" fillId="8" borderId="0" xfId="0" applyFill="1" applyBorder="1"/>
    <xf numFmtId="0" fontId="0" fillId="8" borderId="6" xfId="0" applyFill="1" applyBorder="1"/>
    <xf numFmtId="0" fontId="0" fillId="12" borderId="1" xfId="0" applyFill="1" applyBorder="1" applyAlignment="1">
      <alignment horizontal="right"/>
    </xf>
    <xf numFmtId="164" fontId="0" fillId="12" borderId="0" xfId="0" applyNumberFormat="1" applyFill="1" applyBorder="1"/>
    <xf numFmtId="0" fontId="8" fillId="12" borderId="0" xfId="0" applyFont="1" applyFill="1" applyBorder="1"/>
    <xf numFmtId="0" fontId="0" fillId="12" borderId="0" xfId="0" applyFill="1" applyBorder="1"/>
    <xf numFmtId="0" fontId="0" fillId="12" borderId="6" xfId="0" applyFill="1" applyBorder="1"/>
    <xf numFmtId="0" fontId="0" fillId="5" borderId="9" xfId="0" applyFill="1" applyBorder="1"/>
    <xf numFmtId="2" fontId="1" fillId="0" borderId="0" xfId="0" applyNumberFormat="1" applyFont="1" applyFill="1" applyBorder="1" applyAlignment="1">
      <alignment horizontal="right"/>
    </xf>
    <xf numFmtId="164" fontId="0" fillId="5" borderId="4" xfId="0" applyNumberFormat="1" applyFill="1" applyBorder="1"/>
    <xf numFmtId="16" fontId="8" fillId="5" borderId="5" xfId="0" quotePrefix="1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16" fontId="8" fillId="6" borderId="6" xfId="0" quotePrefix="1" applyNumberFormat="1" applyFont="1" applyFill="1" applyBorder="1" applyAlignment="1">
      <alignment horizontal="right"/>
    </xf>
    <xf numFmtId="16" fontId="8" fillId="12" borderId="6" xfId="0" quotePrefix="1" applyNumberFormat="1" applyFont="1" applyFill="1" applyBorder="1" applyAlignment="1">
      <alignment horizontal="right"/>
    </xf>
    <xf numFmtId="0" fontId="8" fillId="8" borderId="6" xfId="0" applyFont="1" applyFill="1" applyBorder="1" applyAlignment="1">
      <alignment horizontal="right"/>
    </xf>
    <xf numFmtId="0" fontId="0" fillId="0" borderId="7" xfId="0" applyBorder="1" applyAlignment="1">
      <alignment horizontal="right"/>
    </xf>
    <xf numFmtId="0" fontId="1" fillId="0" borderId="10" xfId="0" applyFont="1" applyBorder="1" applyAlignment="1">
      <alignment horizontal="right"/>
    </xf>
    <xf numFmtId="164" fontId="1" fillId="0" borderId="11" xfId="0" applyNumberFormat="1" applyFont="1" applyBorder="1"/>
    <xf numFmtId="0" fontId="0" fillId="0" borderId="0" xfId="0" applyFill="1" applyBorder="1"/>
    <xf numFmtId="164" fontId="0" fillId="0" borderId="8" xfId="0" applyNumberFormat="1" applyFill="1" applyBorder="1"/>
    <xf numFmtId="0" fontId="8" fillId="0" borderId="9" xfId="0" quotePrefix="1" applyFon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64" fontId="0" fillId="0" borderId="0" xfId="0" applyNumberFormat="1" applyFill="1" applyBorder="1"/>
    <xf numFmtId="0" fontId="8" fillId="0" borderId="0" xfId="0" applyFont="1" applyFill="1" applyBorder="1"/>
    <xf numFmtId="0" fontId="0" fillId="0" borderId="6" xfId="0" applyFill="1" applyBorder="1"/>
    <xf numFmtId="0" fontId="8" fillId="13" borderId="6" xfId="0" quotePrefix="1" applyFont="1" applyFill="1" applyBorder="1" applyAlignment="1">
      <alignment horizontal="right"/>
    </xf>
    <xf numFmtId="0" fontId="0" fillId="7" borderId="0" xfId="0" applyFill="1" applyAlignment="1">
      <alignment horizontal="left"/>
    </xf>
    <xf numFmtId="2" fontId="0" fillId="0" borderId="0" xfId="0" applyNumberFormat="1" applyFill="1" applyAlignment="1">
      <alignment horizontal="center"/>
    </xf>
    <xf numFmtId="0" fontId="0" fillId="0" borderId="4" xfId="0" applyFill="1" applyBorder="1" applyAlignment="1">
      <alignment horizontal="right"/>
    </xf>
    <xf numFmtId="0" fontId="0" fillId="0" borderId="0" xfId="0" quotePrefix="1" applyFont="1" applyAlignment="1">
      <alignment horizontal="right"/>
    </xf>
    <xf numFmtId="0" fontId="0" fillId="0" borderId="12" xfId="0" applyBorder="1"/>
    <xf numFmtId="0" fontId="0" fillId="0" borderId="12" xfId="0" applyBorder="1" applyAlignment="1">
      <alignment horizontal="right"/>
    </xf>
    <xf numFmtId="0" fontId="1" fillId="0" borderId="0" xfId="0" applyFont="1" applyFill="1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8" fontId="0" fillId="0" borderId="0" xfId="0" applyNumberFormat="1"/>
    <xf numFmtId="8" fontId="0" fillId="0" borderId="0" xfId="0" applyNumberFormat="1" applyAlignment="1">
      <alignment horizontal="center"/>
    </xf>
    <xf numFmtId="0" fontId="0" fillId="2" borderId="0" xfId="0" applyFill="1" applyBorder="1"/>
    <xf numFmtId="0" fontId="0" fillId="3" borderId="0" xfId="0" applyFill="1" applyBorder="1"/>
    <xf numFmtId="2" fontId="0" fillId="4" borderId="0" xfId="0" applyNumberFormat="1" applyFill="1" applyBorder="1"/>
    <xf numFmtId="0" fontId="0" fillId="7" borderId="0" xfId="0" applyFill="1" applyBorder="1"/>
    <xf numFmtId="0" fontId="0" fillId="4" borderId="0" xfId="0" applyFill="1" applyBorder="1"/>
    <xf numFmtId="0" fontId="0" fillId="0" borderId="13" xfId="0" applyFill="1" applyBorder="1"/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13" xfId="0" applyFont="1" applyFill="1" applyBorder="1" applyAlignment="1">
      <alignment horizontal="right"/>
    </xf>
    <xf numFmtId="0" fontId="0" fillId="0" borderId="13" xfId="0" applyFill="1" applyBorder="1" applyAlignment="1">
      <alignment horizontal="right"/>
    </xf>
    <xf numFmtId="0" fontId="0" fillId="7" borderId="13" xfId="0" applyFill="1" applyBorder="1" applyAlignment="1">
      <alignment horizontal="right"/>
    </xf>
    <xf numFmtId="0" fontId="0" fillId="8" borderId="7" xfId="0" applyFill="1" applyBorder="1" applyAlignment="1">
      <alignment horizontal="right"/>
    </xf>
    <xf numFmtId="164" fontId="0" fillId="8" borderId="8" xfId="0" applyNumberFormat="1" applyFill="1" applyBorder="1"/>
    <xf numFmtId="0" fontId="8" fillId="8" borderId="8" xfId="0" applyFont="1" applyFill="1" applyBorder="1"/>
    <xf numFmtId="0" fontId="0" fillId="8" borderId="8" xfId="0" applyFill="1" applyBorder="1"/>
    <xf numFmtId="0" fontId="0" fillId="0" borderId="14" xfId="0" quotePrefix="1" applyBorder="1" applyAlignment="1">
      <alignment horizontal="right"/>
    </xf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0" fontId="0" fillId="0" borderId="17" xfId="0" quotePrefix="1" applyBorder="1" applyAlignment="1">
      <alignment horizontal="right"/>
    </xf>
    <xf numFmtId="2" fontId="0" fillId="0" borderId="0" xfId="0" applyNumberFormat="1" applyBorder="1"/>
    <xf numFmtId="0" fontId="0" fillId="0" borderId="13" xfId="0" applyBorder="1"/>
    <xf numFmtId="0" fontId="0" fillId="0" borderId="18" xfId="0" quotePrefix="1" applyBorder="1" applyAlignment="1">
      <alignment horizontal="right"/>
    </xf>
    <xf numFmtId="0" fontId="0" fillId="0" borderId="19" xfId="0" applyBorder="1"/>
    <xf numFmtId="2" fontId="0" fillId="0" borderId="19" xfId="0" applyNumberFormat="1" applyBorder="1"/>
    <xf numFmtId="0" fontId="0" fillId="0" borderId="20" xfId="0" applyBorder="1"/>
    <xf numFmtId="165" fontId="0" fillId="0" borderId="0" xfId="0" applyNumberFormat="1"/>
    <xf numFmtId="0" fontId="0" fillId="0" borderId="0" xfId="0" quotePrefix="1" applyBorder="1" applyAlignment="1">
      <alignment horizontal="right"/>
    </xf>
    <xf numFmtId="0" fontId="2" fillId="0" borderId="0" xfId="1" applyAlignment="1">
      <alignment horizontal="right"/>
    </xf>
    <xf numFmtId="0" fontId="1" fillId="0" borderId="0" xfId="0" applyFont="1" applyFill="1" applyBorder="1" applyAlignment="1">
      <alignment horizontal="left"/>
    </xf>
    <xf numFmtId="0" fontId="0" fillId="0" borderId="0" xfId="0" quotePrefix="1" applyAlignment="1">
      <alignment horizontal="right"/>
    </xf>
    <xf numFmtId="0" fontId="0" fillId="14" borderId="3" xfId="0" applyFill="1" applyBorder="1" applyAlignment="1">
      <alignment horizontal="right"/>
    </xf>
    <xf numFmtId="0" fontId="0" fillId="14" borderId="1" xfId="0" applyFill="1" applyBorder="1" applyAlignment="1">
      <alignment horizontal="righ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5" borderId="0" xfId="0" quotePrefix="1" applyFill="1"/>
    <xf numFmtId="0" fontId="0" fillId="15" borderId="0" xfId="0" applyFill="1" applyAlignment="1">
      <alignment horizontal="center"/>
    </xf>
    <xf numFmtId="0" fontId="0" fillId="15" borderId="0" xfId="0" applyFill="1"/>
    <xf numFmtId="164" fontId="0" fillId="15" borderId="0" xfId="0" applyNumberFormat="1" applyFill="1"/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tchwaregear.com/2016/05/10/diy-winter-tarp-tutorial/" TargetMode="External"/><Relationship Id="rId1" Type="http://schemas.openxmlformats.org/officeDocument/2006/relationships/hyperlink" Target="https://cdn.shopify.com/s/files/1/0261/6507/files/HEX12_Tarp_Instructions_-_revA.pdf?268700715839594146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utchwaregear.com/2016/02/12/diy-pack-cover/" TargetMode="External"/><Relationship Id="rId3" Type="http://schemas.openxmlformats.org/officeDocument/2006/relationships/hyperlink" Target="https://www.youtube.com/watch?v=ryrXxv7XuBU" TargetMode="External"/><Relationship Id="rId7" Type="http://schemas.openxmlformats.org/officeDocument/2006/relationships/hyperlink" Target="https://www.youtube.com/watch?v=VKGusu5CiOQ&amp;t=0s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youtube.com/watch?v=8ddmyrwAJX8&amp;list=PL98AtR_6iiAJX-aKyRgvAc6IqYbvuBHt5" TargetMode="External"/><Relationship Id="rId1" Type="http://schemas.openxmlformats.org/officeDocument/2006/relationships/hyperlink" Target="https://www.youtube.com/watch?v=UNKPmNFO_4U&amp;t=325s" TargetMode="External"/><Relationship Id="rId6" Type="http://schemas.openxmlformats.org/officeDocument/2006/relationships/hyperlink" Target="https://www.youtube.com/watch?v=iuhgM1UdEtg&amp;t=77s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youtube.com/watch?v=HNlgAqo0cc8&amp;t=4s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youtube.com/watch?v=j3c4rgetTtU" TargetMode="External"/><Relationship Id="rId9" Type="http://schemas.openxmlformats.org/officeDocument/2006/relationships/hyperlink" Target="https://www.youtube.com/watch?v=QYZ3ZL1Mha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245B-8104-4C33-964C-18AAF9E339DA}">
  <dimension ref="A1:O53"/>
  <sheetViews>
    <sheetView workbookViewId="0">
      <pane ySplit="2" topLeftCell="A27" activePane="bottomLeft" state="frozen"/>
      <selection pane="bottomLeft" activeCell="D33" sqref="D33"/>
    </sheetView>
  </sheetViews>
  <sheetFormatPr defaultRowHeight="15" x14ac:dyDescent="0.25"/>
  <cols>
    <col min="1" max="1" width="30.42578125" customWidth="1"/>
    <col min="4" max="4" width="11.140625" customWidth="1"/>
    <col min="5" max="5" width="2.140625" customWidth="1"/>
    <col min="7" max="7" width="10.42578125" customWidth="1"/>
    <col min="8" max="8" width="15.7109375" customWidth="1"/>
    <col min="9" max="9" width="8.28515625" customWidth="1"/>
    <col min="10" max="10" width="1.7109375" customWidth="1"/>
    <col min="11" max="11" width="32.5703125" customWidth="1"/>
    <col min="12" max="12" width="4.85546875" customWidth="1"/>
    <col min="13" max="13" width="10.5703125" bestFit="1" customWidth="1"/>
    <col min="15" max="15" width="14.28515625" bestFit="1" customWidth="1"/>
  </cols>
  <sheetData>
    <row r="1" spans="1:15" x14ac:dyDescent="0.25">
      <c r="F1" s="5" t="s">
        <v>25</v>
      </c>
      <c r="K1" s="18" t="s">
        <v>66</v>
      </c>
    </row>
    <row r="2" spans="1:15" x14ac:dyDescent="0.25">
      <c r="A2" s="2" t="s">
        <v>18</v>
      </c>
      <c r="B2" s="4" t="s">
        <v>3</v>
      </c>
      <c r="C2" s="4" t="s">
        <v>7</v>
      </c>
      <c r="D2" s="4" t="s">
        <v>8</v>
      </c>
      <c r="F2" s="4" t="s">
        <v>7</v>
      </c>
      <c r="G2" s="4" t="s">
        <v>8</v>
      </c>
      <c r="K2" s="2" t="s">
        <v>18</v>
      </c>
      <c r="L2" s="2" t="s">
        <v>3</v>
      </c>
      <c r="M2" s="4" t="s">
        <v>8</v>
      </c>
      <c r="N2" s="2" t="s">
        <v>65</v>
      </c>
    </row>
    <row r="3" spans="1:15" x14ac:dyDescent="0.25">
      <c r="A3" t="s">
        <v>0</v>
      </c>
      <c r="B3">
        <v>7</v>
      </c>
      <c r="C3" s="3">
        <v>0.5</v>
      </c>
      <c r="D3" s="3">
        <v>0</v>
      </c>
      <c r="F3" s="3">
        <f>B3*C3</f>
        <v>3.5</v>
      </c>
      <c r="G3" s="3"/>
      <c r="J3" t="s">
        <v>125</v>
      </c>
      <c r="K3" s="16" t="s">
        <v>94</v>
      </c>
      <c r="L3">
        <v>3</v>
      </c>
      <c r="M3" s="3">
        <v>6.5</v>
      </c>
      <c r="N3" s="3">
        <f>M3*L3</f>
        <v>19.5</v>
      </c>
      <c r="O3" t="s">
        <v>95</v>
      </c>
    </row>
    <row r="4" spans="1:15" x14ac:dyDescent="0.25">
      <c r="A4" t="s">
        <v>1</v>
      </c>
      <c r="B4">
        <v>10</v>
      </c>
      <c r="C4" s="3">
        <v>3.75</v>
      </c>
      <c r="D4" s="3">
        <v>0.21</v>
      </c>
      <c r="F4" s="3"/>
      <c r="G4" s="3"/>
      <c r="J4" t="s">
        <v>125</v>
      </c>
      <c r="K4" s="16" t="s">
        <v>73</v>
      </c>
      <c r="L4">
        <v>1</v>
      </c>
      <c r="M4" s="3">
        <v>4.25</v>
      </c>
      <c r="N4" s="3">
        <f t="shared" ref="N4:N17" si="0">M4*L4</f>
        <v>4.25</v>
      </c>
      <c r="O4" t="s">
        <v>97</v>
      </c>
    </row>
    <row r="5" spans="1:15" x14ac:dyDescent="0.25">
      <c r="A5" s="7" t="s">
        <v>26</v>
      </c>
      <c r="C5" s="3">
        <v>16.5</v>
      </c>
      <c r="D5" s="3">
        <v>10</v>
      </c>
      <c r="F5" s="3"/>
      <c r="G5" s="8">
        <f>D5</f>
        <v>10</v>
      </c>
      <c r="H5" s="7" t="s">
        <v>43</v>
      </c>
      <c r="J5" s="3" t="s">
        <v>125</v>
      </c>
      <c r="K5" t="s">
        <v>128</v>
      </c>
      <c r="L5">
        <v>1</v>
      </c>
      <c r="M5" s="3">
        <v>3.7</v>
      </c>
      <c r="N5" s="3">
        <f t="shared" si="0"/>
        <v>3.7</v>
      </c>
      <c r="O5" t="s">
        <v>96</v>
      </c>
    </row>
    <row r="6" spans="1:15" x14ac:dyDescent="0.25">
      <c r="A6" t="s">
        <v>29</v>
      </c>
      <c r="C6" s="3">
        <v>6.95</v>
      </c>
      <c r="D6" s="3">
        <v>5</v>
      </c>
      <c r="F6" s="3"/>
      <c r="G6" s="3"/>
      <c r="J6" t="s">
        <v>125</v>
      </c>
      <c r="K6" t="s">
        <v>124</v>
      </c>
      <c r="L6">
        <v>1</v>
      </c>
      <c r="M6" s="3">
        <v>6.95</v>
      </c>
      <c r="N6" s="3">
        <f t="shared" si="0"/>
        <v>6.95</v>
      </c>
    </row>
    <row r="7" spans="1:15" x14ac:dyDescent="0.25">
      <c r="A7" s="15" t="s">
        <v>28</v>
      </c>
      <c r="C7" s="3"/>
      <c r="D7" s="3">
        <v>25</v>
      </c>
      <c r="F7" s="3"/>
      <c r="G7" s="14"/>
      <c r="H7" s="13"/>
      <c r="I7" s="3"/>
      <c r="K7" t="s">
        <v>69</v>
      </c>
      <c r="L7">
        <v>0</v>
      </c>
      <c r="M7" s="3">
        <v>6.25</v>
      </c>
      <c r="N7" s="3">
        <f t="shared" si="0"/>
        <v>0</v>
      </c>
    </row>
    <row r="8" spans="1:15" x14ac:dyDescent="0.25">
      <c r="A8" s="15" t="s">
        <v>27</v>
      </c>
      <c r="B8">
        <v>2</v>
      </c>
      <c r="C8" s="3"/>
      <c r="D8" s="3">
        <v>19</v>
      </c>
      <c r="F8" s="3"/>
      <c r="G8" s="14"/>
      <c r="H8" s="13"/>
      <c r="J8" s="3"/>
      <c r="K8" t="s">
        <v>71</v>
      </c>
      <c r="L8">
        <v>0</v>
      </c>
      <c r="M8" s="3">
        <v>12</v>
      </c>
      <c r="N8" s="3">
        <f t="shared" si="0"/>
        <v>0</v>
      </c>
    </row>
    <row r="9" spans="1:15" x14ac:dyDescent="0.25">
      <c r="A9" s="7" t="s">
        <v>13</v>
      </c>
      <c r="C9" s="3">
        <v>0</v>
      </c>
      <c r="D9" s="3">
        <v>10</v>
      </c>
      <c r="F9" s="3"/>
      <c r="G9" s="8">
        <f>D9</f>
        <v>10</v>
      </c>
      <c r="J9" s="3"/>
      <c r="K9" t="s">
        <v>255</v>
      </c>
      <c r="L9">
        <v>0</v>
      </c>
      <c r="M9" s="3">
        <v>13.5</v>
      </c>
      <c r="N9" s="3">
        <f t="shared" si="0"/>
        <v>0</v>
      </c>
    </row>
    <row r="10" spans="1:15" x14ac:dyDescent="0.25">
      <c r="A10" s="7" t="s">
        <v>37</v>
      </c>
      <c r="B10" t="s">
        <v>20</v>
      </c>
      <c r="C10" s="3">
        <v>6</v>
      </c>
      <c r="D10" s="3">
        <v>5.5</v>
      </c>
      <c r="F10" s="3"/>
      <c r="G10" s="8">
        <f>D10*2</f>
        <v>11</v>
      </c>
      <c r="J10" s="3" t="s">
        <v>125</v>
      </c>
      <c r="K10" s="16" t="s">
        <v>127</v>
      </c>
      <c r="L10">
        <v>2</v>
      </c>
      <c r="M10" s="3">
        <v>13.5</v>
      </c>
      <c r="N10" s="3">
        <f>M10*L10</f>
        <v>27</v>
      </c>
    </row>
    <row r="11" spans="1:15" x14ac:dyDescent="0.25">
      <c r="A11" s="9" t="s">
        <v>23</v>
      </c>
      <c r="B11" t="s">
        <v>20</v>
      </c>
      <c r="C11" s="3">
        <v>7.25</v>
      </c>
      <c r="F11" s="12">
        <f>C11*1</f>
        <v>7.25</v>
      </c>
      <c r="G11" s="3"/>
      <c r="H11" s="9" t="s">
        <v>34</v>
      </c>
      <c r="K11" s="15" t="s">
        <v>70</v>
      </c>
      <c r="L11">
        <v>0</v>
      </c>
      <c r="M11" s="3">
        <v>22</v>
      </c>
      <c r="N11" s="3">
        <f t="shared" si="0"/>
        <v>0</v>
      </c>
    </row>
    <row r="12" spans="1:15" x14ac:dyDescent="0.25">
      <c r="A12" s="9" t="s">
        <v>24</v>
      </c>
      <c r="C12" s="3"/>
      <c r="D12" s="3">
        <v>8</v>
      </c>
      <c r="F12" s="3"/>
      <c r="G12" s="3"/>
      <c r="H12" s="9" t="s">
        <v>34</v>
      </c>
      <c r="K12" s="15" t="s">
        <v>72</v>
      </c>
      <c r="L12">
        <v>0</v>
      </c>
      <c r="M12" s="3">
        <v>19</v>
      </c>
      <c r="N12" s="3">
        <f t="shared" si="0"/>
        <v>0</v>
      </c>
    </row>
    <row r="13" spans="1:15" x14ac:dyDescent="0.25">
      <c r="A13" s="9" t="s">
        <v>40</v>
      </c>
      <c r="B13" t="s">
        <v>20</v>
      </c>
      <c r="C13" s="3">
        <v>7.75</v>
      </c>
      <c r="D13" s="3"/>
      <c r="F13" s="3"/>
      <c r="G13" s="3"/>
      <c r="H13" s="9"/>
      <c r="J13" t="s">
        <v>125</v>
      </c>
      <c r="K13" s="10" t="s">
        <v>76</v>
      </c>
      <c r="L13">
        <v>12</v>
      </c>
      <c r="M13" s="3">
        <v>0.16</v>
      </c>
      <c r="N13" s="3">
        <f t="shared" si="0"/>
        <v>1.92</v>
      </c>
    </row>
    <row r="14" spans="1:15" x14ac:dyDescent="0.25">
      <c r="A14" s="9" t="s">
        <v>42</v>
      </c>
      <c r="B14" t="s">
        <v>20</v>
      </c>
      <c r="C14" s="3"/>
      <c r="D14" s="3">
        <v>7.5</v>
      </c>
      <c r="F14" s="3"/>
      <c r="G14" s="3">
        <f>D14*2</f>
        <v>15</v>
      </c>
      <c r="H14" s="10" t="s">
        <v>47</v>
      </c>
      <c r="J14" t="s">
        <v>125</v>
      </c>
      <c r="K14" t="s">
        <v>126</v>
      </c>
      <c r="L14">
        <v>2</v>
      </c>
      <c r="M14" s="3">
        <v>5.5</v>
      </c>
      <c r="N14" s="3">
        <f t="shared" si="0"/>
        <v>11</v>
      </c>
    </row>
    <row r="15" spans="1:15" x14ac:dyDescent="0.25">
      <c r="A15" s="9" t="s">
        <v>22</v>
      </c>
      <c r="B15" t="s">
        <v>21</v>
      </c>
      <c r="C15" s="3">
        <v>4.75</v>
      </c>
      <c r="D15" s="3">
        <v>4.75</v>
      </c>
      <c r="F15" s="3">
        <f>D15</f>
        <v>4.75</v>
      </c>
      <c r="G15" s="12"/>
      <c r="H15" s="9" t="s">
        <v>34</v>
      </c>
      <c r="J15" s="3" t="s">
        <v>125</v>
      </c>
      <c r="K15" s="10" t="s">
        <v>123</v>
      </c>
      <c r="L15">
        <v>1</v>
      </c>
      <c r="M15" s="3">
        <v>5.5</v>
      </c>
      <c r="N15" s="3">
        <f t="shared" si="0"/>
        <v>5.5</v>
      </c>
    </row>
    <row r="16" spans="1:15" x14ac:dyDescent="0.25">
      <c r="A16" s="9" t="s">
        <v>30</v>
      </c>
      <c r="B16" t="s">
        <v>20</v>
      </c>
      <c r="C16" s="3">
        <v>6</v>
      </c>
      <c r="D16" s="3">
        <v>5.5</v>
      </c>
      <c r="F16" s="3"/>
      <c r="G16" s="3"/>
      <c r="H16" s="9" t="s">
        <v>34</v>
      </c>
      <c r="J16" t="s">
        <v>125</v>
      </c>
      <c r="K16" s="10" t="s">
        <v>74</v>
      </c>
      <c r="L16">
        <v>2</v>
      </c>
      <c r="M16" s="3">
        <v>0.85</v>
      </c>
      <c r="N16" s="3">
        <f t="shared" si="0"/>
        <v>1.7</v>
      </c>
    </row>
    <row r="17" spans="1:15" x14ac:dyDescent="0.25">
      <c r="A17" s="9" t="s">
        <v>31</v>
      </c>
      <c r="B17">
        <v>4</v>
      </c>
      <c r="C17" s="3">
        <v>4</v>
      </c>
      <c r="D17" s="3"/>
      <c r="F17" s="3"/>
      <c r="G17" s="3"/>
      <c r="H17" s="9" t="s">
        <v>34</v>
      </c>
      <c r="J17" t="s">
        <v>125</v>
      </c>
      <c r="K17" s="16" t="s">
        <v>80</v>
      </c>
      <c r="L17">
        <v>3</v>
      </c>
      <c r="M17" s="3">
        <v>3.9</v>
      </c>
      <c r="N17" s="3">
        <f t="shared" si="0"/>
        <v>11.7</v>
      </c>
    </row>
    <row r="18" spans="1:15" x14ac:dyDescent="0.25">
      <c r="A18" s="9" t="s">
        <v>32</v>
      </c>
      <c r="B18">
        <v>4</v>
      </c>
      <c r="C18" s="3"/>
      <c r="D18" s="3">
        <v>3.75</v>
      </c>
      <c r="F18" s="3"/>
      <c r="G18" s="3"/>
      <c r="H18" s="9" t="s">
        <v>34</v>
      </c>
      <c r="K18" s="10" t="s">
        <v>202</v>
      </c>
      <c r="M18" s="3"/>
      <c r="N18" s="3"/>
    </row>
    <row r="19" spans="1:15" x14ac:dyDescent="0.25">
      <c r="A19" s="9" t="s">
        <v>38</v>
      </c>
      <c r="B19">
        <v>6</v>
      </c>
      <c r="C19" s="3"/>
      <c r="D19" s="3">
        <v>3</v>
      </c>
      <c r="F19" s="3"/>
      <c r="G19" s="3">
        <f>D19*4</f>
        <v>12</v>
      </c>
      <c r="H19" s="9"/>
      <c r="M19" s="5" t="s">
        <v>67</v>
      </c>
      <c r="N19" s="3">
        <f>SUM(N3:N18)</f>
        <v>93.22</v>
      </c>
      <c r="O19" s="3"/>
    </row>
    <row r="20" spans="1:15" x14ac:dyDescent="0.25">
      <c r="A20" s="9" t="s">
        <v>33</v>
      </c>
      <c r="B20">
        <v>4</v>
      </c>
      <c r="C20" s="3"/>
      <c r="D20" s="3">
        <v>3</v>
      </c>
      <c r="F20" s="3"/>
      <c r="G20" s="3"/>
      <c r="H20" s="9" t="s">
        <v>34</v>
      </c>
      <c r="K20" t="s">
        <v>180</v>
      </c>
    </row>
    <row r="21" spans="1:15" x14ac:dyDescent="0.25">
      <c r="A21" s="9" t="s">
        <v>54</v>
      </c>
      <c r="B21" t="s">
        <v>55</v>
      </c>
      <c r="C21" s="3">
        <v>4</v>
      </c>
      <c r="F21" s="3">
        <f>C21*5</f>
        <v>20</v>
      </c>
      <c r="G21" s="3"/>
      <c r="H21" s="9"/>
      <c r="K21" s="25" t="s">
        <v>129</v>
      </c>
      <c r="L21">
        <v>5</v>
      </c>
      <c r="M21" s="3">
        <v>7.5</v>
      </c>
      <c r="N21" s="3">
        <f t="shared" ref="N21:N29" si="1">M21*L21</f>
        <v>37.5</v>
      </c>
      <c r="O21" s="3"/>
    </row>
    <row r="22" spans="1:15" x14ac:dyDescent="0.25">
      <c r="A22" s="9" t="s">
        <v>53</v>
      </c>
      <c r="B22" t="s">
        <v>55</v>
      </c>
      <c r="D22" s="3">
        <v>1.75</v>
      </c>
      <c r="G22" s="3">
        <f>D22*8</f>
        <v>14</v>
      </c>
      <c r="H22" s="9"/>
      <c r="K22" s="25" t="s">
        <v>77</v>
      </c>
      <c r="M22" s="3">
        <v>4.5</v>
      </c>
      <c r="N22" s="3">
        <f t="shared" si="1"/>
        <v>0</v>
      </c>
    </row>
    <row r="23" spans="1:15" x14ac:dyDescent="0.25">
      <c r="A23" s="2" t="s">
        <v>6</v>
      </c>
      <c r="C23" s="3"/>
      <c r="D23" s="3"/>
      <c r="F23" s="3"/>
      <c r="G23" s="3"/>
      <c r="K23" s="25" t="s">
        <v>79</v>
      </c>
      <c r="L23">
        <v>1</v>
      </c>
      <c r="M23" s="3">
        <v>4.25</v>
      </c>
      <c r="N23" s="3">
        <f>M23*L23</f>
        <v>4.25</v>
      </c>
      <c r="O23" s="13"/>
    </row>
    <row r="24" spans="1:15" x14ac:dyDescent="0.25">
      <c r="A24" t="s">
        <v>16</v>
      </c>
      <c r="B24" t="s">
        <v>10</v>
      </c>
      <c r="C24" s="3">
        <v>7.5</v>
      </c>
      <c r="D24" s="3"/>
      <c r="F24" s="3"/>
      <c r="G24" s="3"/>
      <c r="K24" s="25" t="s">
        <v>78</v>
      </c>
      <c r="L24">
        <v>2</v>
      </c>
      <c r="M24" s="3">
        <v>7</v>
      </c>
      <c r="N24" s="3">
        <f>M24*L24</f>
        <v>14</v>
      </c>
      <c r="O24" s="12">
        <f>SUM(N21:N24)</f>
        <v>55.75</v>
      </c>
    </row>
    <row r="25" spans="1:15" x14ac:dyDescent="0.25">
      <c r="A25" s="26" t="s">
        <v>17</v>
      </c>
      <c r="B25" t="s">
        <v>10</v>
      </c>
      <c r="C25" s="3"/>
      <c r="D25" s="3">
        <v>6.5</v>
      </c>
      <c r="F25" s="3"/>
      <c r="G25" s="28">
        <f>8*D25</f>
        <v>52</v>
      </c>
      <c r="H25" s="26" t="s">
        <v>35</v>
      </c>
      <c r="K25" s="7" t="s">
        <v>68</v>
      </c>
      <c r="L25">
        <v>0</v>
      </c>
      <c r="M25" s="3">
        <v>6</v>
      </c>
      <c r="N25" s="3">
        <f>M25*L25</f>
        <v>0</v>
      </c>
    </row>
    <row r="26" spans="1:15" ht="14.25" customHeight="1" x14ac:dyDescent="0.25">
      <c r="A26" s="27" t="s">
        <v>11</v>
      </c>
      <c r="B26" t="s">
        <v>14</v>
      </c>
      <c r="C26" s="3">
        <v>5.5</v>
      </c>
      <c r="D26" s="3">
        <v>4.75</v>
      </c>
      <c r="F26" s="3"/>
      <c r="G26" s="3"/>
      <c r="K26" s="7" t="s">
        <v>130</v>
      </c>
      <c r="L26">
        <v>4</v>
      </c>
      <c r="M26" s="3">
        <v>6.5</v>
      </c>
      <c r="N26" s="3">
        <f>M26*L26</f>
        <v>26</v>
      </c>
    </row>
    <row r="27" spans="1:15" ht="15" customHeight="1" x14ac:dyDescent="0.25">
      <c r="A27" s="27" t="s">
        <v>56</v>
      </c>
      <c r="C27" s="3">
        <v>8.5</v>
      </c>
      <c r="D27" s="3">
        <v>8.9499999999999993</v>
      </c>
      <c r="F27" s="13"/>
      <c r="G27" s="28">
        <f>D27</f>
        <v>8.9499999999999993</v>
      </c>
      <c r="J27" s="3"/>
      <c r="K27" s="7" t="s">
        <v>79</v>
      </c>
      <c r="L27">
        <v>1</v>
      </c>
      <c r="M27" s="3">
        <v>4.25</v>
      </c>
      <c r="N27" s="3">
        <f>M27*L27</f>
        <v>4.25</v>
      </c>
    </row>
    <row r="28" spans="1:15" ht="15" customHeight="1" x14ac:dyDescent="0.25">
      <c r="A28" s="27" t="s">
        <v>39</v>
      </c>
      <c r="B28" t="s">
        <v>21</v>
      </c>
      <c r="C28" s="3"/>
      <c r="D28" s="3">
        <v>2.1</v>
      </c>
      <c r="F28" s="3"/>
      <c r="G28" s="28">
        <f>D28</f>
        <v>2.1</v>
      </c>
      <c r="K28" s="7" t="s">
        <v>75</v>
      </c>
      <c r="L28">
        <v>8</v>
      </c>
      <c r="M28" s="3">
        <v>3.9</v>
      </c>
      <c r="N28" s="3">
        <f t="shared" si="1"/>
        <v>31.2</v>
      </c>
      <c r="O28" s="12">
        <f>SUM(N25:N28)</f>
        <v>61.45</v>
      </c>
    </row>
    <row r="29" spans="1:15" x14ac:dyDescent="0.25">
      <c r="A29" s="2" t="s">
        <v>9</v>
      </c>
      <c r="C29" s="3"/>
      <c r="D29" s="3"/>
      <c r="F29" s="3"/>
      <c r="G29" s="3"/>
      <c r="K29" s="10"/>
      <c r="M29" s="3"/>
      <c r="N29" s="3">
        <f t="shared" si="1"/>
        <v>0</v>
      </c>
    </row>
    <row r="30" spans="1:15" x14ac:dyDescent="0.25">
      <c r="A30" s="16" t="s">
        <v>19</v>
      </c>
      <c r="B30" t="s">
        <v>10</v>
      </c>
      <c r="C30" s="3">
        <v>4.75</v>
      </c>
      <c r="D30" s="3">
        <v>3.9</v>
      </c>
      <c r="F30" s="3"/>
      <c r="G30" s="17"/>
      <c r="H30" s="17" t="str">
        <f>"DG Future "&amp;TEXT(D30*8,"###.00")</f>
        <v>DG Future 31.20</v>
      </c>
      <c r="I30" s="3"/>
      <c r="K30" s="10"/>
      <c r="M30" t="s">
        <v>65</v>
      </c>
      <c r="N30" s="3">
        <f>SUM(N21:N28)</f>
        <v>117.2</v>
      </c>
    </row>
    <row r="31" spans="1:15" x14ac:dyDescent="0.25">
      <c r="A31" t="s">
        <v>52</v>
      </c>
      <c r="B31" t="s">
        <v>58</v>
      </c>
      <c r="C31" s="3">
        <v>6.5</v>
      </c>
      <c r="D31" s="3"/>
      <c r="F31" s="3"/>
      <c r="G31" s="13"/>
      <c r="H31" s="10"/>
      <c r="I31" s="3"/>
      <c r="K31" s="23" t="s">
        <v>132</v>
      </c>
      <c r="L31" s="23"/>
      <c r="M31" s="19"/>
      <c r="N31" s="3"/>
    </row>
    <row r="32" spans="1:15" x14ac:dyDescent="0.25">
      <c r="A32" s="16" t="s">
        <v>51</v>
      </c>
      <c r="B32" t="s">
        <v>60</v>
      </c>
      <c r="C32" s="3"/>
      <c r="D32" s="3">
        <v>6</v>
      </c>
      <c r="F32" s="3"/>
      <c r="G32" s="14"/>
      <c r="H32" s="14" t="str">
        <f>"DG Future "&amp;TEXT(D32*3,"###.00")</f>
        <v>DG Future 18.00</v>
      </c>
      <c r="I32" s="3" t="s">
        <v>61</v>
      </c>
      <c r="K32" s="23" t="s">
        <v>131</v>
      </c>
    </row>
    <row r="33" spans="1:14" x14ac:dyDescent="0.25">
      <c r="A33" s="16" t="s">
        <v>59</v>
      </c>
      <c r="B33">
        <v>2</v>
      </c>
      <c r="C33" s="3"/>
      <c r="D33" s="3">
        <v>15</v>
      </c>
      <c r="F33" s="3"/>
      <c r="G33" s="14"/>
      <c r="H33" s="14" t="str">
        <f>"DG Future "&amp;TEXT(D33*2,"###.00")</f>
        <v>DG Future 30.00</v>
      </c>
      <c r="I33" s="3" t="s">
        <v>61</v>
      </c>
      <c r="M33" s="25" t="s">
        <v>173</v>
      </c>
    </row>
    <row r="34" spans="1:14" x14ac:dyDescent="0.25">
      <c r="A34" s="16" t="s">
        <v>63</v>
      </c>
      <c r="B34" t="s">
        <v>62</v>
      </c>
      <c r="C34" s="3"/>
      <c r="D34" s="3">
        <v>12</v>
      </c>
      <c r="F34" s="3"/>
      <c r="G34" s="14"/>
      <c r="H34" s="14" t="str">
        <f>"DG Future "&amp;TEXT(D34*1,"###.00")</f>
        <v>DG Future 12.00</v>
      </c>
      <c r="I34" s="3" t="s">
        <v>61</v>
      </c>
      <c r="M34" s="7" t="s">
        <v>66</v>
      </c>
    </row>
    <row r="35" spans="1:14" x14ac:dyDescent="0.25">
      <c r="A35" s="16" t="s">
        <v>64</v>
      </c>
      <c r="B35" t="s">
        <v>21</v>
      </c>
      <c r="C35" s="3"/>
      <c r="D35" s="3">
        <v>6.25</v>
      </c>
      <c r="F35" s="3"/>
      <c r="G35" s="14"/>
      <c r="H35" s="14" t="str">
        <f>"DG Future "&amp;TEXT(D35*1,"###.00")</f>
        <v>DG Future 6.25</v>
      </c>
      <c r="I35" s="3" t="s">
        <v>61</v>
      </c>
      <c r="L35" t="s">
        <v>143</v>
      </c>
      <c r="M35" t="s">
        <v>174</v>
      </c>
    </row>
    <row r="36" spans="1:14" x14ac:dyDescent="0.25">
      <c r="A36" s="16" t="s">
        <v>36</v>
      </c>
      <c r="C36" s="3"/>
      <c r="D36" s="3">
        <v>22</v>
      </c>
      <c r="F36" s="3"/>
      <c r="G36" s="14"/>
      <c r="H36" s="14" t="str">
        <f>"DG Future "&amp;TEXT(D36*1,"###.00")</f>
        <v>DG Future 22.00</v>
      </c>
      <c r="I36" t="s">
        <v>61</v>
      </c>
      <c r="M36" s="26" t="s">
        <v>115</v>
      </c>
    </row>
    <row r="37" spans="1:14" x14ac:dyDescent="0.25">
      <c r="A37" t="s">
        <v>50</v>
      </c>
      <c r="B37" t="s">
        <v>41</v>
      </c>
      <c r="C37" s="3"/>
      <c r="D37" s="3">
        <v>4.75</v>
      </c>
      <c r="F37" s="3"/>
      <c r="G37" s="13"/>
      <c r="H37" s="13"/>
      <c r="M37" s="16" t="s">
        <v>61</v>
      </c>
      <c r="N37" s="16"/>
    </row>
    <row r="38" spans="1:14" x14ac:dyDescent="0.25">
      <c r="A38" s="26" t="s">
        <v>57</v>
      </c>
      <c r="B38">
        <v>6</v>
      </c>
      <c r="C38" s="3"/>
      <c r="D38" s="3">
        <v>0.32</v>
      </c>
      <c r="F38" s="3"/>
      <c r="G38" s="11">
        <f>D38*6</f>
        <v>1.92</v>
      </c>
    </row>
    <row r="39" spans="1:14" x14ac:dyDescent="0.25">
      <c r="C39" s="3"/>
      <c r="D39" s="3"/>
      <c r="F39" s="6">
        <f>SUM(F3:F38)</f>
        <v>35.5</v>
      </c>
      <c r="G39" s="6">
        <f>SUM(G3:G38)</f>
        <v>136.96999999999997</v>
      </c>
      <c r="I39" s="3"/>
      <c r="J39" s="6"/>
    </row>
    <row r="40" spans="1:14" x14ac:dyDescent="0.25">
      <c r="C40" s="3"/>
      <c r="D40" s="3"/>
      <c r="F40" s="3"/>
      <c r="G40" s="3"/>
    </row>
    <row r="41" spans="1:14" x14ac:dyDescent="0.25">
      <c r="A41" s="1" t="s">
        <v>12</v>
      </c>
    </row>
    <row r="42" spans="1:14" x14ac:dyDescent="0.25">
      <c r="A42" s="1" t="s">
        <v>15</v>
      </c>
    </row>
    <row r="44" spans="1:14" x14ac:dyDescent="0.25">
      <c r="A44" t="s">
        <v>4</v>
      </c>
    </row>
    <row r="45" spans="1:14" x14ac:dyDescent="0.25">
      <c r="A45" t="s">
        <v>409</v>
      </c>
    </row>
    <row r="46" spans="1:14" x14ac:dyDescent="0.25">
      <c r="A46" t="s">
        <v>2</v>
      </c>
    </row>
    <row r="48" spans="1:14" x14ac:dyDescent="0.25">
      <c r="A48" t="s">
        <v>5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</sheetData>
  <hyperlinks>
    <hyperlink ref="A41" r:id="rId1" xr:uid="{F111F131-D474-489E-887A-E6753735895B}"/>
    <hyperlink ref="A42" r:id="rId2" xr:uid="{FBA50A3E-41A7-4410-A0FE-7AFA8DA50C1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A16A-3853-44C9-96B5-510FB3C119E7}">
  <dimension ref="A1:L54"/>
  <sheetViews>
    <sheetView topLeftCell="A13" workbookViewId="0">
      <selection activeCell="A44" sqref="A44"/>
    </sheetView>
  </sheetViews>
  <sheetFormatPr defaultRowHeight="15" x14ac:dyDescent="0.25"/>
  <cols>
    <col min="1" max="1" width="30.28515625" customWidth="1"/>
    <col min="2" max="2" width="13.28515625" customWidth="1"/>
    <col min="6" max="6" width="17.28515625" bestFit="1" customWidth="1"/>
    <col min="7" max="7" width="24.85546875" customWidth="1"/>
    <col min="8" max="8" width="5.28515625" customWidth="1"/>
    <col min="9" max="9" width="7.42578125" customWidth="1"/>
    <col min="11" max="11" width="10.140625" bestFit="1" customWidth="1"/>
  </cols>
  <sheetData>
    <row r="1" spans="1:3" x14ac:dyDescent="0.25">
      <c r="A1" t="s">
        <v>81</v>
      </c>
      <c r="B1" s="1" t="s">
        <v>90</v>
      </c>
    </row>
    <row r="2" spans="1:3" x14ac:dyDescent="0.25">
      <c r="A2" t="s">
        <v>91</v>
      </c>
      <c r="B2" t="s">
        <v>85</v>
      </c>
    </row>
    <row r="3" spans="1:3" x14ac:dyDescent="0.25">
      <c r="A3" t="s">
        <v>99</v>
      </c>
      <c r="B3" s="1" t="s">
        <v>98</v>
      </c>
    </row>
    <row r="5" spans="1:3" x14ac:dyDescent="0.25">
      <c r="A5" t="s">
        <v>82</v>
      </c>
      <c r="B5" s="1" t="s">
        <v>83</v>
      </c>
    </row>
    <row r="6" spans="1:3" x14ac:dyDescent="0.25">
      <c r="B6" t="s">
        <v>84</v>
      </c>
    </row>
    <row r="7" spans="1:3" x14ac:dyDescent="0.25">
      <c r="A7" s="20" t="s">
        <v>86</v>
      </c>
      <c r="B7" s="1" t="s">
        <v>87</v>
      </c>
    </row>
    <row r="8" spans="1:3" x14ac:dyDescent="0.25">
      <c r="A8" s="20"/>
      <c r="B8" s="1"/>
    </row>
    <row r="9" spans="1:3" x14ac:dyDescent="0.25">
      <c r="A9" s="21" t="s">
        <v>101</v>
      </c>
      <c r="B9" s="1" t="s">
        <v>100</v>
      </c>
    </row>
    <row r="11" spans="1:3" x14ac:dyDescent="0.25">
      <c r="A11" t="s">
        <v>88</v>
      </c>
      <c r="B11" s="1" t="s">
        <v>89</v>
      </c>
    </row>
    <row r="12" spans="1:3" x14ac:dyDescent="0.25">
      <c r="A12" t="s">
        <v>92</v>
      </c>
    </row>
    <row r="13" spans="1:3" x14ac:dyDescent="0.25">
      <c r="A13" t="s">
        <v>93</v>
      </c>
      <c r="C13" s="1" t="s">
        <v>102</v>
      </c>
    </row>
    <row r="14" spans="1:3" x14ac:dyDescent="0.25">
      <c r="C14" s="1"/>
    </row>
    <row r="15" spans="1:3" x14ac:dyDescent="0.25">
      <c r="A15" t="s">
        <v>251</v>
      </c>
      <c r="B15" s="1" t="s">
        <v>252</v>
      </c>
      <c r="C15" s="1"/>
    </row>
    <row r="16" spans="1:3" x14ac:dyDescent="0.25">
      <c r="B16" t="s">
        <v>253</v>
      </c>
    </row>
    <row r="18" spans="1:11" x14ac:dyDescent="0.25">
      <c r="A18" s="2" t="s">
        <v>103</v>
      </c>
    </row>
    <row r="19" spans="1:11" x14ac:dyDescent="0.25">
      <c r="A19" t="s">
        <v>104</v>
      </c>
      <c r="B19" t="s">
        <v>111</v>
      </c>
    </row>
    <row r="20" spans="1:11" x14ac:dyDescent="0.25">
      <c r="A20" t="s">
        <v>105</v>
      </c>
      <c r="B20" t="s">
        <v>111</v>
      </c>
      <c r="C20" t="s">
        <v>118</v>
      </c>
    </row>
    <row r="21" spans="1:11" x14ac:dyDescent="0.25">
      <c r="A21" t="s">
        <v>106</v>
      </c>
      <c r="B21" t="s">
        <v>107</v>
      </c>
      <c r="C21" t="s">
        <v>121</v>
      </c>
    </row>
    <row r="22" spans="1:11" x14ac:dyDescent="0.25">
      <c r="A22" t="s">
        <v>108</v>
      </c>
      <c r="B22" t="s">
        <v>107</v>
      </c>
      <c r="C22" t="s">
        <v>122</v>
      </c>
    </row>
    <row r="23" spans="1:11" x14ac:dyDescent="0.25">
      <c r="A23" t="s">
        <v>109</v>
      </c>
      <c r="B23" t="s">
        <v>110</v>
      </c>
    </row>
    <row r="24" spans="1:11" x14ac:dyDescent="0.25">
      <c r="A24" t="s">
        <v>112</v>
      </c>
      <c r="B24" t="s">
        <v>113</v>
      </c>
    </row>
    <row r="25" spans="1:11" x14ac:dyDescent="0.25">
      <c r="A25" t="s">
        <v>114</v>
      </c>
      <c r="B25" t="s">
        <v>117</v>
      </c>
      <c r="C25" t="s">
        <v>118</v>
      </c>
    </row>
    <row r="26" spans="1:11" x14ac:dyDescent="0.25">
      <c r="A26" t="s">
        <v>115</v>
      </c>
      <c r="B26" t="s">
        <v>119</v>
      </c>
      <c r="C26" t="s">
        <v>122</v>
      </c>
    </row>
    <row r="27" spans="1:11" x14ac:dyDescent="0.25">
      <c r="A27" t="s">
        <v>66</v>
      </c>
      <c r="B27" t="s">
        <v>120</v>
      </c>
      <c r="C27" t="s">
        <v>122</v>
      </c>
      <c r="F27" s="21" t="s">
        <v>257</v>
      </c>
    </row>
    <row r="28" spans="1:11" x14ac:dyDescent="0.25">
      <c r="A28" t="s">
        <v>116</v>
      </c>
      <c r="B28" t="s">
        <v>120</v>
      </c>
      <c r="C28" t="s">
        <v>122</v>
      </c>
      <c r="G28" s="18" t="s">
        <v>222</v>
      </c>
    </row>
    <row r="29" spans="1:11" x14ac:dyDescent="0.25">
      <c r="G29" s="2" t="s">
        <v>196</v>
      </c>
      <c r="H29" s="2" t="s">
        <v>3</v>
      </c>
      <c r="I29" s="2" t="s">
        <v>210</v>
      </c>
      <c r="J29" s="2" t="s">
        <v>65</v>
      </c>
    </row>
    <row r="30" spans="1:11" x14ac:dyDescent="0.25">
      <c r="A30" t="s">
        <v>183</v>
      </c>
      <c r="F30" s="20" t="s">
        <v>206</v>
      </c>
      <c r="G30" t="s">
        <v>254</v>
      </c>
      <c r="H30">
        <v>5</v>
      </c>
      <c r="I30" s="30">
        <v>4.5</v>
      </c>
      <c r="J30" s="30">
        <f>I30*H30</f>
        <v>22.5</v>
      </c>
      <c r="K30" t="s">
        <v>256</v>
      </c>
    </row>
    <row r="31" spans="1:11" x14ac:dyDescent="0.25">
      <c r="A31" t="s">
        <v>184</v>
      </c>
      <c r="F31" s="20" t="s">
        <v>207</v>
      </c>
      <c r="G31" t="s">
        <v>211</v>
      </c>
      <c r="H31">
        <v>3</v>
      </c>
      <c r="I31" s="30">
        <v>7</v>
      </c>
      <c r="J31" s="30">
        <f t="shared" ref="J31:J49" si="0">I31*H31</f>
        <v>21</v>
      </c>
    </row>
    <row r="32" spans="1:11" x14ac:dyDescent="0.25">
      <c r="A32" t="s">
        <v>192</v>
      </c>
      <c r="B32" t="s">
        <v>193</v>
      </c>
      <c r="F32" s="20" t="s">
        <v>207</v>
      </c>
      <c r="G32" t="s">
        <v>212</v>
      </c>
      <c r="H32">
        <v>3</v>
      </c>
      <c r="I32" s="30">
        <v>9</v>
      </c>
      <c r="J32" s="30">
        <f t="shared" si="0"/>
        <v>27</v>
      </c>
    </row>
    <row r="33" spans="1:11" x14ac:dyDescent="0.25">
      <c r="A33" t="s">
        <v>177</v>
      </c>
      <c r="B33" t="s">
        <v>194</v>
      </c>
      <c r="F33" s="20" t="s">
        <v>207</v>
      </c>
      <c r="G33" t="s">
        <v>229</v>
      </c>
      <c r="H33">
        <v>3</v>
      </c>
      <c r="I33" s="30">
        <v>14</v>
      </c>
      <c r="J33" s="30">
        <f t="shared" si="0"/>
        <v>42</v>
      </c>
    </row>
    <row r="34" spans="1:11" x14ac:dyDescent="0.25">
      <c r="A34" t="s">
        <v>187</v>
      </c>
      <c r="B34" t="s">
        <v>188</v>
      </c>
      <c r="C34" t="s">
        <v>189</v>
      </c>
      <c r="D34" t="s">
        <v>191</v>
      </c>
      <c r="F34" s="20" t="s">
        <v>207</v>
      </c>
      <c r="G34" t="s">
        <v>213</v>
      </c>
      <c r="H34">
        <v>5</v>
      </c>
      <c r="I34" s="30">
        <v>10</v>
      </c>
      <c r="J34" s="30">
        <f t="shared" si="0"/>
        <v>50</v>
      </c>
    </row>
    <row r="35" spans="1:11" x14ac:dyDescent="0.25">
      <c r="A35" t="s">
        <v>190</v>
      </c>
      <c r="C35" t="s">
        <v>58</v>
      </c>
      <c r="F35" s="20" t="s">
        <v>207</v>
      </c>
      <c r="G35" t="s">
        <v>214</v>
      </c>
      <c r="H35">
        <v>5</v>
      </c>
      <c r="I35" s="30">
        <v>7.5</v>
      </c>
      <c r="J35" s="30">
        <f t="shared" si="0"/>
        <v>37.5</v>
      </c>
    </row>
    <row r="36" spans="1:11" x14ac:dyDescent="0.25">
      <c r="A36" t="s">
        <v>185</v>
      </c>
      <c r="F36" s="20" t="s">
        <v>223</v>
      </c>
      <c r="G36" t="s">
        <v>227</v>
      </c>
      <c r="I36" s="30">
        <v>6.5</v>
      </c>
      <c r="J36" s="30">
        <f t="shared" si="0"/>
        <v>0</v>
      </c>
    </row>
    <row r="37" spans="1:11" x14ac:dyDescent="0.25">
      <c r="A37" t="s">
        <v>186</v>
      </c>
      <c r="B37" t="s">
        <v>200</v>
      </c>
      <c r="C37" t="s">
        <v>198</v>
      </c>
      <c r="F37" s="20" t="s">
        <v>223</v>
      </c>
      <c r="G37" t="s">
        <v>228</v>
      </c>
      <c r="H37">
        <v>4</v>
      </c>
      <c r="I37" s="30">
        <v>6</v>
      </c>
      <c r="J37" s="30">
        <f t="shared" si="0"/>
        <v>24</v>
      </c>
    </row>
    <row r="38" spans="1:11" x14ac:dyDescent="0.25">
      <c r="A38" s="1" t="s">
        <v>201</v>
      </c>
      <c r="F38" s="20"/>
      <c r="G38" t="s">
        <v>215</v>
      </c>
      <c r="H38">
        <v>1</v>
      </c>
      <c r="I38" s="30">
        <v>3.7</v>
      </c>
      <c r="J38" s="30">
        <f t="shared" si="0"/>
        <v>3.7</v>
      </c>
      <c r="K38" t="s">
        <v>256</v>
      </c>
    </row>
    <row r="39" spans="1:11" x14ac:dyDescent="0.25">
      <c r="A39" t="s">
        <v>452</v>
      </c>
      <c r="F39" s="20"/>
      <c r="G39" t="s">
        <v>216</v>
      </c>
      <c r="I39" s="30">
        <v>4.25</v>
      </c>
      <c r="J39" s="30">
        <f t="shared" si="0"/>
        <v>0</v>
      </c>
    </row>
    <row r="40" spans="1:11" x14ac:dyDescent="0.25">
      <c r="F40" s="20"/>
      <c r="G40" t="s">
        <v>197</v>
      </c>
      <c r="I40" s="30">
        <v>5.5</v>
      </c>
      <c r="J40" s="30">
        <f t="shared" si="0"/>
        <v>0</v>
      </c>
      <c r="K40" t="s">
        <v>256</v>
      </c>
    </row>
    <row r="41" spans="1:11" x14ac:dyDescent="0.25">
      <c r="F41" s="20"/>
      <c r="G41" t="s">
        <v>220</v>
      </c>
      <c r="I41" s="30">
        <v>5.5</v>
      </c>
      <c r="J41" s="30">
        <f t="shared" si="0"/>
        <v>0</v>
      </c>
      <c r="K41" t="s">
        <v>256</v>
      </c>
    </row>
    <row r="42" spans="1:11" x14ac:dyDescent="0.25">
      <c r="B42" s="2" t="s">
        <v>238</v>
      </c>
      <c r="F42" s="20"/>
      <c r="G42" t="s">
        <v>199</v>
      </c>
      <c r="H42">
        <v>4</v>
      </c>
      <c r="I42" s="30">
        <v>4.75</v>
      </c>
      <c r="J42" s="30">
        <f t="shared" si="0"/>
        <v>19</v>
      </c>
      <c r="K42" t="s">
        <v>256</v>
      </c>
    </row>
    <row r="43" spans="1:11" x14ac:dyDescent="0.25">
      <c r="B43" t="s">
        <v>233</v>
      </c>
      <c r="C43" s="30">
        <v>13.5</v>
      </c>
      <c r="D43" t="s">
        <v>231</v>
      </c>
      <c r="F43" s="20"/>
      <c r="G43" t="s">
        <v>241</v>
      </c>
      <c r="I43" s="30">
        <v>2.1</v>
      </c>
      <c r="J43" s="30">
        <f t="shared" si="0"/>
        <v>0</v>
      </c>
      <c r="K43" t="s">
        <v>256</v>
      </c>
    </row>
    <row r="44" spans="1:11" x14ac:dyDescent="0.25">
      <c r="B44" t="s">
        <v>232</v>
      </c>
      <c r="C44" s="30">
        <v>13.5</v>
      </c>
      <c r="D44" t="s">
        <v>230</v>
      </c>
      <c r="F44" s="20"/>
      <c r="G44" t="s">
        <v>239</v>
      </c>
      <c r="I44" s="30">
        <v>2.1</v>
      </c>
      <c r="J44" s="30">
        <f t="shared" si="0"/>
        <v>0</v>
      </c>
    </row>
    <row r="45" spans="1:11" x14ac:dyDescent="0.25">
      <c r="B45" t="s">
        <v>234</v>
      </c>
      <c r="C45" s="30">
        <v>13.5</v>
      </c>
      <c r="D45" t="s">
        <v>235</v>
      </c>
      <c r="F45" s="20"/>
      <c r="G45" t="s">
        <v>240</v>
      </c>
      <c r="I45" s="30">
        <v>3.75</v>
      </c>
      <c r="J45" s="30">
        <f t="shared" si="0"/>
        <v>0</v>
      </c>
    </row>
    <row r="46" spans="1:11" x14ac:dyDescent="0.25">
      <c r="B46" t="s">
        <v>236</v>
      </c>
      <c r="C46" s="30">
        <v>13.5</v>
      </c>
      <c r="D46" t="s">
        <v>237</v>
      </c>
      <c r="F46" s="20"/>
      <c r="G46" t="s">
        <v>226</v>
      </c>
      <c r="I46" s="30">
        <v>7</v>
      </c>
      <c r="J46" s="30">
        <f>I46*H46</f>
        <v>0</v>
      </c>
    </row>
    <row r="47" spans="1:11" x14ac:dyDescent="0.25">
      <c r="F47" s="20" t="s">
        <v>225</v>
      </c>
      <c r="G47" t="s">
        <v>218</v>
      </c>
      <c r="H47">
        <v>2</v>
      </c>
      <c r="I47" s="30">
        <v>6.25</v>
      </c>
      <c r="J47" s="30">
        <f t="shared" si="0"/>
        <v>12.5</v>
      </c>
      <c r="K47" t="s">
        <v>256</v>
      </c>
    </row>
    <row r="48" spans="1:11" x14ac:dyDescent="0.25">
      <c r="B48" s="2" t="s">
        <v>244</v>
      </c>
      <c r="F48" s="20" t="s">
        <v>224</v>
      </c>
      <c r="G48" t="s">
        <v>217</v>
      </c>
      <c r="H48">
        <v>1</v>
      </c>
      <c r="I48" s="30">
        <v>12</v>
      </c>
      <c r="J48" s="30">
        <f t="shared" si="0"/>
        <v>12</v>
      </c>
      <c r="K48" t="s">
        <v>256</v>
      </c>
    </row>
    <row r="49" spans="2:12" x14ac:dyDescent="0.25">
      <c r="B49" t="s">
        <v>250</v>
      </c>
      <c r="F49" s="20" t="s">
        <v>224</v>
      </c>
      <c r="G49" t="s">
        <v>219</v>
      </c>
      <c r="H49">
        <v>2</v>
      </c>
      <c r="I49" s="30">
        <v>13.5</v>
      </c>
      <c r="J49" s="30">
        <f t="shared" si="0"/>
        <v>27</v>
      </c>
      <c r="K49" t="s">
        <v>256</v>
      </c>
    </row>
    <row r="50" spans="2:12" x14ac:dyDescent="0.25">
      <c r="B50" t="s">
        <v>247</v>
      </c>
      <c r="F50" s="20" t="s">
        <v>223</v>
      </c>
      <c r="G50" t="s">
        <v>221</v>
      </c>
      <c r="I50" s="30">
        <v>3.9</v>
      </c>
      <c r="J50" s="30">
        <f>I50*H50</f>
        <v>0</v>
      </c>
      <c r="K50" t="s">
        <v>256</v>
      </c>
      <c r="L50" s="30">
        <f>J30+J38+SUM(J40:J43)+SUM(J47:J50)</f>
        <v>96.7</v>
      </c>
    </row>
    <row r="51" spans="2:12" x14ac:dyDescent="0.25">
      <c r="B51" t="s">
        <v>245</v>
      </c>
      <c r="F51" s="20"/>
      <c r="G51" t="s">
        <v>243</v>
      </c>
      <c r="I51" s="30">
        <v>2</v>
      </c>
      <c r="J51" s="30">
        <f>I51*H51</f>
        <v>0</v>
      </c>
    </row>
    <row r="52" spans="2:12" x14ac:dyDescent="0.25">
      <c r="B52" t="s">
        <v>246</v>
      </c>
      <c r="F52" s="20"/>
      <c r="I52" s="30"/>
      <c r="J52" s="30">
        <f>SUM(J30:J51)</f>
        <v>298.2</v>
      </c>
    </row>
    <row r="53" spans="2:12" x14ac:dyDescent="0.25">
      <c r="B53" t="s">
        <v>249</v>
      </c>
    </row>
    <row r="54" spans="2:12" x14ac:dyDescent="0.25">
      <c r="B54" t="s">
        <v>248</v>
      </c>
    </row>
  </sheetData>
  <hyperlinks>
    <hyperlink ref="B5" r:id="rId1" xr:uid="{06C3BC58-C0B6-48C6-A857-02CEDB0E72B6}"/>
    <hyperlink ref="B7" r:id="rId2" xr:uid="{9E4DC74C-440C-4208-9C52-BFD5B352A6F0}"/>
    <hyperlink ref="B11" r:id="rId3" xr:uid="{D36A71F0-8559-4914-8ED2-4452607D7681}"/>
    <hyperlink ref="B1" r:id="rId4" xr:uid="{B39A1085-9AD4-48DC-AA17-9FB7EB7ACB56}"/>
    <hyperlink ref="B3" r:id="rId5" display="https://www.youtube.com/watch?v=HNlgAqo0cc8&amp;t=4s" xr:uid="{87286173-5FD5-4B91-A505-E7E8828C166E}"/>
    <hyperlink ref="B9" r:id="rId6" display="https://www.youtube.com/watch?v=iuhgM1UdEtg&amp;t=77s" xr:uid="{3A380F8C-55AE-4650-8DD9-41F3D807CD67}"/>
    <hyperlink ref="C13" r:id="rId7" xr:uid="{ABBDF543-1389-4EF8-BEE0-12D8E8ADD210}"/>
    <hyperlink ref="A38" r:id="rId8" xr:uid="{8EF104ED-27F1-4E0A-B080-AD5BEF97A90B}"/>
    <hyperlink ref="B15" r:id="rId9" xr:uid="{9EE31497-3433-4183-A200-242DDCBDCC1E}"/>
  </hyperlinks>
  <pageMargins left="0.7" right="0.7" top="0.75" bottom="0.75" header="0.3" footer="0.3"/>
  <pageSetup orientation="portrait"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E52D-397A-4267-A4EC-33DE3608C71C}">
  <dimension ref="A1:AB128"/>
  <sheetViews>
    <sheetView tabSelected="1" workbookViewId="0">
      <pane ySplit="2" topLeftCell="A5" activePane="bottomLeft" state="frozen"/>
      <selection pane="bottomLeft" activeCell="S7" sqref="S7"/>
    </sheetView>
  </sheetViews>
  <sheetFormatPr defaultRowHeight="15" x14ac:dyDescent="0.25"/>
  <cols>
    <col min="1" max="1" width="27.28515625" customWidth="1"/>
    <col min="2" max="2" width="26.42578125" bestFit="1" customWidth="1"/>
    <col min="3" max="3" width="6.5703125" customWidth="1"/>
    <col min="4" max="4" width="4.7109375" customWidth="1"/>
    <col min="5" max="6" width="9" bestFit="1" customWidth="1"/>
    <col min="7" max="7" width="6.5703125" bestFit="1" customWidth="1"/>
    <col min="9" max="9" width="1.7109375" customWidth="1"/>
    <col min="10" max="10" width="22.5703125" style="10" customWidth="1"/>
    <col min="11" max="11" width="24.140625" bestFit="1" customWidth="1"/>
    <col min="12" max="12" width="7" customWidth="1"/>
    <col min="13" max="13" width="6.7109375" bestFit="1" customWidth="1"/>
    <col min="14" max="14" width="8.5703125" bestFit="1" customWidth="1"/>
    <col min="15" max="15" width="8.7109375" bestFit="1" customWidth="1"/>
    <col min="16" max="16" width="7.28515625" bestFit="1" customWidth="1"/>
    <col min="18" max="18" width="3.5703125" customWidth="1"/>
    <col min="19" max="19" width="22.5703125" bestFit="1" customWidth="1"/>
    <col min="20" max="20" width="7.5703125" bestFit="1" customWidth="1"/>
    <col min="21" max="21" width="7.28515625" customWidth="1"/>
    <col min="22" max="22" width="5.140625" customWidth="1"/>
    <col min="23" max="23" width="6.28515625" customWidth="1"/>
    <col min="24" max="24" width="7.5703125" bestFit="1" customWidth="1"/>
    <col min="25" max="25" width="3.140625" bestFit="1" customWidth="1"/>
    <col min="26" max="27" width="3.28515625" bestFit="1" customWidth="1"/>
    <col min="28" max="28" width="5" bestFit="1" customWidth="1"/>
  </cols>
  <sheetData>
    <row r="1" spans="1:28" ht="15.75" x14ac:dyDescent="0.25">
      <c r="B1" s="18" t="s">
        <v>280</v>
      </c>
      <c r="C1" s="18"/>
      <c r="D1" s="18"/>
      <c r="E1" s="18"/>
      <c r="I1" s="34"/>
      <c r="K1" s="18" t="s">
        <v>273</v>
      </c>
      <c r="L1" s="18"/>
      <c r="M1" s="18"/>
      <c r="N1" s="18"/>
      <c r="S1" s="62"/>
    </row>
    <row r="2" spans="1:28" x14ac:dyDescent="0.25">
      <c r="B2" s="2" t="s">
        <v>270</v>
      </c>
      <c r="C2" s="4" t="s">
        <v>293</v>
      </c>
      <c r="D2" s="4"/>
      <c r="E2" s="4" t="s">
        <v>281</v>
      </c>
      <c r="F2" s="4" t="s">
        <v>271</v>
      </c>
      <c r="G2" s="4" t="s">
        <v>210</v>
      </c>
      <c r="H2" s="4" t="s">
        <v>65</v>
      </c>
      <c r="I2" s="34"/>
      <c r="K2" s="2" t="s">
        <v>270</v>
      </c>
      <c r="L2" s="4" t="s">
        <v>293</v>
      </c>
      <c r="M2" s="4"/>
      <c r="N2" s="4" t="s">
        <v>281</v>
      </c>
      <c r="O2" s="4" t="s">
        <v>271</v>
      </c>
      <c r="P2" s="4" t="s">
        <v>210</v>
      </c>
      <c r="Q2" s="4" t="s">
        <v>65</v>
      </c>
      <c r="S2" s="4"/>
      <c r="U2" s="4"/>
    </row>
    <row r="3" spans="1:28" x14ac:dyDescent="0.25">
      <c r="A3" s="5" t="s">
        <v>269</v>
      </c>
      <c r="B3" s="38" t="s">
        <v>275</v>
      </c>
      <c r="C3" s="20">
        <v>6</v>
      </c>
      <c r="D3" s="21" t="s">
        <v>159</v>
      </c>
      <c r="E3" s="36">
        <f>C3*$A$5</f>
        <v>19.5</v>
      </c>
      <c r="F3" s="33"/>
      <c r="G3" s="35">
        <v>16.03</v>
      </c>
      <c r="H3" s="35" t="str">
        <f>IF((G3*F3)=0,"",G3*F3)</f>
        <v/>
      </c>
      <c r="I3" s="34"/>
      <c r="J3" s="146" t="str">
        <f>IF(ISBLANK(A3),"",A3)</f>
        <v>Top Quilt</v>
      </c>
      <c r="K3" t="s">
        <v>276</v>
      </c>
      <c r="L3" s="20">
        <v>5</v>
      </c>
      <c r="M3" s="21" t="s">
        <v>159</v>
      </c>
      <c r="N3" s="36">
        <f>L3*$A$5</f>
        <v>16.25</v>
      </c>
      <c r="O3" s="33">
        <v>2.5</v>
      </c>
      <c r="P3" s="35">
        <v>14.25</v>
      </c>
      <c r="Q3" s="35">
        <f>IF((P3*O3)=0,"",P3*O3)</f>
        <v>35.625</v>
      </c>
      <c r="T3" s="3"/>
    </row>
    <row r="4" spans="1:28" x14ac:dyDescent="0.25">
      <c r="A4" s="20" t="s">
        <v>347</v>
      </c>
      <c r="B4" s="38" t="s">
        <v>277</v>
      </c>
      <c r="C4" s="20">
        <v>3.6</v>
      </c>
      <c r="D4" s="21" t="s">
        <v>159</v>
      </c>
      <c r="E4" s="36">
        <f>C4*$A$5</f>
        <v>11.700000000000001</v>
      </c>
      <c r="F4" s="33">
        <v>0</v>
      </c>
      <c r="G4" s="35">
        <v>10.3</v>
      </c>
      <c r="H4" s="35" t="str">
        <f t="shared" ref="H4:H86" si="0">IF((G4*F4)=0,"",G4*F4)</f>
        <v/>
      </c>
      <c r="I4" s="34"/>
      <c r="J4" s="147" t="str">
        <f t="shared" ref="J4:J40" si="1">IF(ISBLANK(A4),"",A4)</f>
        <v>54x78</v>
      </c>
      <c r="K4" t="s">
        <v>277</v>
      </c>
      <c r="L4" s="20">
        <v>3.6</v>
      </c>
      <c r="M4" s="21" t="s">
        <v>159</v>
      </c>
      <c r="N4" s="36">
        <f t="shared" ref="N4:N10" si="2">L4*$A$5</f>
        <v>11.700000000000001</v>
      </c>
      <c r="O4" s="33"/>
      <c r="P4" s="35">
        <v>12</v>
      </c>
      <c r="Q4" s="35" t="str">
        <f t="shared" ref="Q4:Q86" si="3">IF((P4*O4)=0,"",P4*O4)</f>
        <v/>
      </c>
      <c r="T4" s="3">
        <f>E3+E7</f>
        <v>23.855</v>
      </c>
      <c r="U4" t="s">
        <v>455</v>
      </c>
    </row>
    <row r="5" spans="1:28" x14ac:dyDescent="0.25">
      <c r="A5" s="37">
        <f>(54*78)/(36*36)</f>
        <v>3.25</v>
      </c>
      <c r="B5" s="38" t="s">
        <v>441</v>
      </c>
      <c r="C5" s="20"/>
      <c r="D5" s="21"/>
      <c r="E5" s="36"/>
      <c r="F5" s="33"/>
      <c r="G5" s="35"/>
      <c r="H5" s="35" t="str">
        <f t="shared" si="0"/>
        <v/>
      </c>
      <c r="I5" s="34"/>
      <c r="J5" s="147">
        <f t="shared" si="1"/>
        <v>3.25</v>
      </c>
      <c r="K5" s="66" t="s">
        <v>441</v>
      </c>
      <c r="L5" s="20"/>
      <c r="M5" s="21"/>
      <c r="N5" s="36"/>
      <c r="O5" s="33"/>
      <c r="P5" s="35"/>
      <c r="Q5" s="35" t="str">
        <f t="shared" si="3"/>
        <v/>
      </c>
      <c r="S5" s="30"/>
      <c r="T5" s="3">
        <f>E16+E17</f>
        <v>21.204444444444444</v>
      </c>
      <c r="U5" t="s">
        <v>456</v>
      </c>
    </row>
    <row r="6" spans="1:28" x14ac:dyDescent="0.25">
      <c r="A6" t="s">
        <v>488</v>
      </c>
      <c r="B6" s="38" t="s">
        <v>444</v>
      </c>
      <c r="C6" s="20"/>
      <c r="D6" s="21"/>
      <c r="E6" s="36"/>
      <c r="F6" s="33"/>
      <c r="G6" s="35"/>
      <c r="H6" s="35" t="str">
        <f t="shared" si="0"/>
        <v/>
      </c>
      <c r="I6" s="34"/>
      <c r="J6" s="147" t="str">
        <f t="shared" si="1"/>
        <v>tapperd &amp; sewn waist down</v>
      </c>
      <c r="K6" s="66" t="s">
        <v>444</v>
      </c>
      <c r="L6" s="20"/>
      <c r="M6" s="21"/>
      <c r="N6" s="36"/>
      <c r="O6" s="33"/>
      <c r="P6" s="35"/>
      <c r="Q6" s="35" t="str">
        <f t="shared" si="3"/>
        <v/>
      </c>
      <c r="T6" s="3">
        <f>(T4+T5)/16</f>
        <v>2.8162152777777778</v>
      </c>
      <c r="U6" t="s">
        <v>457</v>
      </c>
    </row>
    <row r="7" spans="1:28" x14ac:dyDescent="0.25">
      <c r="A7" s="20" t="s">
        <v>485</v>
      </c>
      <c r="B7" s="38" t="s">
        <v>479</v>
      </c>
      <c r="C7" s="20">
        <v>0.67</v>
      </c>
      <c r="D7" s="21" t="s">
        <v>159</v>
      </c>
      <c r="E7" s="36">
        <f>C7*$A$5*2</f>
        <v>4.3550000000000004</v>
      </c>
      <c r="F7" s="33"/>
      <c r="G7" s="35">
        <v>11.45</v>
      </c>
      <c r="H7" s="35" t="str">
        <f t="shared" si="0"/>
        <v/>
      </c>
      <c r="I7" s="34"/>
      <c r="J7" s="147" t="str">
        <f t="shared" si="1"/>
        <v>make 2nd top quilt 3.5oz</v>
      </c>
      <c r="K7" t="s">
        <v>291</v>
      </c>
      <c r="L7" s="20">
        <v>0.66</v>
      </c>
      <c r="M7" s="21" t="s">
        <v>159</v>
      </c>
      <c r="N7" s="36">
        <f t="shared" si="2"/>
        <v>2.145</v>
      </c>
      <c r="O7" s="33">
        <v>5</v>
      </c>
      <c r="P7" s="35">
        <v>12.75</v>
      </c>
      <c r="Q7" s="35">
        <f t="shared" si="3"/>
        <v>63.75</v>
      </c>
    </row>
    <row r="8" spans="1:28" x14ac:dyDescent="0.25">
      <c r="A8" s="20" t="s">
        <v>483</v>
      </c>
      <c r="B8" s="38" t="s">
        <v>481</v>
      </c>
      <c r="C8" s="20">
        <v>0.9</v>
      </c>
      <c r="D8" s="21" t="s">
        <v>159</v>
      </c>
      <c r="E8" s="36">
        <f>C8*$A$5*2</f>
        <v>5.8500000000000005</v>
      </c>
      <c r="F8" s="33">
        <v>5</v>
      </c>
      <c r="G8" s="35">
        <v>8.59</v>
      </c>
      <c r="H8" s="35">
        <f>IF((G8*F8)=0,"",G8*F8)</f>
        <v>42.95</v>
      </c>
      <c r="I8" s="34"/>
      <c r="J8" s="147" t="str">
        <f t="shared" si="1"/>
        <v>and use current 5oz UQ</v>
      </c>
      <c r="K8" t="s">
        <v>292</v>
      </c>
      <c r="L8" s="20">
        <v>0.9</v>
      </c>
      <c r="M8" s="21" t="s">
        <v>159</v>
      </c>
      <c r="N8" s="36">
        <f t="shared" si="2"/>
        <v>2.9250000000000003</v>
      </c>
      <c r="O8" s="33"/>
      <c r="P8" s="35">
        <v>10</v>
      </c>
      <c r="Q8" s="35" t="str">
        <f t="shared" si="3"/>
        <v/>
      </c>
    </row>
    <row r="9" spans="1:28" x14ac:dyDescent="0.25">
      <c r="A9" s="21" t="s">
        <v>486</v>
      </c>
      <c r="B9" s="38" t="s">
        <v>504</v>
      </c>
      <c r="C9" s="20">
        <v>0.93</v>
      </c>
      <c r="D9" s="21" t="s">
        <v>159</v>
      </c>
      <c r="E9" s="36">
        <f>C9*$A$5*2</f>
        <v>6.0449999999999999</v>
      </c>
      <c r="F9" s="33"/>
      <c r="G9" s="35">
        <v>8.3000000000000007</v>
      </c>
      <c r="H9" s="35" t="str">
        <f t="shared" ref="H9:H26" si="4">IF((G9*F9)=0,"",G9*F9)</f>
        <v/>
      </c>
      <c r="I9" s="34"/>
      <c r="J9" s="147" t="str">
        <f t="shared" si="1"/>
        <v>3yd 6oz &amp; 2 yd 3.5oz</v>
      </c>
      <c r="K9" t="s">
        <v>294</v>
      </c>
      <c r="L9" s="20">
        <v>1</v>
      </c>
      <c r="M9" s="21" t="s">
        <v>159</v>
      </c>
      <c r="N9" s="36">
        <f t="shared" si="2"/>
        <v>3.25</v>
      </c>
      <c r="O9" s="33"/>
      <c r="P9" s="35">
        <v>6.6</v>
      </c>
      <c r="Q9" s="35" t="str">
        <f>IF((P9*O9)=0,"",P9*O9)</f>
        <v/>
      </c>
      <c r="U9" s="2" t="s">
        <v>379</v>
      </c>
      <c r="V9" s="2" t="s">
        <v>380</v>
      </c>
      <c r="W9" s="2" t="s">
        <v>383</v>
      </c>
      <c r="X9" s="2" t="s">
        <v>387</v>
      </c>
      <c r="Y9" s="2" t="s">
        <v>390</v>
      </c>
      <c r="Z9" s="2" t="s">
        <v>391</v>
      </c>
      <c r="AA9" s="2" t="s">
        <v>392</v>
      </c>
      <c r="AB9" s="2" t="s">
        <v>393</v>
      </c>
    </row>
    <row r="10" spans="1:28" x14ac:dyDescent="0.25">
      <c r="A10" s="21" t="s">
        <v>487</v>
      </c>
      <c r="B10" s="38" t="s">
        <v>331</v>
      </c>
      <c r="C10" s="20">
        <v>1.05</v>
      </c>
      <c r="D10" s="21" t="s">
        <v>159</v>
      </c>
      <c r="E10" s="36">
        <f>C10*$A$5*2</f>
        <v>6.8250000000000002</v>
      </c>
      <c r="F10" s="33"/>
      <c r="G10" s="35">
        <v>7.22</v>
      </c>
      <c r="H10" s="35" t="str">
        <f t="shared" si="4"/>
        <v/>
      </c>
      <c r="I10" s="34"/>
      <c r="J10" s="147" t="str">
        <f t="shared" si="1"/>
        <v>add 1/2yd 6oz to 3.5oz TQ</v>
      </c>
      <c r="K10" t="s">
        <v>295</v>
      </c>
      <c r="L10" s="20">
        <v>1.1000000000000001</v>
      </c>
      <c r="M10" s="21">
        <v>7</v>
      </c>
      <c r="N10" s="36">
        <f t="shared" si="2"/>
        <v>3.5750000000000002</v>
      </c>
      <c r="O10" s="33"/>
      <c r="P10" s="35">
        <v>6.5</v>
      </c>
      <c r="Q10" s="35" t="str">
        <f>IF((P10*O10)=0,"",P10*O10)</f>
        <v/>
      </c>
      <c r="S10" s="70" t="s">
        <v>384</v>
      </c>
      <c r="T10" s="75">
        <f>SUM(U10:AB10)</f>
        <v>23</v>
      </c>
      <c r="X10">
        <v>15</v>
      </c>
      <c r="AB10">
        <v>8</v>
      </c>
    </row>
    <row r="11" spans="1:28" x14ac:dyDescent="0.25">
      <c r="A11" s="20"/>
      <c r="B11" s="38" t="s">
        <v>296</v>
      </c>
      <c r="C11" s="20"/>
      <c r="D11" s="21"/>
      <c r="E11" s="36"/>
      <c r="F11" s="33"/>
      <c r="G11" s="35">
        <v>3.96</v>
      </c>
      <c r="H11" s="35" t="str">
        <f t="shared" si="4"/>
        <v/>
      </c>
      <c r="I11" s="34"/>
      <c r="J11" s="147" t="str">
        <f t="shared" si="1"/>
        <v/>
      </c>
      <c r="K11" t="s">
        <v>296</v>
      </c>
      <c r="L11" s="20"/>
      <c r="M11" s="21"/>
      <c r="N11" s="36"/>
      <c r="O11" s="33">
        <v>1</v>
      </c>
      <c r="P11" s="35">
        <v>5.25</v>
      </c>
      <c r="Q11" s="35">
        <f>IF((P11*O11)=0,"",P11*O11)</f>
        <v>5.25</v>
      </c>
      <c r="S11" s="70" t="s">
        <v>385</v>
      </c>
      <c r="T11" s="75">
        <f t="shared" ref="T11:T17" si="5">SUM(U11:AB11)</f>
        <v>39</v>
      </c>
      <c r="U11">
        <v>6</v>
      </c>
      <c r="V11">
        <v>15</v>
      </c>
      <c r="Z11">
        <v>4</v>
      </c>
      <c r="AA11">
        <v>6</v>
      </c>
      <c r="AB11">
        <v>8</v>
      </c>
    </row>
    <row r="12" spans="1:28" x14ac:dyDescent="0.25">
      <c r="A12" s="20"/>
      <c r="B12" s="38" t="s">
        <v>297</v>
      </c>
      <c r="C12" s="20"/>
      <c r="D12" s="21"/>
      <c r="E12" s="36"/>
      <c r="F12" s="33">
        <v>1</v>
      </c>
      <c r="G12" s="35">
        <v>4.55</v>
      </c>
      <c r="H12" s="35">
        <f t="shared" si="4"/>
        <v>4.55</v>
      </c>
      <c r="I12" s="34"/>
      <c r="J12" s="147" t="str">
        <f t="shared" si="1"/>
        <v/>
      </c>
      <c r="K12" t="s">
        <v>297</v>
      </c>
      <c r="L12" s="20"/>
      <c r="M12" s="21"/>
      <c r="N12" s="36"/>
      <c r="O12" s="33"/>
      <c r="P12" s="35">
        <v>4.5</v>
      </c>
      <c r="Q12" s="35" t="str">
        <f>IF((P12*O12)=0,"",P12*O12)</f>
        <v/>
      </c>
      <c r="S12" s="71" t="s">
        <v>396</v>
      </c>
      <c r="T12" s="75">
        <f t="shared" si="5"/>
        <v>13</v>
      </c>
      <c r="U12">
        <v>3</v>
      </c>
      <c r="V12">
        <v>5</v>
      </c>
      <c r="Z12">
        <v>1</v>
      </c>
      <c r="AA12">
        <v>1</v>
      </c>
      <c r="AB12">
        <v>3</v>
      </c>
    </row>
    <row r="13" spans="1:28" x14ac:dyDescent="0.25">
      <c r="A13" s="20"/>
      <c r="B13" s="46" t="s">
        <v>374</v>
      </c>
      <c r="C13" s="20"/>
      <c r="D13" s="21"/>
      <c r="E13" s="36"/>
      <c r="F13" s="33"/>
      <c r="G13" s="35"/>
      <c r="H13" s="35" t="str">
        <f t="shared" si="4"/>
        <v/>
      </c>
      <c r="I13" s="34"/>
      <c r="J13" s="147" t="str">
        <f t="shared" si="1"/>
        <v/>
      </c>
      <c r="K13" s="138" t="s">
        <v>289</v>
      </c>
      <c r="L13" s="20"/>
      <c r="M13" s="21"/>
      <c r="N13" s="36"/>
      <c r="O13" s="33"/>
      <c r="P13" s="35">
        <v>5</v>
      </c>
      <c r="Q13" s="35"/>
      <c r="S13" s="71" t="s">
        <v>397</v>
      </c>
      <c r="T13" s="75">
        <f t="shared" si="5"/>
        <v>4</v>
      </c>
      <c r="X13">
        <v>4</v>
      </c>
    </row>
    <row r="14" spans="1:28" ht="15.75" thickBot="1" x14ac:dyDescent="0.3">
      <c r="A14" s="20"/>
      <c r="B14" s="50" t="s">
        <v>377</v>
      </c>
      <c r="C14" s="20"/>
      <c r="D14" s="21"/>
      <c r="E14" s="36"/>
      <c r="F14" s="33">
        <v>2</v>
      </c>
      <c r="G14" s="35"/>
      <c r="H14" s="35" t="str">
        <f t="shared" si="4"/>
        <v/>
      </c>
      <c r="I14" s="34"/>
      <c r="J14" s="147" t="str">
        <f t="shared" si="1"/>
        <v/>
      </c>
      <c r="K14" s="139" t="s">
        <v>314</v>
      </c>
      <c r="L14" s="20"/>
      <c r="M14" s="21"/>
      <c r="N14" s="36"/>
      <c r="O14" s="33">
        <v>2</v>
      </c>
      <c r="P14" s="35"/>
      <c r="Q14" s="35"/>
      <c r="S14" s="72" t="s">
        <v>381</v>
      </c>
      <c r="T14" s="75">
        <f t="shared" si="5"/>
        <v>8</v>
      </c>
      <c r="V14">
        <v>4</v>
      </c>
      <c r="AB14">
        <v>4</v>
      </c>
    </row>
    <row r="15" spans="1:28" ht="15.75" thickBot="1" x14ac:dyDescent="0.3">
      <c r="A15" s="20"/>
      <c r="B15" s="38"/>
      <c r="C15" s="20"/>
      <c r="D15" s="21"/>
      <c r="E15" s="36"/>
      <c r="F15" s="33"/>
      <c r="G15" s="64" t="s">
        <v>65</v>
      </c>
      <c r="H15" s="65">
        <f>SUM(H3:H14)</f>
        <v>47.5</v>
      </c>
      <c r="I15" s="34"/>
      <c r="J15" s="147" t="str">
        <f t="shared" si="1"/>
        <v/>
      </c>
      <c r="K15" s="66"/>
      <c r="L15" s="20"/>
      <c r="M15" s="21"/>
      <c r="N15" s="36"/>
      <c r="O15" s="33"/>
      <c r="P15" s="64" t="s">
        <v>65</v>
      </c>
      <c r="Q15" s="65">
        <f>SUM(Q3:Q14)</f>
        <v>104.625</v>
      </c>
      <c r="S15" s="73" t="s">
        <v>351</v>
      </c>
      <c r="T15" s="75">
        <f t="shared" si="5"/>
        <v>32</v>
      </c>
      <c r="W15">
        <v>32</v>
      </c>
    </row>
    <row r="16" spans="1:28" x14ac:dyDescent="0.25">
      <c r="A16" s="5" t="s">
        <v>173</v>
      </c>
      <c r="B16" s="38" t="s">
        <v>275</v>
      </c>
      <c r="C16" s="20">
        <v>6</v>
      </c>
      <c r="D16" s="21" t="s">
        <v>159</v>
      </c>
      <c r="E16" s="36">
        <f>C16*$A$18</f>
        <v>17.333333333333332</v>
      </c>
      <c r="F16" s="33">
        <v>3</v>
      </c>
      <c r="G16" s="35">
        <v>16.03</v>
      </c>
      <c r="H16" s="35">
        <f t="shared" si="4"/>
        <v>48.09</v>
      </c>
      <c r="I16" s="34"/>
      <c r="J16" s="146" t="str">
        <f t="shared" si="1"/>
        <v>Under Quilt</v>
      </c>
      <c r="K16" s="66" t="s">
        <v>276</v>
      </c>
      <c r="L16" s="20">
        <v>5</v>
      </c>
      <c r="M16" s="21" t="s">
        <v>159</v>
      </c>
      <c r="N16" s="36"/>
      <c r="O16" s="33">
        <v>2.5</v>
      </c>
      <c r="P16" s="35">
        <v>14.25</v>
      </c>
      <c r="Q16" s="35">
        <f t="shared" si="3"/>
        <v>35.625</v>
      </c>
      <c r="S16" s="74" t="s">
        <v>388</v>
      </c>
      <c r="T16" s="75">
        <f t="shared" si="5"/>
        <v>3</v>
      </c>
      <c r="Y16">
        <v>1</v>
      </c>
      <c r="AB16">
        <v>2</v>
      </c>
    </row>
    <row r="17" spans="1:28" x14ac:dyDescent="0.25">
      <c r="A17" s="20" t="s">
        <v>315</v>
      </c>
      <c r="B17" s="38" t="s">
        <v>479</v>
      </c>
      <c r="C17" s="20">
        <v>0.67</v>
      </c>
      <c r="D17" s="21" t="s">
        <v>159</v>
      </c>
      <c r="E17" s="36">
        <f>C17*$A$18*2</f>
        <v>3.8711111111111114</v>
      </c>
      <c r="F17" s="33"/>
      <c r="G17" s="35">
        <v>11.45</v>
      </c>
      <c r="H17" s="35" t="str">
        <f t="shared" si="4"/>
        <v/>
      </c>
      <c r="I17" s="34"/>
      <c r="J17" s="147" t="str">
        <f t="shared" si="1"/>
        <v>78x48</v>
      </c>
      <c r="K17" s="66" t="s">
        <v>291</v>
      </c>
      <c r="L17" s="20">
        <v>0.66</v>
      </c>
      <c r="M17" s="21" t="s">
        <v>159</v>
      </c>
      <c r="N17" s="36">
        <f>L17*$A$5</f>
        <v>2.145</v>
      </c>
      <c r="O17" s="33">
        <v>5</v>
      </c>
      <c r="P17" s="35">
        <v>12.75</v>
      </c>
      <c r="Q17" s="35">
        <f t="shared" si="3"/>
        <v>63.75</v>
      </c>
      <c r="S17" s="74" t="s">
        <v>394</v>
      </c>
      <c r="T17" s="75">
        <f t="shared" si="5"/>
        <v>17</v>
      </c>
      <c r="Y17">
        <v>2</v>
      </c>
      <c r="AB17">
        <v>15</v>
      </c>
    </row>
    <row r="18" spans="1:28" x14ac:dyDescent="0.25">
      <c r="A18" s="37">
        <f>(78*48)/(36*36)</f>
        <v>2.8888888888888888</v>
      </c>
      <c r="B18" s="38" t="s">
        <v>481</v>
      </c>
      <c r="C18" s="20">
        <v>0.9</v>
      </c>
      <c r="D18" s="21" t="s">
        <v>159</v>
      </c>
      <c r="E18" s="36">
        <f>C18*$A$18*2</f>
        <v>5.2</v>
      </c>
      <c r="F18" s="33">
        <v>5</v>
      </c>
      <c r="G18" s="35">
        <v>8.59</v>
      </c>
      <c r="H18" s="35">
        <f t="shared" si="4"/>
        <v>42.95</v>
      </c>
      <c r="I18" s="34"/>
      <c r="J18" s="147">
        <f t="shared" si="1"/>
        <v>2.8888888888888888</v>
      </c>
      <c r="K18" s="66" t="s">
        <v>292</v>
      </c>
      <c r="L18" s="20">
        <v>0.9</v>
      </c>
      <c r="M18" s="21" t="s">
        <v>159</v>
      </c>
      <c r="N18" s="36">
        <f>L18*$A$5</f>
        <v>2.9250000000000003</v>
      </c>
      <c r="O18" s="33"/>
      <c r="P18" s="35">
        <v>10</v>
      </c>
      <c r="Q18" s="35" t="str">
        <f t="shared" si="3"/>
        <v/>
      </c>
      <c r="S18" s="74"/>
      <c r="T18" s="75"/>
    </row>
    <row r="19" spans="1:28" ht="15.75" thickBot="1" x14ac:dyDescent="0.3">
      <c r="A19" t="s">
        <v>484</v>
      </c>
      <c r="B19" s="38" t="s">
        <v>504</v>
      </c>
      <c r="C19" s="20">
        <v>0.93</v>
      </c>
      <c r="D19" s="21" t="s">
        <v>159</v>
      </c>
      <c r="E19" s="36">
        <f>C19*$A$5*2</f>
        <v>6.0449999999999999</v>
      </c>
      <c r="F19" s="33"/>
      <c r="G19" s="35">
        <v>8.3000000000000007</v>
      </c>
      <c r="H19" s="35" t="str">
        <f t="shared" si="4"/>
        <v/>
      </c>
      <c r="I19" s="34"/>
      <c r="J19" s="147" t="str">
        <f t="shared" si="1"/>
        <v>make this a TQ. See above</v>
      </c>
      <c r="K19" s="66" t="s">
        <v>332</v>
      </c>
      <c r="L19" s="20"/>
      <c r="M19" s="21"/>
      <c r="N19" s="36"/>
      <c r="O19" s="33">
        <v>1</v>
      </c>
      <c r="P19" s="35">
        <v>4.5</v>
      </c>
      <c r="Q19" s="35">
        <f t="shared" si="3"/>
        <v>4.5</v>
      </c>
      <c r="S19" s="107" t="s">
        <v>402</v>
      </c>
    </row>
    <row r="20" spans="1:28" x14ac:dyDescent="0.25">
      <c r="A20" s="20" t="s">
        <v>489</v>
      </c>
      <c r="B20" s="38" t="s">
        <v>79</v>
      </c>
      <c r="C20" s="20"/>
      <c r="D20" s="21"/>
      <c r="E20" s="36"/>
      <c r="F20" s="33">
        <v>1</v>
      </c>
      <c r="G20" s="35">
        <v>3.96</v>
      </c>
      <c r="H20" s="35">
        <f t="shared" si="4"/>
        <v>3.96</v>
      </c>
      <c r="I20" s="34"/>
      <c r="J20" s="147" t="str">
        <f t="shared" si="1"/>
        <v>future if 5oz UQ is not warm</v>
      </c>
      <c r="K20" s="66" t="s">
        <v>324</v>
      </c>
      <c r="L20" s="20">
        <v>6.6</v>
      </c>
      <c r="M20" s="21" t="s">
        <v>321</v>
      </c>
      <c r="N20" s="36"/>
      <c r="O20" s="33"/>
      <c r="P20" s="35">
        <v>6.25</v>
      </c>
      <c r="Q20" s="35" t="str">
        <f t="shared" si="3"/>
        <v/>
      </c>
      <c r="R20" s="5"/>
      <c r="S20" s="76" t="s">
        <v>18</v>
      </c>
      <c r="T20" s="77" t="s">
        <v>65</v>
      </c>
      <c r="U20" s="78" t="s">
        <v>386</v>
      </c>
      <c r="V20" s="79"/>
      <c r="W20" s="80"/>
    </row>
    <row r="21" spans="1:28" x14ac:dyDescent="0.25">
      <c r="A21" s="20" t="s">
        <v>505</v>
      </c>
      <c r="B21" s="38" t="s">
        <v>324</v>
      </c>
      <c r="C21" s="20">
        <v>49.9</v>
      </c>
      <c r="D21" s="21" t="s">
        <v>161</v>
      </c>
      <c r="G21" s="35">
        <v>4.01</v>
      </c>
      <c r="H21" s="35" t="str">
        <f t="shared" si="4"/>
        <v/>
      </c>
      <c r="I21" s="34"/>
      <c r="J21" s="147" t="str">
        <f t="shared" si="1"/>
        <v>Xenon waterproof for bottom</v>
      </c>
      <c r="K21" s="66" t="s">
        <v>323</v>
      </c>
      <c r="L21" s="20">
        <v>5</v>
      </c>
      <c r="M21" s="21" t="s">
        <v>321</v>
      </c>
      <c r="N21" s="36"/>
      <c r="O21" s="33"/>
      <c r="P21" s="35">
        <v>5.75</v>
      </c>
      <c r="Q21" s="35" t="str">
        <f t="shared" si="3"/>
        <v/>
      </c>
      <c r="R21" s="5"/>
      <c r="S21" s="81" t="str">
        <f>A3</f>
        <v>Top Quilt</v>
      </c>
      <c r="T21" s="82">
        <f>H15</f>
        <v>47.5</v>
      </c>
      <c r="U21" s="83">
        <v>4</v>
      </c>
      <c r="V21" s="84" t="s">
        <v>280</v>
      </c>
      <c r="W21" s="85"/>
    </row>
    <row r="22" spans="1:28" x14ac:dyDescent="0.25">
      <c r="A22" s="20"/>
      <c r="B22" s="38" t="s">
        <v>319</v>
      </c>
      <c r="C22" s="20">
        <v>43.94</v>
      </c>
      <c r="D22" s="21" t="s">
        <v>161</v>
      </c>
      <c r="E22" s="36"/>
      <c r="F22" s="33"/>
      <c r="G22" s="35">
        <v>3.16</v>
      </c>
      <c r="H22" s="35" t="str">
        <f t="shared" si="4"/>
        <v/>
      </c>
      <c r="I22" s="34"/>
      <c r="J22" s="147" t="str">
        <f t="shared" si="1"/>
        <v/>
      </c>
      <c r="K22" s="66" t="s">
        <v>322</v>
      </c>
      <c r="L22" s="20">
        <v>3.6</v>
      </c>
      <c r="M22" s="21" t="s">
        <v>321</v>
      </c>
      <c r="N22" s="36"/>
      <c r="O22" s="33"/>
      <c r="P22" s="35">
        <v>5.25</v>
      </c>
      <c r="Q22" s="35" t="str">
        <f t="shared" si="3"/>
        <v/>
      </c>
      <c r="R22" s="5"/>
      <c r="S22" s="81" t="str">
        <f>A16</f>
        <v>Under Quilt</v>
      </c>
      <c r="T22" s="82">
        <f>H27</f>
        <v>96.44</v>
      </c>
      <c r="U22" s="83">
        <v>5</v>
      </c>
      <c r="V22" s="84" t="s">
        <v>280</v>
      </c>
      <c r="W22" s="85"/>
    </row>
    <row r="23" spans="1:28" x14ac:dyDescent="0.25">
      <c r="A23" s="20"/>
      <c r="B23" s="38" t="s">
        <v>320</v>
      </c>
      <c r="C23" s="20">
        <v>27.49</v>
      </c>
      <c r="D23" s="21" t="s">
        <v>161</v>
      </c>
      <c r="E23" s="36"/>
      <c r="F23" s="33"/>
      <c r="G23" s="35">
        <v>2.25</v>
      </c>
      <c r="H23" s="35" t="str">
        <f t="shared" si="4"/>
        <v/>
      </c>
      <c r="I23" s="34"/>
      <c r="J23" s="147" t="str">
        <f t="shared" si="1"/>
        <v/>
      </c>
      <c r="K23" s="138" t="s">
        <v>289</v>
      </c>
      <c r="L23" s="20"/>
      <c r="M23" s="21"/>
      <c r="N23" s="36"/>
      <c r="O23" s="33"/>
      <c r="P23" s="35"/>
      <c r="Q23" s="35" t="str">
        <f t="shared" si="3"/>
        <v/>
      </c>
      <c r="R23" s="5"/>
      <c r="S23" s="86" t="str">
        <f>A27</f>
        <v>Griz Ariel Hammock</v>
      </c>
      <c r="T23" s="87">
        <f>H37</f>
        <v>42.089999999999996</v>
      </c>
      <c r="U23" s="88">
        <v>3</v>
      </c>
      <c r="V23" s="89" t="s">
        <v>280</v>
      </c>
      <c r="W23" s="90"/>
    </row>
    <row r="24" spans="1:28" x14ac:dyDescent="0.25">
      <c r="A24" s="20"/>
      <c r="B24" s="46" t="s">
        <v>376</v>
      </c>
      <c r="C24" s="20"/>
      <c r="D24" s="21"/>
      <c r="E24" s="36"/>
      <c r="F24" s="33"/>
      <c r="G24" s="35"/>
      <c r="H24" s="35" t="str">
        <f t="shared" si="4"/>
        <v/>
      </c>
      <c r="I24" s="34"/>
      <c r="J24" s="147" t="str">
        <f t="shared" si="1"/>
        <v/>
      </c>
      <c r="K24" s="139" t="s">
        <v>314</v>
      </c>
      <c r="L24" s="20"/>
      <c r="M24" s="21"/>
      <c r="N24" s="36"/>
      <c r="O24" s="33"/>
      <c r="P24" s="35"/>
      <c r="Q24" s="35" t="str">
        <f t="shared" si="3"/>
        <v/>
      </c>
      <c r="R24" s="166" t="s">
        <v>472</v>
      </c>
      <c r="S24" s="91" t="str">
        <f>A37</f>
        <v>Gathered End Hammock</v>
      </c>
      <c r="T24" s="92">
        <f>H43</f>
        <v>38.56</v>
      </c>
      <c r="U24" s="93">
        <v>8</v>
      </c>
      <c r="V24" s="94" t="s">
        <v>280</v>
      </c>
      <c r="W24" s="95"/>
    </row>
    <row r="25" spans="1:28" ht="15.75" thickBot="1" x14ac:dyDescent="0.3">
      <c r="A25" s="20"/>
      <c r="B25" s="50" t="s">
        <v>378</v>
      </c>
      <c r="C25" s="20"/>
      <c r="D25" s="21"/>
      <c r="E25" s="36"/>
      <c r="F25" s="33"/>
      <c r="G25" s="35"/>
      <c r="H25" s="35" t="str">
        <f t="shared" si="4"/>
        <v/>
      </c>
      <c r="I25" s="34"/>
      <c r="J25" s="147" t="str">
        <f t="shared" si="1"/>
        <v/>
      </c>
      <c r="K25" s="66" t="s">
        <v>371</v>
      </c>
      <c r="L25" s="20"/>
      <c r="M25" s="21"/>
      <c r="N25" s="36"/>
      <c r="O25" s="33">
        <v>1</v>
      </c>
      <c r="P25" s="35">
        <v>5</v>
      </c>
      <c r="Q25" s="35">
        <f>IF((P25*O25)=0,"",P25*O25)</f>
        <v>5</v>
      </c>
      <c r="R25" s="166" t="s">
        <v>472</v>
      </c>
      <c r="S25" s="91" t="str">
        <f>A43</f>
        <v>Bug Net</v>
      </c>
      <c r="T25" s="92">
        <f>H49</f>
        <v>31.22</v>
      </c>
      <c r="U25" s="93">
        <v>9</v>
      </c>
      <c r="V25" s="94" t="s">
        <v>280</v>
      </c>
      <c r="W25" s="95"/>
    </row>
    <row r="26" spans="1:28" ht="15.75" thickBot="1" x14ac:dyDescent="0.3">
      <c r="A26" s="20"/>
      <c r="B26" s="38" t="s">
        <v>375</v>
      </c>
      <c r="C26" s="20">
        <v>1.1299999999999999</v>
      </c>
      <c r="D26" s="21" t="s">
        <v>161</v>
      </c>
      <c r="E26" s="36"/>
      <c r="F26" s="33">
        <v>4</v>
      </c>
      <c r="G26" s="35">
        <v>0.36</v>
      </c>
      <c r="H26" s="35">
        <f t="shared" si="4"/>
        <v>1.44</v>
      </c>
      <c r="I26" s="34"/>
      <c r="J26" s="147" t="str">
        <f t="shared" si="1"/>
        <v/>
      </c>
      <c r="K26" s="66"/>
      <c r="L26" s="20"/>
      <c r="M26" s="21"/>
      <c r="N26" s="36"/>
      <c r="O26" s="33"/>
      <c r="P26" s="64" t="s">
        <v>65</v>
      </c>
      <c r="Q26" s="65">
        <f>SUM(Q16:Q25)</f>
        <v>108.875</v>
      </c>
      <c r="R26" s="166" t="s">
        <v>472</v>
      </c>
      <c r="S26" s="96" t="str">
        <f>A50</f>
        <v>Back Pack</v>
      </c>
      <c r="T26" s="97">
        <f>Q79+H79</f>
        <v>61.769999999999996</v>
      </c>
      <c r="U26" s="98">
        <v>6</v>
      </c>
      <c r="V26" s="99" t="s">
        <v>425</v>
      </c>
      <c r="W26" s="100"/>
      <c r="X26" s="30"/>
    </row>
    <row r="27" spans="1:28" ht="15.75" thickBot="1" x14ac:dyDescent="0.3">
      <c r="A27" s="5" t="s">
        <v>272</v>
      </c>
      <c r="B27" s="38"/>
      <c r="C27" s="20"/>
      <c r="D27" s="21"/>
      <c r="E27" s="36"/>
      <c r="F27" s="33"/>
      <c r="G27" s="64" t="s">
        <v>65</v>
      </c>
      <c r="H27" s="65">
        <f>SUM(H16:H26)</f>
        <v>96.44</v>
      </c>
      <c r="I27" s="34"/>
      <c r="J27" s="146" t="str">
        <f t="shared" si="1"/>
        <v>Griz Ariel Hammock</v>
      </c>
      <c r="K27" s="66" t="s">
        <v>290</v>
      </c>
      <c r="L27" s="20">
        <v>1.6</v>
      </c>
      <c r="M27" s="21" t="s">
        <v>159</v>
      </c>
      <c r="N27" s="36"/>
      <c r="O27" s="33">
        <v>3</v>
      </c>
      <c r="P27" s="35">
        <v>7.5</v>
      </c>
      <c r="Q27" s="35">
        <f t="shared" si="3"/>
        <v>22.5</v>
      </c>
      <c r="R27" s="166" t="s">
        <v>472</v>
      </c>
      <c r="S27" s="101" t="str">
        <f>A87</f>
        <v>Sleeping Bag Liner</v>
      </c>
      <c r="T27" s="102">
        <f>H92</f>
        <v>26.86</v>
      </c>
      <c r="U27" s="103">
        <v>10</v>
      </c>
      <c r="V27" s="104" t="s">
        <v>280</v>
      </c>
      <c r="W27" s="105"/>
    </row>
    <row r="28" spans="1:28" x14ac:dyDescent="0.25">
      <c r="A28" s="20" t="s">
        <v>313</v>
      </c>
      <c r="B28" s="38" t="s">
        <v>279</v>
      </c>
      <c r="C28" s="20">
        <v>1.6</v>
      </c>
      <c r="D28" s="21" t="s">
        <v>159</v>
      </c>
      <c r="E28" s="36">
        <f>$A$29*C28</f>
        <v>5.7925925925925927</v>
      </c>
      <c r="F28" s="33"/>
      <c r="G28" s="35">
        <v>6.87</v>
      </c>
      <c r="H28" s="35" t="str">
        <f t="shared" si="0"/>
        <v/>
      </c>
      <c r="I28" s="34"/>
      <c r="J28" s="147" t="str">
        <f t="shared" si="1"/>
        <v>102x46</v>
      </c>
      <c r="K28" s="66"/>
      <c r="L28" s="20"/>
      <c r="M28" s="21"/>
      <c r="N28" s="36"/>
      <c r="O28" s="33"/>
      <c r="P28" s="35"/>
      <c r="Q28" s="35" t="str">
        <f t="shared" si="3"/>
        <v/>
      </c>
      <c r="R28" s="166" t="s">
        <v>472</v>
      </c>
      <c r="S28" s="120" t="str">
        <f>A92</f>
        <v>Food Bag (12.5 x 22)</v>
      </c>
      <c r="T28" s="121">
        <f>H97</f>
        <v>7.45</v>
      </c>
      <c r="U28" s="122">
        <v>11</v>
      </c>
      <c r="V28" s="117" t="s">
        <v>280</v>
      </c>
      <c r="W28" s="123"/>
    </row>
    <row r="29" spans="1:28" x14ac:dyDescent="0.25">
      <c r="A29" s="37">
        <f>(102*46)/(36*36)</f>
        <v>3.6203703703703702</v>
      </c>
      <c r="B29" s="38" t="s">
        <v>334</v>
      </c>
      <c r="C29" s="20">
        <v>1.2</v>
      </c>
      <c r="D29" s="21" t="s">
        <v>159</v>
      </c>
      <c r="E29" s="36">
        <f>$A$29*C29</f>
        <v>4.3444444444444441</v>
      </c>
      <c r="F29" s="33">
        <v>3</v>
      </c>
      <c r="G29" s="35">
        <v>7.45</v>
      </c>
      <c r="H29" s="35">
        <f t="shared" si="0"/>
        <v>22.35</v>
      </c>
      <c r="I29" s="34"/>
      <c r="J29" s="147">
        <f t="shared" si="1"/>
        <v>3.6203703703703702</v>
      </c>
      <c r="K29" s="66" t="s">
        <v>79</v>
      </c>
      <c r="L29" s="20"/>
      <c r="M29" s="21"/>
      <c r="N29" s="36"/>
      <c r="O29" s="33">
        <v>1</v>
      </c>
      <c r="P29" s="35">
        <v>5.25</v>
      </c>
      <c r="Q29" s="35">
        <f t="shared" si="3"/>
        <v>5.25</v>
      </c>
      <c r="R29" s="166" t="s">
        <v>472</v>
      </c>
      <c r="S29" s="120" t="str">
        <f>A99</f>
        <v>Rain Kilt (30L x 48W)</v>
      </c>
      <c r="T29" s="121">
        <f>H104</f>
        <v>7.45</v>
      </c>
      <c r="U29" s="122">
        <v>12</v>
      </c>
      <c r="V29" s="117" t="s">
        <v>280</v>
      </c>
      <c r="W29" s="123"/>
    </row>
    <row r="30" spans="1:28" x14ac:dyDescent="0.25">
      <c r="A30" s="20" t="s">
        <v>382</v>
      </c>
      <c r="B30" s="38" t="s">
        <v>79</v>
      </c>
      <c r="C30" s="20"/>
      <c r="D30" s="21"/>
      <c r="E30" s="36"/>
      <c r="F30" s="33">
        <v>1</v>
      </c>
      <c r="G30" s="35">
        <v>3.96</v>
      </c>
      <c r="H30" s="35">
        <f t="shared" si="0"/>
        <v>3.96</v>
      </c>
      <c r="I30" s="34"/>
      <c r="J30" s="147" t="str">
        <f t="shared" si="1"/>
        <v>with half bug net</v>
      </c>
      <c r="K30" s="66" t="s">
        <v>322</v>
      </c>
      <c r="L30" s="20">
        <v>3.6</v>
      </c>
      <c r="M30" s="21" t="s">
        <v>321</v>
      </c>
      <c r="N30" s="36"/>
      <c r="O30" s="33"/>
      <c r="P30" s="35">
        <v>5.25</v>
      </c>
      <c r="Q30" s="35" t="str">
        <f t="shared" si="3"/>
        <v/>
      </c>
      <c r="R30" s="166" t="s">
        <v>472</v>
      </c>
      <c r="S30" s="101" t="str">
        <f>A104</f>
        <v>Rain Pants</v>
      </c>
      <c r="T30" s="102">
        <f>H112</f>
        <v>14.9</v>
      </c>
      <c r="U30" s="103">
        <v>7</v>
      </c>
      <c r="V30" s="104" t="s">
        <v>280</v>
      </c>
      <c r="W30" s="105"/>
    </row>
    <row r="31" spans="1:28" x14ac:dyDescent="0.25">
      <c r="A31" s="20"/>
      <c r="B31" s="38" t="s">
        <v>320</v>
      </c>
      <c r="C31" s="20">
        <v>27.49</v>
      </c>
      <c r="D31" s="21" t="s">
        <v>161</v>
      </c>
      <c r="E31" s="36"/>
      <c r="F31" s="33"/>
      <c r="G31" s="35">
        <v>2.25</v>
      </c>
      <c r="H31" s="35" t="str">
        <f t="shared" si="0"/>
        <v/>
      </c>
      <c r="I31" s="34"/>
      <c r="J31" s="147" t="str">
        <f t="shared" si="1"/>
        <v/>
      </c>
      <c r="K31" s="66"/>
      <c r="L31" s="20"/>
      <c r="M31" s="21"/>
      <c r="N31" s="36"/>
      <c r="O31" s="33"/>
      <c r="P31" s="35"/>
      <c r="Q31" s="35" t="str">
        <f t="shared" si="3"/>
        <v/>
      </c>
      <c r="R31" s="166" t="s">
        <v>472</v>
      </c>
      <c r="S31" s="86" t="str">
        <f>A79</f>
        <v>Amsteel 7/64</v>
      </c>
      <c r="T31" s="87">
        <f>H83</f>
        <v>26.32</v>
      </c>
      <c r="U31" s="88">
        <v>1</v>
      </c>
      <c r="V31" s="89" t="s">
        <v>280</v>
      </c>
      <c r="W31" s="90"/>
    </row>
    <row r="32" spans="1:28" x14ac:dyDescent="0.25">
      <c r="A32" s="20"/>
      <c r="B32" s="52" t="s">
        <v>345</v>
      </c>
      <c r="C32">
        <v>5.0999999999999996</v>
      </c>
      <c r="D32" t="s">
        <v>161</v>
      </c>
      <c r="F32">
        <v>0</v>
      </c>
      <c r="G32" s="35">
        <v>1.61</v>
      </c>
      <c r="H32" s="35" t="str">
        <f t="shared" si="0"/>
        <v/>
      </c>
      <c r="I32" s="34"/>
      <c r="J32" s="147" t="str">
        <f t="shared" si="1"/>
        <v/>
      </c>
      <c r="K32" s="117" t="s">
        <v>427</v>
      </c>
      <c r="L32" s="20"/>
      <c r="M32" s="21"/>
      <c r="N32" s="36"/>
      <c r="O32" s="33"/>
      <c r="P32" s="35"/>
      <c r="Q32" s="35" t="str">
        <f t="shared" si="3"/>
        <v/>
      </c>
      <c r="R32" s="166" t="s">
        <v>472</v>
      </c>
      <c r="S32" s="86" t="str">
        <f>A83</f>
        <v>Shock Cord</v>
      </c>
      <c r="T32" s="87">
        <f>H87</f>
        <v>9.74</v>
      </c>
      <c r="U32" s="88">
        <v>2</v>
      </c>
      <c r="V32" s="89" t="s">
        <v>280</v>
      </c>
      <c r="W32" s="90"/>
    </row>
    <row r="33" spans="1:24" ht="15.75" thickBot="1" x14ac:dyDescent="0.3">
      <c r="A33" s="20"/>
      <c r="B33" s="52" t="s">
        <v>427</v>
      </c>
      <c r="G33" s="35"/>
      <c r="H33" s="35" t="str">
        <f t="shared" si="0"/>
        <v/>
      </c>
      <c r="I33" s="34"/>
      <c r="J33" s="147" t="str">
        <f t="shared" si="1"/>
        <v/>
      </c>
      <c r="K33" s="140" t="s">
        <v>351</v>
      </c>
      <c r="L33" s="20"/>
      <c r="M33" s="21"/>
      <c r="N33" s="36"/>
      <c r="O33" s="33"/>
      <c r="P33" s="35">
        <v>7.5</v>
      </c>
      <c r="Q33" s="35" t="str">
        <f t="shared" si="3"/>
        <v/>
      </c>
      <c r="R33" s="166" t="s">
        <v>472</v>
      </c>
      <c r="S33" s="149" t="str">
        <f>A116</f>
        <v>Pullover/hoodie</v>
      </c>
      <c r="T33" s="150">
        <f>Q117</f>
        <v>54.5</v>
      </c>
      <c r="U33" s="151">
        <v>13</v>
      </c>
      <c r="V33" s="152" t="s">
        <v>460</v>
      </c>
      <c r="W33" s="106"/>
    </row>
    <row r="34" spans="1:24" ht="15.75" thickBot="1" x14ac:dyDescent="0.3">
      <c r="A34" s="20"/>
      <c r="B34" s="53" t="s">
        <v>352</v>
      </c>
      <c r="F34" s="33"/>
      <c r="G34" s="35">
        <v>6.15</v>
      </c>
      <c r="H34" s="35" t="str">
        <f t="shared" si="0"/>
        <v/>
      </c>
      <c r="I34" s="34"/>
      <c r="J34" s="147" t="str">
        <f t="shared" si="1"/>
        <v/>
      </c>
      <c r="K34" s="66" t="s">
        <v>317</v>
      </c>
      <c r="L34" s="20">
        <v>0.67</v>
      </c>
      <c r="M34" s="21" t="s">
        <v>159</v>
      </c>
      <c r="N34" s="36"/>
      <c r="O34" s="33">
        <v>2</v>
      </c>
      <c r="P34" s="35">
        <v>5.5</v>
      </c>
      <c r="Q34" s="35">
        <f t="shared" si="3"/>
        <v>11</v>
      </c>
    </row>
    <row r="35" spans="1:24" ht="15.75" thickBot="1" x14ac:dyDescent="0.3">
      <c r="A35" s="20"/>
      <c r="B35" s="38" t="s">
        <v>349</v>
      </c>
      <c r="C35" s="20">
        <v>0.67</v>
      </c>
      <c r="D35" s="21" t="s">
        <v>159</v>
      </c>
      <c r="E35" s="36"/>
      <c r="F35" s="33">
        <v>3</v>
      </c>
      <c r="G35" s="35">
        <v>4.46</v>
      </c>
      <c r="H35" s="35">
        <f t="shared" si="0"/>
        <v>13.379999999999999</v>
      </c>
      <c r="I35" s="34"/>
      <c r="J35" s="147" t="str">
        <f t="shared" si="1"/>
        <v/>
      </c>
      <c r="K35" s="56" t="s">
        <v>403</v>
      </c>
      <c r="L35" s="20"/>
      <c r="M35" s="21"/>
      <c r="N35" s="36"/>
      <c r="O35" s="33">
        <v>1</v>
      </c>
      <c r="P35" s="35">
        <v>4.25</v>
      </c>
      <c r="Q35" s="35">
        <f t="shared" si="3"/>
        <v>4.25</v>
      </c>
      <c r="S35" s="115" t="s">
        <v>65</v>
      </c>
      <c r="T35" s="116">
        <f>SUM(T21:T33)</f>
        <v>464.79999999999995</v>
      </c>
    </row>
    <row r="36" spans="1:24" ht="15.75" thickBot="1" x14ac:dyDescent="0.3">
      <c r="A36" s="20"/>
      <c r="B36" s="38" t="s">
        <v>401</v>
      </c>
      <c r="C36" s="20">
        <v>0.3</v>
      </c>
      <c r="D36" s="21" t="s">
        <v>161</v>
      </c>
      <c r="E36" s="36"/>
      <c r="F36" s="33">
        <v>10</v>
      </c>
      <c r="G36" s="35">
        <v>0.24</v>
      </c>
      <c r="H36" s="35">
        <f t="shared" si="0"/>
        <v>2.4</v>
      </c>
      <c r="I36" s="34"/>
      <c r="J36" s="147" t="str">
        <f t="shared" si="1"/>
        <v/>
      </c>
      <c r="K36" s="56"/>
      <c r="L36" s="20"/>
      <c r="M36" s="21"/>
      <c r="N36" s="36"/>
      <c r="O36" s="33"/>
      <c r="P36" s="64" t="s">
        <v>65</v>
      </c>
      <c r="Q36" s="65">
        <f>SUM(Q27:Q35)</f>
        <v>43</v>
      </c>
      <c r="T36" s="30"/>
    </row>
    <row r="37" spans="1:24" ht="15.75" thickBot="1" x14ac:dyDescent="0.3">
      <c r="A37" s="5" t="s">
        <v>274</v>
      </c>
      <c r="B37" s="55"/>
      <c r="F37" s="33"/>
      <c r="G37" s="64" t="s">
        <v>65</v>
      </c>
      <c r="H37" s="65">
        <f>SUM(H28:H36)</f>
        <v>42.089999999999996</v>
      </c>
      <c r="I37" s="34"/>
      <c r="J37" s="146" t="str">
        <f t="shared" si="1"/>
        <v>Gathered End Hammock</v>
      </c>
      <c r="K37" s="66" t="s">
        <v>290</v>
      </c>
      <c r="L37" s="20">
        <v>1.6</v>
      </c>
      <c r="M37" s="21" t="s">
        <v>159</v>
      </c>
      <c r="N37" s="36"/>
      <c r="O37" s="33">
        <v>4</v>
      </c>
      <c r="P37" s="35">
        <v>7.5</v>
      </c>
      <c r="Q37" s="35">
        <f t="shared" si="3"/>
        <v>30</v>
      </c>
      <c r="S37" s="169" t="s">
        <v>491</v>
      </c>
      <c r="T37" s="108">
        <f>T31+T32+T23</f>
        <v>78.150000000000006</v>
      </c>
      <c r="U37" s="109" t="s">
        <v>398</v>
      </c>
      <c r="V37" s="31" t="s">
        <v>476</v>
      </c>
      <c r="W37" t="s">
        <v>482</v>
      </c>
      <c r="X37" s="30"/>
    </row>
    <row r="38" spans="1:24" x14ac:dyDescent="0.25">
      <c r="A38" s="20" t="s">
        <v>404</v>
      </c>
      <c r="B38" s="38" t="s">
        <v>334</v>
      </c>
      <c r="C38" s="20">
        <v>1.2</v>
      </c>
      <c r="D38" s="21" t="s">
        <v>159</v>
      </c>
      <c r="E38" s="36">
        <f>$A$39*C38</f>
        <v>6.1111111111111107</v>
      </c>
      <c r="F38" s="33">
        <v>4</v>
      </c>
      <c r="G38" s="35">
        <v>6.42</v>
      </c>
      <c r="H38" s="35">
        <f t="shared" si="0"/>
        <v>25.68</v>
      </c>
      <c r="I38" s="34"/>
      <c r="J38" s="147" t="str">
        <f t="shared" si="1"/>
        <v>120x55</v>
      </c>
      <c r="K38" s="66"/>
      <c r="L38" s="20"/>
      <c r="M38" s="21"/>
      <c r="N38" s="36"/>
      <c r="O38" s="33"/>
      <c r="P38" s="35"/>
      <c r="Q38" s="35" t="str">
        <f t="shared" si="3"/>
        <v/>
      </c>
      <c r="S38" s="170" t="s">
        <v>490</v>
      </c>
      <c r="T38" s="102">
        <f>T27+T30</f>
        <v>41.76</v>
      </c>
      <c r="U38" s="112" t="s">
        <v>459</v>
      </c>
      <c r="V38" s="31" t="s">
        <v>459</v>
      </c>
      <c r="W38" s="3">
        <v>129.33000000000001</v>
      </c>
      <c r="X38" s="30"/>
    </row>
    <row r="39" spans="1:24" x14ac:dyDescent="0.25">
      <c r="A39" s="37">
        <f>(120*55)/(36*36)</f>
        <v>5.0925925925925926</v>
      </c>
      <c r="B39" s="38" t="s">
        <v>279</v>
      </c>
      <c r="C39" s="20">
        <v>1.6</v>
      </c>
      <c r="D39" s="21" t="s">
        <v>159</v>
      </c>
      <c r="E39" s="36">
        <f>$A$39*C39</f>
        <v>8.1481481481481488</v>
      </c>
      <c r="F39" s="33"/>
      <c r="G39" s="35">
        <v>6.69</v>
      </c>
      <c r="H39" s="35" t="str">
        <f t="shared" si="0"/>
        <v/>
      </c>
      <c r="I39" s="34"/>
      <c r="J39" s="147">
        <f t="shared" si="1"/>
        <v>5.0925925925925926</v>
      </c>
      <c r="K39" s="66" t="s">
        <v>79</v>
      </c>
      <c r="L39" s="20"/>
      <c r="M39" s="21"/>
      <c r="N39" s="36"/>
      <c r="O39" s="33">
        <v>1</v>
      </c>
      <c r="P39" s="35">
        <v>5.25</v>
      </c>
      <c r="Q39" s="35">
        <f t="shared" si="3"/>
        <v>5.25</v>
      </c>
      <c r="S39" s="110" t="s">
        <v>496</v>
      </c>
      <c r="T39" s="97">
        <f>T26+T33</f>
        <v>116.27</v>
      </c>
      <c r="U39" s="113" t="s">
        <v>462</v>
      </c>
      <c r="V39" s="25" t="s">
        <v>497</v>
      </c>
    </row>
    <row r="40" spans="1:24" x14ac:dyDescent="0.25">
      <c r="A40" s="37"/>
      <c r="B40" s="38" t="s">
        <v>79</v>
      </c>
      <c r="C40" s="20"/>
      <c r="D40" s="21"/>
      <c r="E40" s="36"/>
      <c r="F40" s="33">
        <v>1</v>
      </c>
      <c r="G40" s="35">
        <v>3.96</v>
      </c>
      <c r="H40" s="35">
        <f t="shared" si="0"/>
        <v>3.96</v>
      </c>
      <c r="I40" s="34"/>
      <c r="J40" s="147" t="str">
        <f t="shared" si="1"/>
        <v/>
      </c>
      <c r="Q40" s="35" t="str">
        <f t="shared" si="3"/>
        <v/>
      </c>
      <c r="S40" s="110" t="s">
        <v>399</v>
      </c>
      <c r="T40" s="82">
        <f>T21+T22</f>
        <v>143.94</v>
      </c>
      <c r="U40" s="111" t="s">
        <v>458</v>
      </c>
      <c r="V40" s="174" t="s">
        <v>498</v>
      </c>
      <c r="W40" s="177">
        <f>H79</f>
        <v>25.02</v>
      </c>
    </row>
    <row r="41" spans="1:24" x14ac:dyDescent="0.25">
      <c r="A41" s="37"/>
      <c r="B41" s="52" t="s">
        <v>350</v>
      </c>
      <c r="C41" s="20">
        <v>27</v>
      </c>
      <c r="D41" s="21" t="s">
        <v>161</v>
      </c>
      <c r="E41" s="36"/>
      <c r="F41" s="33">
        <v>0</v>
      </c>
      <c r="G41" s="35">
        <v>11.45</v>
      </c>
      <c r="H41" s="35" t="str">
        <f t="shared" si="0"/>
        <v/>
      </c>
      <c r="I41" s="34"/>
      <c r="J41" s="147"/>
      <c r="Q41" s="35"/>
      <c r="S41" s="110" t="s">
        <v>400</v>
      </c>
      <c r="T41" s="92">
        <f>T25+T24</f>
        <v>69.78</v>
      </c>
      <c r="U41" s="124" t="s">
        <v>408</v>
      </c>
      <c r="X41" s="30"/>
    </row>
    <row r="42" spans="1:24" ht="15.75" thickBot="1" x14ac:dyDescent="0.3">
      <c r="A42" s="37"/>
      <c r="B42" s="38" t="s">
        <v>349</v>
      </c>
      <c r="C42" s="20">
        <v>0.67</v>
      </c>
      <c r="D42" s="21" t="s">
        <v>159</v>
      </c>
      <c r="E42" s="36"/>
      <c r="F42" s="33">
        <v>2</v>
      </c>
      <c r="G42" s="35">
        <v>4.46</v>
      </c>
      <c r="H42" s="35">
        <f t="shared" ref="H42" si="6">IF((G42*F42)=0,"",G42*F42)</f>
        <v>8.92</v>
      </c>
      <c r="I42" s="34"/>
      <c r="J42" s="147"/>
      <c r="Q42" s="35"/>
      <c r="S42" s="114" t="s">
        <v>473</v>
      </c>
      <c r="T42" s="118">
        <f>T28+T29</f>
        <v>14.9</v>
      </c>
      <c r="U42" s="119" t="s">
        <v>407</v>
      </c>
    </row>
    <row r="43" spans="1:24" ht="15.75" thickBot="1" x14ac:dyDescent="0.3">
      <c r="A43" s="5" t="s">
        <v>359</v>
      </c>
      <c r="B43" s="54"/>
      <c r="C43" s="20"/>
      <c r="D43" s="21"/>
      <c r="E43" s="36"/>
      <c r="F43" s="33"/>
      <c r="G43" s="64" t="s">
        <v>65</v>
      </c>
      <c r="H43" s="63">
        <f>SUM(H38:H42)</f>
        <v>38.56</v>
      </c>
      <c r="I43" s="34"/>
      <c r="J43" s="147" t="str">
        <f>IF(ISBLANK(A41),"",A41)</f>
        <v/>
      </c>
      <c r="P43" s="64" t="s">
        <v>65</v>
      </c>
      <c r="Q43" s="63">
        <f>SUM(Q37:Q42)</f>
        <v>35.25</v>
      </c>
      <c r="S43" s="127"/>
      <c r="T43" s="30"/>
    </row>
    <row r="44" spans="1:24" x14ac:dyDescent="0.25">
      <c r="A44" s="20" t="s">
        <v>436</v>
      </c>
      <c r="B44" s="38" t="s">
        <v>501</v>
      </c>
      <c r="C44" s="20">
        <v>0.67</v>
      </c>
      <c r="D44" s="21" t="s">
        <v>159</v>
      </c>
      <c r="E44" s="36">
        <f>C44*$A$45</f>
        <v>5.9555555555555566</v>
      </c>
      <c r="F44" s="33">
        <v>5</v>
      </c>
      <c r="G44" s="35">
        <v>4.46</v>
      </c>
      <c r="H44" s="35">
        <f t="shared" si="0"/>
        <v>22.3</v>
      </c>
      <c r="I44" s="34"/>
      <c r="J44" s="146" t="str">
        <f t="shared" ref="J44:J49" si="7">IF(ISBLANK(A43),"",A43)</f>
        <v>Bug Net</v>
      </c>
      <c r="K44" s="66" t="s">
        <v>317</v>
      </c>
      <c r="L44" s="20">
        <v>0.67</v>
      </c>
      <c r="M44" s="21" t="s">
        <v>159</v>
      </c>
      <c r="N44" s="36"/>
      <c r="O44" s="33">
        <v>7</v>
      </c>
      <c r="P44" s="35">
        <v>5.5</v>
      </c>
      <c r="Q44" s="35">
        <f>IF((P44*O44)=0,"",P44*O44)</f>
        <v>38.5</v>
      </c>
      <c r="S44" s="167" t="s">
        <v>507</v>
      </c>
      <c r="T44" s="30"/>
    </row>
    <row r="45" spans="1:24" x14ac:dyDescent="0.25">
      <c r="A45" s="20">
        <f>(120*96)/(36*36)</f>
        <v>8.8888888888888893</v>
      </c>
      <c r="B45" s="38" t="s">
        <v>318</v>
      </c>
      <c r="C45" s="20">
        <v>0.9</v>
      </c>
      <c r="D45" s="21" t="s">
        <v>159</v>
      </c>
      <c r="E45" s="36">
        <f>C45*$A$45</f>
        <v>8</v>
      </c>
      <c r="F45" s="33"/>
      <c r="G45" s="35">
        <v>4.17</v>
      </c>
      <c r="H45" s="35" t="str">
        <f t="shared" si="0"/>
        <v/>
      </c>
      <c r="I45" s="34"/>
      <c r="J45" s="147" t="str">
        <f t="shared" si="7"/>
        <v>120 x 96</v>
      </c>
      <c r="K45" s="66" t="s">
        <v>318</v>
      </c>
      <c r="L45" s="20">
        <v>0.9</v>
      </c>
      <c r="M45" s="21" t="s">
        <v>159</v>
      </c>
      <c r="N45" s="36"/>
      <c r="O45" s="33"/>
      <c r="P45" s="35">
        <v>5</v>
      </c>
      <c r="Q45" s="35" t="str">
        <f>IF((P45*O45)=0,"",P45*O45)</f>
        <v/>
      </c>
      <c r="S45" s="20" t="str">
        <f>A112</f>
        <v>Pack Cover (new pack)</v>
      </c>
      <c r="T45" s="30"/>
    </row>
    <row r="46" spans="1:24" x14ac:dyDescent="0.25">
      <c r="A46" s="20" t="s">
        <v>499</v>
      </c>
      <c r="B46" s="38"/>
      <c r="H46" s="35" t="str">
        <f t="shared" si="0"/>
        <v/>
      </c>
      <c r="I46" s="34"/>
      <c r="J46" s="147">
        <f t="shared" si="7"/>
        <v>8.8888888888888893</v>
      </c>
      <c r="K46" s="66" t="s">
        <v>316</v>
      </c>
      <c r="L46" s="20">
        <v>0.5</v>
      </c>
      <c r="M46" s="21" t="s">
        <v>159</v>
      </c>
      <c r="N46" s="36">
        <f>(55*36)/(36*36)</f>
        <v>1.5277777777777777</v>
      </c>
      <c r="O46" s="33">
        <v>7</v>
      </c>
      <c r="P46" s="35">
        <v>8.75</v>
      </c>
      <c r="Q46" s="35"/>
      <c r="S46" s="20" t="str">
        <f>A113</f>
        <v>Ditty Bags (See ToDo)</v>
      </c>
      <c r="T46" s="30"/>
    </row>
    <row r="47" spans="1:24" x14ac:dyDescent="0.25">
      <c r="A47" s="20" t="s">
        <v>500</v>
      </c>
      <c r="B47" s="46" t="s">
        <v>372</v>
      </c>
      <c r="C47" s="20"/>
      <c r="D47" s="21"/>
      <c r="E47" s="36"/>
      <c r="F47" s="33"/>
      <c r="G47" s="35"/>
      <c r="H47" s="35" t="str">
        <f t="shared" si="0"/>
        <v/>
      </c>
      <c r="I47" s="34"/>
      <c r="J47" s="147" t="str">
        <f t="shared" si="7"/>
        <v>Redesign to make it partial</v>
      </c>
      <c r="K47" s="138" t="s">
        <v>289</v>
      </c>
      <c r="L47" s="20"/>
      <c r="M47" s="21"/>
      <c r="N47" s="36"/>
      <c r="O47" s="33"/>
      <c r="P47" s="35"/>
      <c r="Q47" s="35"/>
      <c r="S47" s="20" t="str">
        <f>A114</f>
        <v>Kilt (Use ION)</v>
      </c>
      <c r="T47" s="30"/>
    </row>
    <row r="48" spans="1:24" ht="15.75" thickBot="1" x14ac:dyDescent="0.3">
      <c r="A48" s="42" t="s">
        <v>502</v>
      </c>
      <c r="B48" s="50" t="s">
        <v>373</v>
      </c>
      <c r="C48" s="20"/>
      <c r="D48" s="21"/>
      <c r="E48" s="36"/>
      <c r="F48" s="172">
        <v>2</v>
      </c>
      <c r="G48" s="35"/>
      <c r="H48" s="44">
        <f>G44*F48</f>
        <v>8.92</v>
      </c>
      <c r="I48" s="34"/>
      <c r="J48" s="147" t="str">
        <f t="shared" si="7"/>
        <v>cover head to waist only</v>
      </c>
      <c r="K48" s="139" t="s">
        <v>314</v>
      </c>
      <c r="L48" s="20"/>
      <c r="M48" s="21"/>
      <c r="N48" s="36"/>
      <c r="O48" s="33"/>
      <c r="P48" s="35"/>
      <c r="Q48" s="35"/>
      <c r="S48" t="s">
        <v>492</v>
      </c>
      <c r="T48" s="30"/>
    </row>
    <row r="49" spans="1:20" ht="15.75" thickBot="1" x14ac:dyDescent="0.3">
      <c r="A49" s="20"/>
      <c r="B49" s="40"/>
      <c r="C49" s="20"/>
      <c r="D49" s="21"/>
      <c r="E49" s="171">
        <f>((72*55)/(36*36))*C44</f>
        <v>2.0472222222222221</v>
      </c>
      <c r="F49" s="33"/>
      <c r="G49" s="64" t="s">
        <v>65</v>
      </c>
      <c r="H49" s="65">
        <f>SUM(H44:H48)</f>
        <v>31.22</v>
      </c>
      <c r="I49" s="34"/>
      <c r="J49" s="147" t="str">
        <f t="shared" si="7"/>
        <v>The Ultimate Hang half bug net 72" x 55" (.67 noseeum)</v>
      </c>
      <c r="K49" s="66"/>
      <c r="L49" s="20"/>
      <c r="M49" s="21"/>
      <c r="N49" s="36"/>
      <c r="O49" s="33"/>
      <c r="P49" s="64" t="s">
        <v>65</v>
      </c>
      <c r="Q49" s="65">
        <f>SUM(Q44:Q48)</f>
        <v>38.5</v>
      </c>
      <c r="T49" s="30"/>
    </row>
    <row r="50" spans="1:20" x14ac:dyDescent="0.25">
      <c r="A50" s="5" t="s">
        <v>278</v>
      </c>
      <c r="B50" s="54"/>
      <c r="C50" s="20"/>
      <c r="D50" s="21"/>
      <c r="E50" s="36"/>
      <c r="F50" s="33"/>
      <c r="G50" s="64"/>
      <c r="H50" s="144"/>
      <c r="I50" s="34"/>
      <c r="J50" s="147"/>
      <c r="K50" s="66"/>
      <c r="L50" s="20"/>
      <c r="M50" s="21"/>
      <c r="N50" s="36"/>
      <c r="O50" s="33"/>
      <c r="P50" s="64"/>
      <c r="Q50" s="144"/>
      <c r="T50" s="30"/>
    </row>
    <row r="51" spans="1:20" x14ac:dyDescent="0.25">
      <c r="A51" s="60" t="s">
        <v>410</v>
      </c>
      <c r="B51" s="38" t="s">
        <v>421</v>
      </c>
      <c r="C51" s="20">
        <f>(4.85+5.85)/2</f>
        <v>5.35</v>
      </c>
      <c r="D51" s="21" t="s">
        <v>159</v>
      </c>
      <c r="E51" s="36"/>
      <c r="F51" s="33"/>
      <c r="G51" s="35">
        <v>12.84</v>
      </c>
      <c r="H51" s="35" t="str">
        <f t="shared" si="0"/>
        <v/>
      </c>
      <c r="I51" s="34"/>
      <c r="J51" s="146" t="str">
        <f t="shared" ref="J51:J63" si="8">IF(ISBLANK(A50),"",A50)</f>
        <v>Back Pack</v>
      </c>
      <c r="K51" s="141" t="s">
        <v>495</v>
      </c>
      <c r="L51" s="20">
        <v>4.4000000000000004</v>
      </c>
      <c r="M51" s="21" t="s">
        <v>159</v>
      </c>
      <c r="N51" s="36"/>
      <c r="O51" s="33">
        <v>0</v>
      </c>
      <c r="P51" s="35">
        <v>14.5</v>
      </c>
      <c r="Q51" s="35" t="str">
        <f t="shared" si="3"/>
        <v/>
      </c>
      <c r="T51" s="30"/>
    </row>
    <row r="52" spans="1:20" x14ac:dyDescent="0.25">
      <c r="B52" s="38" t="s">
        <v>422</v>
      </c>
      <c r="C52" s="20">
        <v>3.2</v>
      </c>
      <c r="D52" s="21" t="s">
        <v>159</v>
      </c>
      <c r="E52" s="36"/>
      <c r="F52" s="33"/>
      <c r="G52" s="35">
        <v>5.08</v>
      </c>
      <c r="H52" s="35" t="str">
        <f t="shared" si="0"/>
        <v/>
      </c>
      <c r="I52" s="34"/>
      <c r="J52" s="147" t="str">
        <f t="shared" si="8"/>
        <v>* Work on quantities</v>
      </c>
      <c r="K52" s="66" t="s">
        <v>493</v>
      </c>
      <c r="L52" s="20">
        <v>3.2</v>
      </c>
      <c r="M52" s="21" t="s">
        <v>159</v>
      </c>
      <c r="N52" s="36"/>
      <c r="O52" s="33"/>
      <c r="P52" s="35">
        <v>10</v>
      </c>
      <c r="Q52" s="35" t="str">
        <f t="shared" si="3"/>
        <v/>
      </c>
      <c r="T52" s="30"/>
    </row>
    <row r="53" spans="1:20" x14ac:dyDescent="0.25">
      <c r="B53" s="38" t="s">
        <v>423</v>
      </c>
      <c r="C53" s="20">
        <v>6.73</v>
      </c>
      <c r="D53" s="21" t="s">
        <v>159</v>
      </c>
      <c r="E53" s="36"/>
      <c r="F53" s="33"/>
      <c r="G53" s="35">
        <v>3.75</v>
      </c>
      <c r="H53" s="35" t="str">
        <f t="shared" si="0"/>
        <v/>
      </c>
      <c r="I53" s="34"/>
      <c r="J53" s="147" t="str">
        <f t="shared" si="8"/>
        <v/>
      </c>
      <c r="K53" s="66" t="s">
        <v>494</v>
      </c>
      <c r="L53" s="20">
        <v>3.9</v>
      </c>
      <c r="M53" s="21" t="s">
        <v>159</v>
      </c>
      <c r="N53" s="36"/>
      <c r="O53" s="173">
        <v>2</v>
      </c>
      <c r="P53" s="35">
        <v>12.75</v>
      </c>
      <c r="Q53" s="35">
        <f t="shared" si="3"/>
        <v>25.5</v>
      </c>
      <c r="T53" s="30"/>
    </row>
    <row r="54" spans="1:20" x14ac:dyDescent="0.25">
      <c r="B54" s="38" t="s">
        <v>424</v>
      </c>
      <c r="C54" s="20">
        <v>7.9</v>
      </c>
      <c r="D54" s="21" t="s">
        <v>159</v>
      </c>
      <c r="E54" s="36"/>
      <c r="F54" s="33"/>
      <c r="G54" s="35">
        <v>12.84</v>
      </c>
      <c r="H54" s="35" t="str">
        <f t="shared" si="0"/>
        <v/>
      </c>
      <c r="I54" s="34"/>
      <c r="J54" s="147" t="str">
        <f t="shared" si="8"/>
        <v/>
      </c>
      <c r="K54" s="141" t="s">
        <v>312</v>
      </c>
      <c r="L54" s="20">
        <v>6.1</v>
      </c>
      <c r="M54" s="21" t="s">
        <v>159</v>
      </c>
      <c r="N54" s="36"/>
      <c r="O54" s="33"/>
      <c r="P54" s="35">
        <v>15</v>
      </c>
      <c r="Q54" s="35" t="str">
        <f t="shared" si="3"/>
        <v/>
      </c>
      <c r="T54" s="30"/>
    </row>
    <row r="55" spans="1:20" x14ac:dyDescent="0.25">
      <c r="B55" s="38" t="s">
        <v>332</v>
      </c>
      <c r="C55" s="20"/>
      <c r="D55" s="21"/>
      <c r="E55" s="36"/>
      <c r="F55" s="33"/>
      <c r="G55" s="35">
        <v>3.96</v>
      </c>
      <c r="H55" s="35" t="str">
        <f t="shared" si="0"/>
        <v/>
      </c>
      <c r="I55" s="34"/>
      <c r="J55" s="147" t="str">
        <f t="shared" si="8"/>
        <v/>
      </c>
      <c r="K55" s="66" t="s">
        <v>332</v>
      </c>
      <c r="L55" s="20"/>
      <c r="M55" s="21"/>
      <c r="N55" s="36"/>
      <c r="O55" s="178"/>
      <c r="P55" s="35">
        <v>4.5</v>
      </c>
      <c r="Q55" s="35" t="str">
        <f t="shared" si="3"/>
        <v/>
      </c>
      <c r="T55" s="30"/>
    </row>
    <row r="56" spans="1:20" x14ac:dyDescent="0.25">
      <c r="B56" s="38" t="s">
        <v>348</v>
      </c>
      <c r="C56" s="20">
        <v>212.5</v>
      </c>
      <c r="D56" s="21" t="s">
        <v>161</v>
      </c>
      <c r="E56" s="36"/>
      <c r="F56" s="33"/>
      <c r="G56" s="35">
        <v>13.91</v>
      </c>
      <c r="H56" s="35" t="str">
        <f t="shared" si="0"/>
        <v/>
      </c>
      <c r="I56" s="34"/>
      <c r="J56" s="147" t="str">
        <f t="shared" si="8"/>
        <v/>
      </c>
      <c r="K56" s="117" t="s">
        <v>355</v>
      </c>
      <c r="L56" s="20">
        <v>10</v>
      </c>
      <c r="M56" s="21" t="s">
        <v>159</v>
      </c>
      <c r="N56" s="36"/>
      <c r="O56" s="33"/>
      <c r="P56" s="35">
        <v>14</v>
      </c>
      <c r="Q56" s="35" t="str">
        <f t="shared" si="3"/>
        <v/>
      </c>
      <c r="T56" s="30"/>
    </row>
    <row r="57" spans="1:20" x14ac:dyDescent="0.25">
      <c r="B57" s="38" t="s">
        <v>333</v>
      </c>
      <c r="C57" s="21" t="s">
        <v>353</v>
      </c>
      <c r="D57" s="21"/>
      <c r="E57" s="36"/>
      <c r="F57" s="33"/>
      <c r="G57" s="35"/>
      <c r="H57" s="35" t="str">
        <f t="shared" si="0"/>
        <v/>
      </c>
      <c r="I57" s="34"/>
      <c r="J57" s="147" t="str">
        <f t="shared" si="8"/>
        <v/>
      </c>
      <c r="K57" s="141" t="s">
        <v>354</v>
      </c>
      <c r="L57" s="20">
        <v>14.36</v>
      </c>
      <c r="M57" s="21" t="s">
        <v>159</v>
      </c>
      <c r="N57" s="36"/>
      <c r="O57" s="33"/>
      <c r="P57" s="35">
        <v>12.88</v>
      </c>
      <c r="Q57" s="35" t="str">
        <f t="shared" si="3"/>
        <v/>
      </c>
      <c r="T57" s="30"/>
    </row>
    <row r="58" spans="1:20" x14ac:dyDescent="0.25">
      <c r="A58">
        <v>7</v>
      </c>
      <c r="B58" s="38" t="s">
        <v>413</v>
      </c>
      <c r="C58" s="20">
        <v>1.7</v>
      </c>
      <c r="D58" s="21"/>
      <c r="E58" s="36"/>
      <c r="F58" s="33"/>
      <c r="G58" s="35"/>
      <c r="H58" s="35" t="str">
        <f t="shared" si="0"/>
        <v/>
      </c>
      <c r="I58" s="34"/>
      <c r="J58" s="147" t="str">
        <f t="shared" si="8"/>
        <v/>
      </c>
      <c r="K58" s="141" t="s">
        <v>311</v>
      </c>
      <c r="L58" s="20">
        <v>4</v>
      </c>
      <c r="M58" s="21" t="s">
        <v>159</v>
      </c>
      <c r="N58" s="3"/>
      <c r="O58" s="33"/>
      <c r="P58" s="35">
        <v>8</v>
      </c>
      <c r="Q58" s="35" t="str">
        <f t="shared" si="3"/>
        <v/>
      </c>
    </row>
    <row r="59" spans="1:20" x14ac:dyDescent="0.25">
      <c r="B59" s="38" t="s">
        <v>506</v>
      </c>
      <c r="C59" s="20">
        <v>0.56000000000000005</v>
      </c>
      <c r="D59" s="21" t="s">
        <v>161</v>
      </c>
      <c r="E59" s="36"/>
      <c r="F59" s="33">
        <v>10</v>
      </c>
      <c r="G59" s="35">
        <v>0.12</v>
      </c>
      <c r="H59" s="35">
        <f t="shared" si="0"/>
        <v>1.2</v>
      </c>
      <c r="I59" s="34"/>
      <c r="J59" s="147">
        <f t="shared" si="8"/>
        <v>7</v>
      </c>
      <c r="K59" s="66" t="s">
        <v>411</v>
      </c>
      <c r="L59" s="20">
        <v>2.6</v>
      </c>
      <c r="M59" s="21" t="s">
        <v>161</v>
      </c>
      <c r="N59" s="36"/>
      <c r="O59" s="33"/>
      <c r="P59" s="35">
        <v>4.5</v>
      </c>
      <c r="Q59" s="35" t="str">
        <f t="shared" si="3"/>
        <v/>
      </c>
    </row>
    <row r="60" spans="1:20" x14ac:dyDescent="0.25">
      <c r="A60">
        <v>10</v>
      </c>
      <c r="B60" s="38" t="s">
        <v>420</v>
      </c>
      <c r="C60" s="20">
        <v>0.42</v>
      </c>
      <c r="D60" s="21" t="s">
        <v>161</v>
      </c>
      <c r="E60" s="36"/>
      <c r="F60" s="175">
        <v>6</v>
      </c>
      <c r="G60" s="35">
        <v>0.17</v>
      </c>
      <c r="H60" s="35">
        <f t="shared" si="0"/>
        <v>1.02</v>
      </c>
      <c r="I60" s="34"/>
      <c r="J60" s="147" t="str">
        <f t="shared" si="8"/>
        <v/>
      </c>
      <c r="K60" s="66" t="s">
        <v>412</v>
      </c>
      <c r="L60" s="20">
        <v>0.5</v>
      </c>
      <c r="M60" s="21" t="s">
        <v>161</v>
      </c>
      <c r="N60" s="36"/>
      <c r="O60" s="33"/>
      <c r="P60" s="35">
        <v>4</v>
      </c>
      <c r="Q60" s="35" t="str">
        <f t="shared" si="3"/>
        <v/>
      </c>
    </row>
    <row r="61" spans="1:20" x14ac:dyDescent="0.25">
      <c r="A61">
        <v>9</v>
      </c>
      <c r="B61" s="38" t="s">
        <v>414</v>
      </c>
      <c r="C61" s="20"/>
      <c r="D61" s="21" t="s">
        <v>161</v>
      </c>
      <c r="E61" s="36"/>
      <c r="F61" s="33"/>
      <c r="G61" s="35"/>
      <c r="H61" s="35" t="str">
        <f t="shared" si="0"/>
        <v/>
      </c>
      <c r="I61" s="34"/>
      <c r="J61" s="147">
        <f t="shared" si="8"/>
        <v>10</v>
      </c>
      <c r="K61" s="66" t="s">
        <v>299</v>
      </c>
      <c r="L61" s="20">
        <v>2.33</v>
      </c>
      <c r="M61" s="21" t="s">
        <v>161</v>
      </c>
      <c r="N61" s="36"/>
      <c r="O61" s="33"/>
      <c r="P61" s="35">
        <v>5</v>
      </c>
      <c r="Q61" s="35" t="str">
        <f t="shared" si="3"/>
        <v/>
      </c>
    </row>
    <row r="62" spans="1:20" x14ac:dyDescent="0.25">
      <c r="B62" s="38" t="s">
        <v>415</v>
      </c>
      <c r="C62" s="20">
        <v>3.96</v>
      </c>
      <c r="D62" s="21" t="s">
        <v>161</v>
      </c>
      <c r="E62" s="36"/>
      <c r="F62" s="175">
        <v>10</v>
      </c>
      <c r="G62" s="35">
        <v>0.36</v>
      </c>
      <c r="H62" s="35">
        <f t="shared" si="0"/>
        <v>3.5999999999999996</v>
      </c>
      <c r="I62" s="34"/>
      <c r="J62" s="147">
        <f t="shared" si="8"/>
        <v>9</v>
      </c>
      <c r="K62" s="66" t="s">
        <v>298</v>
      </c>
      <c r="L62" s="20">
        <v>4</v>
      </c>
      <c r="M62" s="21" t="s">
        <v>161</v>
      </c>
      <c r="N62" s="36"/>
      <c r="O62" s="173">
        <v>1</v>
      </c>
      <c r="P62" s="35">
        <v>4.75</v>
      </c>
      <c r="Q62" s="35">
        <f t="shared" si="3"/>
        <v>4.75</v>
      </c>
    </row>
    <row r="63" spans="1:20" x14ac:dyDescent="0.25">
      <c r="A63" s="23" t="s">
        <v>418</v>
      </c>
      <c r="B63" s="38" t="s">
        <v>375</v>
      </c>
      <c r="C63" s="20">
        <v>1.1299999999999999</v>
      </c>
      <c r="D63" s="21" t="s">
        <v>161</v>
      </c>
      <c r="E63" s="36"/>
      <c r="F63" s="175">
        <v>6</v>
      </c>
      <c r="G63" s="35">
        <v>0.39</v>
      </c>
      <c r="H63" s="35">
        <f t="shared" si="0"/>
        <v>2.34</v>
      </c>
      <c r="I63" s="34"/>
      <c r="J63" s="147" t="str">
        <f t="shared" si="8"/>
        <v/>
      </c>
      <c r="K63" s="66" t="s">
        <v>371</v>
      </c>
      <c r="L63" s="20"/>
      <c r="M63" s="21"/>
      <c r="N63" s="36"/>
      <c r="O63" s="33"/>
      <c r="P63" s="35">
        <v>5</v>
      </c>
      <c r="Q63" s="35" t="str">
        <f t="shared" si="3"/>
        <v/>
      </c>
    </row>
    <row r="64" spans="1:20" x14ac:dyDescent="0.25">
      <c r="B64" s="38" t="s">
        <v>339</v>
      </c>
      <c r="C64" s="125" t="s">
        <v>419</v>
      </c>
      <c r="D64" s="125"/>
      <c r="E64" s="36"/>
      <c r="F64" s="33"/>
      <c r="G64" s="35"/>
      <c r="H64" s="35" t="str">
        <f t="shared" si="0"/>
        <v/>
      </c>
      <c r="I64" s="34"/>
      <c r="J64" s="148" t="s">
        <v>454</v>
      </c>
      <c r="K64" s="141" t="s">
        <v>339</v>
      </c>
      <c r="L64" s="20">
        <v>33</v>
      </c>
      <c r="M64" s="21" t="s">
        <v>161</v>
      </c>
      <c r="N64" s="36"/>
      <c r="O64" s="33"/>
      <c r="P64" s="35">
        <v>0.65</v>
      </c>
      <c r="Q64" s="35" t="str">
        <f t="shared" si="3"/>
        <v/>
      </c>
    </row>
    <row r="65" spans="1:19" x14ac:dyDescent="0.25">
      <c r="A65">
        <v>5</v>
      </c>
      <c r="B65" s="38" t="s">
        <v>346</v>
      </c>
      <c r="C65" s="20">
        <v>11.62</v>
      </c>
      <c r="D65" s="21" t="s">
        <v>161</v>
      </c>
      <c r="E65" s="36"/>
      <c r="F65" s="33"/>
      <c r="G65" s="35">
        <v>1.1200000000000001</v>
      </c>
      <c r="H65" s="35" t="str">
        <f t="shared" si="0"/>
        <v/>
      </c>
      <c r="I65" s="34"/>
      <c r="J65" s="147" t="str">
        <f t="shared" ref="J65:J97" si="9">IF(ISBLANK(A64),"",A64)</f>
        <v/>
      </c>
      <c r="K65" s="66"/>
      <c r="L65" s="20"/>
      <c r="M65" s="21"/>
      <c r="N65" s="36"/>
      <c r="O65" s="33"/>
      <c r="P65" s="35"/>
      <c r="Q65" s="35" t="str">
        <f t="shared" si="3"/>
        <v/>
      </c>
    </row>
    <row r="66" spans="1:19" x14ac:dyDescent="0.25">
      <c r="B66" s="38" t="s">
        <v>416</v>
      </c>
      <c r="C66" s="20">
        <v>15.1</v>
      </c>
      <c r="D66" s="21" t="s">
        <v>161</v>
      </c>
      <c r="E66" s="36"/>
      <c r="F66" s="33"/>
      <c r="G66" s="35">
        <v>0.8</v>
      </c>
      <c r="H66" s="35" t="str">
        <f t="shared" si="0"/>
        <v/>
      </c>
      <c r="I66" s="34"/>
      <c r="J66" s="147">
        <f t="shared" si="9"/>
        <v>5</v>
      </c>
      <c r="K66" s="66" t="s">
        <v>282</v>
      </c>
      <c r="L66" s="20">
        <v>15</v>
      </c>
      <c r="M66" s="21" t="s">
        <v>161</v>
      </c>
      <c r="N66" s="36"/>
      <c r="O66" s="33"/>
      <c r="P66" s="35">
        <v>0.9</v>
      </c>
      <c r="Q66" s="35" t="str">
        <f t="shared" si="3"/>
        <v/>
      </c>
    </row>
    <row r="67" spans="1:19" x14ac:dyDescent="0.25">
      <c r="A67">
        <v>9</v>
      </c>
      <c r="B67" s="38" t="s">
        <v>283</v>
      </c>
      <c r="C67" s="20">
        <v>8.5</v>
      </c>
      <c r="D67" s="21" t="s">
        <v>161</v>
      </c>
      <c r="E67" s="126"/>
      <c r="F67" s="33"/>
      <c r="G67" s="35">
        <v>0.8</v>
      </c>
      <c r="H67" s="35" t="str">
        <f t="shared" si="0"/>
        <v/>
      </c>
      <c r="I67" s="34"/>
      <c r="J67" s="147" t="str">
        <f t="shared" si="9"/>
        <v/>
      </c>
      <c r="K67" s="66" t="s">
        <v>283</v>
      </c>
      <c r="L67" s="20">
        <v>6</v>
      </c>
      <c r="M67" s="21" t="s">
        <v>161</v>
      </c>
      <c r="N67" s="36"/>
      <c r="O67" s="33"/>
      <c r="P67" s="35">
        <v>0.65</v>
      </c>
      <c r="Q67" s="35" t="str">
        <f t="shared" si="3"/>
        <v/>
      </c>
    </row>
    <row r="68" spans="1:19" x14ac:dyDescent="0.25">
      <c r="A68">
        <v>8</v>
      </c>
      <c r="B68" s="50" t="s">
        <v>417</v>
      </c>
      <c r="C68" s="20">
        <v>1.58</v>
      </c>
      <c r="D68" s="21" t="s">
        <v>161</v>
      </c>
      <c r="E68" s="36"/>
      <c r="F68" s="33"/>
      <c r="G68" s="35">
        <v>0.22</v>
      </c>
      <c r="H68" s="35" t="str">
        <f t="shared" si="0"/>
        <v/>
      </c>
      <c r="I68" s="34"/>
      <c r="J68" s="147">
        <f t="shared" si="9"/>
        <v>9</v>
      </c>
      <c r="K68" s="139" t="s">
        <v>301</v>
      </c>
      <c r="L68" s="20">
        <v>5.4</v>
      </c>
      <c r="M68" s="21" t="s">
        <v>161</v>
      </c>
      <c r="N68" s="36"/>
      <c r="O68" s="33"/>
      <c r="P68" s="35">
        <v>4.5</v>
      </c>
      <c r="Q68" s="35" t="str">
        <f t="shared" si="3"/>
        <v/>
      </c>
    </row>
    <row r="69" spans="1:19" x14ac:dyDescent="0.25">
      <c r="B69" s="50" t="s">
        <v>300</v>
      </c>
      <c r="C69" s="20">
        <v>1.58</v>
      </c>
      <c r="D69" s="21" t="s">
        <v>161</v>
      </c>
      <c r="E69" s="36"/>
      <c r="F69" s="33"/>
      <c r="G69" s="35">
        <v>0.22</v>
      </c>
      <c r="H69" s="35" t="str">
        <f t="shared" si="0"/>
        <v/>
      </c>
      <c r="I69" s="34"/>
      <c r="J69" s="147">
        <f t="shared" si="9"/>
        <v>8</v>
      </c>
      <c r="K69" s="139" t="s">
        <v>302</v>
      </c>
      <c r="L69" s="20">
        <v>6.2</v>
      </c>
      <c r="M69" s="21" t="s">
        <v>161</v>
      </c>
      <c r="N69" s="36"/>
      <c r="O69" s="33"/>
      <c r="P69" s="35">
        <v>5</v>
      </c>
      <c r="Q69" s="35" t="str">
        <f t="shared" si="3"/>
        <v/>
      </c>
    </row>
    <row r="70" spans="1:19" x14ac:dyDescent="0.25">
      <c r="B70" s="38" t="s">
        <v>335</v>
      </c>
      <c r="C70" s="20">
        <v>14.79</v>
      </c>
      <c r="D70" s="21" t="s">
        <v>161</v>
      </c>
      <c r="E70" s="36"/>
      <c r="F70" s="33"/>
      <c r="G70" s="35">
        <v>0.21</v>
      </c>
      <c r="H70" s="35" t="str">
        <f t="shared" si="0"/>
        <v/>
      </c>
      <c r="I70" s="34"/>
      <c r="J70" s="147" t="str">
        <f t="shared" si="9"/>
        <v/>
      </c>
      <c r="K70" s="66" t="s">
        <v>328</v>
      </c>
      <c r="L70" s="20">
        <v>11.2</v>
      </c>
      <c r="M70" s="21" t="s">
        <v>325</v>
      </c>
      <c r="N70" s="36"/>
      <c r="O70" s="33"/>
      <c r="P70" s="35">
        <v>7.75</v>
      </c>
      <c r="Q70" s="35" t="str">
        <f t="shared" si="3"/>
        <v/>
      </c>
    </row>
    <row r="71" spans="1:19" x14ac:dyDescent="0.25">
      <c r="B71" s="38" t="s">
        <v>338</v>
      </c>
      <c r="C71" s="20">
        <v>7</v>
      </c>
      <c r="D71" s="21" t="s">
        <v>325</v>
      </c>
      <c r="E71" s="36"/>
      <c r="F71" s="33">
        <v>0</v>
      </c>
      <c r="G71" s="35">
        <v>7.49</v>
      </c>
      <c r="H71" s="35" t="str">
        <f t="shared" si="0"/>
        <v/>
      </c>
      <c r="I71" s="34"/>
      <c r="J71" s="147" t="str">
        <f t="shared" si="9"/>
        <v/>
      </c>
      <c r="K71" s="66" t="s">
        <v>329</v>
      </c>
      <c r="L71" s="20">
        <v>7.6</v>
      </c>
      <c r="M71" s="21" t="s">
        <v>325</v>
      </c>
      <c r="N71" s="3"/>
      <c r="P71" s="35">
        <v>9</v>
      </c>
      <c r="Q71" s="35" t="str">
        <f t="shared" si="3"/>
        <v/>
      </c>
    </row>
    <row r="72" spans="1:19" x14ac:dyDescent="0.25">
      <c r="B72" s="38" t="s">
        <v>336</v>
      </c>
      <c r="C72" s="20">
        <v>4.4000000000000004</v>
      </c>
      <c r="D72" s="21" t="s">
        <v>325</v>
      </c>
      <c r="E72" s="36"/>
      <c r="F72" s="33"/>
      <c r="G72" s="35">
        <v>9.36</v>
      </c>
      <c r="H72" s="35" t="str">
        <f t="shared" si="0"/>
        <v/>
      </c>
      <c r="I72" s="34"/>
      <c r="J72" s="147" t="str">
        <f t="shared" si="9"/>
        <v/>
      </c>
      <c r="K72" s="66" t="s">
        <v>330</v>
      </c>
      <c r="L72" s="20">
        <v>3.9</v>
      </c>
      <c r="M72" s="21" t="s">
        <v>325</v>
      </c>
      <c r="N72" s="3"/>
      <c r="P72" s="35">
        <v>5.5</v>
      </c>
      <c r="Q72" s="35" t="str">
        <f t="shared" si="3"/>
        <v/>
      </c>
    </row>
    <row r="73" spans="1:19" x14ac:dyDescent="0.25">
      <c r="B73" s="38" t="s">
        <v>337</v>
      </c>
      <c r="C73" s="20">
        <v>2.8</v>
      </c>
      <c r="D73" s="21" t="s">
        <v>325</v>
      </c>
      <c r="E73" s="3"/>
      <c r="G73" s="35">
        <v>6.69</v>
      </c>
      <c r="H73" s="35" t="str">
        <f t="shared" si="0"/>
        <v/>
      </c>
      <c r="I73" s="34"/>
      <c r="J73" s="147" t="str">
        <f t="shared" si="9"/>
        <v/>
      </c>
      <c r="K73" s="141" t="s">
        <v>327</v>
      </c>
      <c r="L73" s="20">
        <v>4.5</v>
      </c>
      <c r="M73" s="21" t="s">
        <v>325</v>
      </c>
      <c r="N73" s="36"/>
      <c r="O73" s="173">
        <v>1</v>
      </c>
      <c r="P73" s="35">
        <v>6.5</v>
      </c>
      <c r="Q73" s="35">
        <f t="shared" si="3"/>
        <v>6.5</v>
      </c>
    </row>
    <row r="74" spans="1:19" x14ac:dyDescent="0.25">
      <c r="B74" s="52" t="s">
        <v>340</v>
      </c>
      <c r="C74" s="20">
        <v>10.3</v>
      </c>
      <c r="D74" s="21" t="s">
        <v>325</v>
      </c>
      <c r="E74" s="3"/>
      <c r="F74" s="176">
        <v>2</v>
      </c>
      <c r="G74" s="35">
        <v>3.21</v>
      </c>
      <c r="H74" s="35">
        <f t="shared" si="0"/>
        <v>6.42</v>
      </c>
      <c r="I74" s="34"/>
      <c r="J74" s="147" t="str">
        <f t="shared" si="9"/>
        <v/>
      </c>
      <c r="K74" s="66" t="s">
        <v>340</v>
      </c>
      <c r="L74" s="21" t="s">
        <v>342</v>
      </c>
      <c r="M74" s="21"/>
      <c r="N74" s="36"/>
      <c r="O74" s="33"/>
      <c r="P74" s="35"/>
      <c r="Q74" s="35" t="str">
        <f t="shared" si="3"/>
        <v/>
      </c>
    </row>
    <row r="75" spans="1:19" x14ac:dyDescent="0.25">
      <c r="B75" s="52" t="s">
        <v>341</v>
      </c>
      <c r="C75" s="20">
        <v>8</v>
      </c>
      <c r="D75" s="21" t="s">
        <v>325</v>
      </c>
      <c r="E75" s="3"/>
      <c r="G75" s="35">
        <v>0.86</v>
      </c>
      <c r="H75" s="35" t="str">
        <f t="shared" si="0"/>
        <v/>
      </c>
      <c r="I75" s="34"/>
      <c r="J75" s="147" t="str">
        <f t="shared" si="9"/>
        <v/>
      </c>
      <c r="K75" s="66" t="s">
        <v>341</v>
      </c>
      <c r="L75" s="21" t="s">
        <v>342</v>
      </c>
      <c r="M75" s="21"/>
      <c r="N75" s="36"/>
      <c r="O75" s="33"/>
      <c r="P75" s="35"/>
      <c r="Q75" s="35" t="str">
        <f t="shared" si="3"/>
        <v/>
      </c>
      <c r="S75" s="30"/>
    </row>
    <row r="76" spans="1:19" x14ac:dyDescent="0.25">
      <c r="B76" s="46" t="s">
        <v>289</v>
      </c>
      <c r="C76" s="20"/>
      <c r="D76" s="21"/>
      <c r="E76" s="3"/>
      <c r="G76" s="35"/>
      <c r="H76" s="35" t="str">
        <f t="shared" si="0"/>
        <v/>
      </c>
      <c r="I76" s="51"/>
      <c r="J76" s="147" t="str">
        <f t="shared" si="9"/>
        <v/>
      </c>
      <c r="K76" s="138" t="s">
        <v>289</v>
      </c>
      <c r="L76" s="20"/>
      <c r="M76" s="21"/>
      <c r="N76" s="3"/>
      <c r="P76" s="30"/>
      <c r="Q76" s="35" t="str">
        <f t="shared" si="3"/>
        <v/>
      </c>
    </row>
    <row r="77" spans="1:19" x14ac:dyDescent="0.25">
      <c r="B77" s="38" t="s">
        <v>343</v>
      </c>
      <c r="C77" s="20">
        <v>4.3</v>
      </c>
      <c r="D77" s="21" t="s">
        <v>325</v>
      </c>
      <c r="E77" s="3"/>
      <c r="F77" s="176">
        <v>3</v>
      </c>
      <c r="G77" s="35">
        <v>2.94</v>
      </c>
      <c r="H77" s="35">
        <f t="shared" si="0"/>
        <v>8.82</v>
      </c>
      <c r="I77" s="34"/>
      <c r="J77" s="147" t="str">
        <f t="shared" si="9"/>
        <v/>
      </c>
      <c r="K77" s="66" t="s">
        <v>304</v>
      </c>
      <c r="L77" s="20">
        <v>8</v>
      </c>
      <c r="M77" s="21" t="s">
        <v>325</v>
      </c>
      <c r="N77" s="3"/>
      <c r="P77" s="35">
        <v>3.75</v>
      </c>
      <c r="Q77" s="35" t="str">
        <f t="shared" si="3"/>
        <v/>
      </c>
    </row>
    <row r="78" spans="1:19" ht="15.75" thickBot="1" x14ac:dyDescent="0.3">
      <c r="B78" s="38" t="s">
        <v>344</v>
      </c>
      <c r="C78" s="20">
        <v>1.41</v>
      </c>
      <c r="D78" s="21" t="s">
        <v>161</v>
      </c>
      <c r="E78" s="3"/>
      <c r="F78" s="176">
        <v>3</v>
      </c>
      <c r="G78" s="35">
        <v>0.54</v>
      </c>
      <c r="H78" s="35">
        <f t="shared" si="0"/>
        <v>1.62</v>
      </c>
      <c r="I78" s="34"/>
      <c r="J78" s="147" t="str">
        <f t="shared" si="9"/>
        <v/>
      </c>
      <c r="K78" s="139" t="s">
        <v>305</v>
      </c>
      <c r="L78" s="20" t="s">
        <v>303</v>
      </c>
      <c r="M78" s="21" t="s">
        <v>161</v>
      </c>
      <c r="N78" s="3"/>
      <c r="P78" s="35">
        <v>0.95</v>
      </c>
      <c r="Q78" s="35" t="str">
        <f t="shared" si="3"/>
        <v/>
      </c>
      <c r="S78" s="30"/>
    </row>
    <row r="79" spans="1:19" ht="15.75" thickBot="1" x14ac:dyDescent="0.3">
      <c r="A79" s="39" t="s">
        <v>284</v>
      </c>
      <c r="C79" s="20"/>
      <c r="D79" s="21"/>
      <c r="E79" s="3"/>
      <c r="G79" s="64" t="s">
        <v>65</v>
      </c>
      <c r="H79" s="65">
        <f>SUM(H51:H78)</f>
        <v>25.02</v>
      </c>
      <c r="I79" s="34"/>
      <c r="J79" s="147" t="str">
        <f t="shared" si="9"/>
        <v/>
      </c>
      <c r="K79" s="117"/>
      <c r="L79" s="20"/>
      <c r="M79" s="21"/>
      <c r="N79" s="3"/>
      <c r="P79" s="64" t="s">
        <v>65</v>
      </c>
      <c r="Q79" s="65">
        <f>SUM(Q51:Q78)</f>
        <v>36.75</v>
      </c>
    </row>
    <row r="80" spans="1:19" x14ac:dyDescent="0.25">
      <c r="A80" s="43"/>
      <c r="B80" s="40" t="s">
        <v>308</v>
      </c>
      <c r="C80" s="41">
        <v>1.36</v>
      </c>
      <c r="D80" s="42" t="s">
        <v>161</v>
      </c>
      <c r="E80" s="11"/>
      <c r="F80" s="43">
        <v>2</v>
      </c>
      <c r="G80" s="44">
        <v>6.58</v>
      </c>
      <c r="H80" s="44">
        <f t="shared" si="0"/>
        <v>13.16</v>
      </c>
      <c r="I80" s="34"/>
      <c r="J80" s="147" t="str">
        <f t="shared" si="9"/>
        <v>Amsteel 7/64</v>
      </c>
      <c r="K80" s="142" t="s">
        <v>308</v>
      </c>
      <c r="L80" s="41">
        <v>1.36</v>
      </c>
      <c r="M80" s="42" t="s">
        <v>325</v>
      </c>
      <c r="N80" s="11"/>
      <c r="O80" s="43">
        <v>1</v>
      </c>
      <c r="P80" s="44">
        <v>7.5</v>
      </c>
      <c r="Q80" s="44">
        <f t="shared" si="3"/>
        <v>7.5</v>
      </c>
    </row>
    <row r="81" spans="1:17" x14ac:dyDescent="0.25">
      <c r="A81" s="39"/>
      <c r="B81" s="40" t="s">
        <v>309</v>
      </c>
      <c r="C81" s="41">
        <v>1.36</v>
      </c>
      <c r="D81" s="42" t="s">
        <v>161</v>
      </c>
      <c r="E81" s="11"/>
      <c r="F81" s="43">
        <v>1</v>
      </c>
      <c r="G81" s="44">
        <v>6.58</v>
      </c>
      <c r="H81" s="44">
        <f t="shared" si="0"/>
        <v>6.58</v>
      </c>
      <c r="I81" s="34"/>
      <c r="J81" s="147" t="str">
        <f t="shared" si="9"/>
        <v/>
      </c>
      <c r="K81" s="142" t="s">
        <v>309</v>
      </c>
      <c r="L81" s="41">
        <v>1.36</v>
      </c>
      <c r="M81" s="42" t="s">
        <v>325</v>
      </c>
      <c r="N81" s="11"/>
      <c r="O81" s="43">
        <v>1</v>
      </c>
      <c r="P81" s="44">
        <v>7.5</v>
      </c>
      <c r="Q81" s="44">
        <f t="shared" si="3"/>
        <v>7.5</v>
      </c>
    </row>
    <row r="82" spans="1:17" ht="15.75" thickBot="1" x14ac:dyDescent="0.3">
      <c r="A82" s="39"/>
      <c r="B82" s="40" t="s">
        <v>310</v>
      </c>
      <c r="C82" s="41">
        <v>1.36</v>
      </c>
      <c r="D82" s="42" t="s">
        <v>161</v>
      </c>
      <c r="E82" s="11"/>
      <c r="F82" s="43">
        <v>1</v>
      </c>
      <c r="G82" s="44">
        <v>6.58</v>
      </c>
      <c r="H82" s="44">
        <f t="shared" si="0"/>
        <v>6.58</v>
      </c>
      <c r="I82" s="34"/>
      <c r="J82" s="147" t="str">
        <f t="shared" si="9"/>
        <v/>
      </c>
      <c r="K82" s="142" t="s">
        <v>310</v>
      </c>
      <c r="L82" s="41">
        <v>1.36</v>
      </c>
      <c r="M82" s="42" t="s">
        <v>325</v>
      </c>
      <c r="N82" s="11"/>
      <c r="O82" s="43">
        <v>1</v>
      </c>
      <c r="P82" s="44">
        <v>7.5</v>
      </c>
      <c r="Q82" s="44">
        <f t="shared" si="3"/>
        <v>7.5</v>
      </c>
    </row>
    <row r="83" spans="1:17" ht="15.75" thickBot="1" x14ac:dyDescent="0.3">
      <c r="A83" s="45" t="s">
        <v>285</v>
      </c>
      <c r="B83" s="40"/>
      <c r="C83" s="41"/>
      <c r="D83" s="42"/>
      <c r="E83" s="11"/>
      <c r="F83" s="43"/>
      <c r="G83" s="69" t="s">
        <v>65</v>
      </c>
      <c r="H83" s="67">
        <f>SUM(H80:H82)</f>
        <v>26.32</v>
      </c>
      <c r="I83" s="34"/>
      <c r="J83" s="147" t="str">
        <f t="shared" si="9"/>
        <v/>
      </c>
      <c r="K83" s="142"/>
      <c r="L83" s="41"/>
      <c r="M83" s="42"/>
      <c r="N83" s="11"/>
      <c r="O83" s="43"/>
      <c r="P83" s="69" t="s">
        <v>65</v>
      </c>
      <c r="Q83" s="67">
        <f>SUM(Q80:Q82)</f>
        <v>22.5</v>
      </c>
    </row>
    <row r="84" spans="1:17" x14ac:dyDescent="0.25">
      <c r="A84" s="7"/>
      <c r="B84" s="46" t="s">
        <v>306</v>
      </c>
      <c r="C84" s="47">
        <v>1.9</v>
      </c>
      <c r="D84" s="48" t="s">
        <v>161</v>
      </c>
      <c r="E84" s="8"/>
      <c r="F84" s="7">
        <v>1</v>
      </c>
      <c r="G84" s="49">
        <v>4.87</v>
      </c>
      <c r="H84" s="49">
        <f t="shared" si="0"/>
        <v>4.87</v>
      </c>
      <c r="I84" s="34"/>
      <c r="J84" s="147" t="str">
        <f t="shared" si="9"/>
        <v>Shock Cord</v>
      </c>
      <c r="K84" s="138" t="s">
        <v>306</v>
      </c>
      <c r="L84" s="47">
        <v>1.9</v>
      </c>
      <c r="M84" s="48" t="s">
        <v>326</v>
      </c>
      <c r="N84" s="8"/>
      <c r="O84" s="7">
        <v>1</v>
      </c>
      <c r="P84" s="49">
        <v>5.75</v>
      </c>
      <c r="Q84" s="49">
        <f t="shared" si="3"/>
        <v>5.75</v>
      </c>
    </row>
    <row r="85" spans="1:17" x14ac:dyDescent="0.25">
      <c r="A85" s="10"/>
      <c r="B85" s="46" t="s">
        <v>307</v>
      </c>
      <c r="C85" s="47">
        <v>1.2</v>
      </c>
      <c r="D85" s="48" t="s">
        <v>161</v>
      </c>
      <c r="E85" s="8"/>
      <c r="F85" s="7">
        <v>1</v>
      </c>
      <c r="G85" s="49">
        <v>4.87</v>
      </c>
      <c r="H85" s="49">
        <f t="shared" si="0"/>
        <v>4.87</v>
      </c>
      <c r="I85" s="34"/>
      <c r="J85" s="147" t="str">
        <f t="shared" si="9"/>
        <v/>
      </c>
      <c r="K85" s="138" t="s">
        <v>307</v>
      </c>
      <c r="L85" s="47">
        <v>1.2</v>
      </c>
      <c r="M85" s="48" t="s">
        <v>326</v>
      </c>
      <c r="N85" s="8"/>
      <c r="O85" s="7">
        <v>1</v>
      </c>
      <c r="P85" s="49">
        <v>5.75</v>
      </c>
      <c r="Q85" s="49">
        <f t="shared" si="3"/>
        <v>5.75</v>
      </c>
    </row>
    <row r="86" spans="1:17" ht="15.75" thickBot="1" x14ac:dyDescent="0.3">
      <c r="A86" s="10"/>
      <c r="B86" s="54" t="s">
        <v>368</v>
      </c>
      <c r="C86" s="57">
        <v>4.7</v>
      </c>
      <c r="D86" s="58" t="s">
        <v>321</v>
      </c>
      <c r="E86" s="13"/>
      <c r="F86" s="10"/>
      <c r="G86" s="59">
        <v>1.61</v>
      </c>
      <c r="H86" s="59" t="str">
        <f t="shared" si="0"/>
        <v/>
      </c>
      <c r="I86" s="34"/>
      <c r="J86" s="147" t="str">
        <f t="shared" si="9"/>
        <v/>
      </c>
      <c r="K86" s="117" t="s">
        <v>370</v>
      </c>
      <c r="L86" s="57">
        <v>1.9</v>
      </c>
      <c r="M86" s="58" t="s">
        <v>325</v>
      </c>
      <c r="N86" s="13"/>
      <c r="O86" s="10"/>
      <c r="P86" s="59">
        <v>2.5</v>
      </c>
      <c r="Q86" s="59" t="str">
        <f t="shared" si="3"/>
        <v/>
      </c>
    </row>
    <row r="87" spans="1:17" ht="15.75" thickBot="1" x14ac:dyDescent="0.3">
      <c r="A87" s="5" t="s">
        <v>286</v>
      </c>
      <c r="B87" s="54"/>
      <c r="C87" s="57"/>
      <c r="D87" s="58"/>
      <c r="E87" s="13"/>
      <c r="F87" s="10"/>
      <c r="G87" s="64" t="s">
        <v>65</v>
      </c>
      <c r="H87" s="68">
        <f>SUM(H84:H86)</f>
        <v>9.74</v>
      </c>
      <c r="I87" s="34"/>
      <c r="J87" s="147" t="str">
        <f t="shared" si="9"/>
        <v/>
      </c>
      <c r="K87" s="117"/>
      <c r="L87" s="57"/>
      <c r="M87" s="58"/>
      <c r="N87" s="13"/>
      <c r="O87" s="10"/>
      <c r="P87" s="64" t="s">
        <v>65</v>
      </c>
      <c r="Q87" s="68">
        <f>SUM(Q84:Q86)</f>
        <v>11.5</v>
      </c>
    </row>
    <row r="88" spans="1:17" x14ac:dyDescent="0.25">
      <c r="A88" s="5" t="s">
        <v>360</v>
      </c>
      <c r="B88" s="38" t="s">
        <v>480</v>
      </c>
      <c r="C88" s="20">
        <v>0.49</v>
      </c>
      <c r="D88" s="21" t="s">
        <v>159</v>
      </c>
      <c r="E88" s="36">
        <f>C88*((58*72)/(36*36))</f>
        <v>1.578888888888889</v>
      </c>
      <c r="F88" s="33"/>
      <c r="G88" s="35">
        <v>14.32</v>
      </c>
      <c r="H88" s="59" t="str">
        <f>IF((G88*F88)=0,"",G88*F88)</f>
        <v/>
      </c>
      <c r="I88" s="34"/>
      <c r="J88" s="147" t="str">
        <f t="shared" si="9"/>
        <v>Sleeping Bag Liner</v>
      </c>
      <c r="P88" s="33"/>
      <c r="Q88" s="59" t="str">
        <f t="shared" ref="Q88:Q105" si="10">IF((P88*O88)=0,"",P88*O88)</f>
        <v/>
      </c>
    </row>
    <row r="89" spans="1:17" x14ac:dyDescent="0.25">
      <c r="A89" s="5"/>
      <c r="B89" s="54" t="s">
        <v>479</v>
      </c>
      <c r="C89" s="20">
        <v>0.67</v>
      </c>
      <c r="D89" s="21" t="s">
        <v>159</v>
      </c>
      <c r="E89" s="36">
        <f>C89*((58*72)/(36*36))</f>
        <v>2.1588888888888893</v>
      </c>
      <c r="F89" s="33">
        <v>2</v>
      </c>
      <c r="G89" s="35">
        <v>11.45</v>
      </c>
      <c r="H89" s="59">
        <f>IF((G89*F89)=0,"",G89*F89)</f>
        <v>22.9</v>
      </c>
      <c r="I89" s="34"/>
      <c r="J89" s="147" t="str">
        <f t="shared" si="9"/>
        <v>58 x 72</v>
      </c>
      <c r="K89" s="66" t="s">
        <v>291</v>
      </c>
      <c r="L89" s="20">
        <v>0.66</v>
      </c>
      <c r="M89" s="21" t="s">
        <v>159</v>
      </c>
      <c r="N89" s="36">
        <f>L89*$A$5</f>
        <v>2.145</v>
      </c>
      <c r="O89" s="33">
        <v>2</v>
      </c>
      <c r="P89" s="35">
        <v>12.75</v>
      </c>
      <c r="Q89" s="59">
        <f t="shared" si="10"/>
        <v>25.5</v>
      </c>
    </row>
    <row r="90" spans="1:17" x14ac:dyDescent="0.25">
      <c r="A90" s="5"/>
      <c r="B90" s="38" t="s">
        <v>478</v>
      </c>
      <c r="C90" s="20">
        <v>0.9</v>
      </c>
      <c r="D90" s="21" t="s">
        <v>159</v>
      </c>
      <c r="E90" s="36">
        <f>C90*((58*72)/(36*36))</f>
        <v>2.9000000000000004</v>
      </c>
      <c r="F90" s="33"/>
      <c r="G90" s="35">
        <v>8.59</v>
      </c>
      <c r="H90" s="59" t="str">
        <f>IF((G90*F90)=0,"",G90*F90)</f>
        <v/>
      </c>
      <c r="I90" s="34"/>
      <c r="J90" s="147" t="str">
        <f t="shared" si="9"/>
        <v/>
      </c>
      <c r="P90" s="33"/>
      <c r="Q90" s="59" t="str">
        <f t="shared" si="10"/>
        <v/>
      </c>
    </row>
    <row r="91" spans="1:17" ht="15.75" thickBot="1" x14ac:dyDescent="0.3">
      <c r="A91" s="5"/>
      <c r="B91" s="38" t="s">
        <v>332</v>
      </c>
      <c r="C91" s="20"/>
      <c r="D91" s="21"/>
      <c r="E91" s="36"/>
      <c r="F91" s="33">
        <v>1</v>
      </c>
      <c r="G91" s="35">
        <v>3.96</v>
      </c>
      <c r="H91" s="59">
        <f>IF((G91*F91)=0,"",G91*F91)</f>
        <v>3.96</v>
      </c>
      <c r="I91" s="34"/>
      <c r="J91" s="147" t="str">
        <f t="shared" si="9"/>
        <v/>
      </c>
      <c r="K91" t="s">
        <v>332</v>
      </c>
      <c r="O91">
        <v>1</v>
      </c>
      <c r="P91" s="33">
        <v>4.5</v>
      </c>
      <c r="Q91" s="59">
        <f t="shared" si="10"/>
        <v>4.5</v>
      </c>
    </row>
    <row r="92" spans="1:17" ht="15.75" thickBot="1" x14ac:dyDescent="0.3">
      <c r="A92" s="5" t="s">
        <v>361</v>
      </c>
      <c r="B92" s="38"/>
      <c r="C92" s="20"/>
      <c r="D92" s="21"/>
      <c r="E92" s="36"/>
      <c r="F92" s="33"/>
      <c r="G92" s="64" t="s">
        <v>65</v>
      </c>
      <c r="H92" s="68">
        <f>SUM(H88:H91)</f>
        <v>26.86</v>
      </c>
      <c r="I92" s="34"/>
      <c r="J92" s="147" t="str">
        <f t="shared" si="9"/>
        <v/>
      </c>
      <c r="P92" s="64" t="s">
        <v>65</v>
      </c>
      <c r="Q92" s="68">
        <f>SUM(Q88:Q91)</f>
        <v>30</v>
      </c>
    </row>
    <row r="93" spans="1:17" x14ac:dyDescent="0.25">
      <c r="A93" s="5"/>
      <c r="B93" s="38" t="s">
        <v>405</v>
      </c>
      <c r="C93" s="20">
        <v>1.3</v>
      </c>
      <c r="D93" s="21" t="s">
        <v>159</v>
      </c>
      <c r="E93" s="36">
        <f>C93*((12.5*22)/(36*36))</f>
        <v>0.2758487654320988</v>
      </c>
      <c r="F93" s="33"/>
      <c r="G93" s="35">
        <v>20.6</v>
      </c>
      <c r="H93" s="59" t="str">
        <f>IF((G93*F93)=0,"",G93*F93)</f>
        <v/>
      </c>
      <c r="I93" s="34"/>
      <c r="J93" s="147" t="str">
        <f t="shared" si="9"/>
        <v>Food Bag (12.5 x 22)</v>
      </c>
      <c r="K93" s="66" t="s">
        <v>406</v>
      </c>
      <c r="L93" s="20">
        <v>1.43</v>
      </c>
      <c r="M93" s="21" t="s">
        <v>159</v>
      </c>
      <c r="N93" s="36">
        <f>L93*((12.5*22)/(36*36))</f>
        <v>0.30343364197530864</v>
      </c>
      <c r="O93" s="33">
        <v>1</v>
      </c>
      <c r="P93" s="35">
        <v>27</v>
      </c>
      <c r="Q93" s="59">
        <f t="shared" si="10"/>
        <v>27</v>
      </c>
    </row>
    <row r="94" spans="1:17" x14ac:dyDescent="0.25">
      <c r="A94" s="5"/>
      <c r="B94" s="38" t="s">
        <v>369</v>
      </c>
      <c r="C94" s="20">
        <v>1.1000000000000001</v>
      </c>
      <c r="D94" s="21" t="s">
        <v>159</v>
      </c>
      <c r="E94" s="36">
        <f>C94*((12.5*22)/(36*36))</f>
        <v>0.2334104938271605</v>
      </c>
      <c r="F94" s="33">
        <v>1</v>
      </c>
      <c r="G94" s="35">
        <v>7.45</v>
      </c>
      <c r="H94" s="59">
        <f>IF((G94*F94)=0,"",G94*F94)</f>
        <v>7.45</v>
      </c>
      <c r="I94" s="34"/>
      <c r="J94" s="147" t="str">
        <f t="shared" si="9"/>
        <v/>
      </c>
      <c r="P94" s="35"/>
      <c r="Q94" s="59" t="str">
        <f t="shared" si="10"/>
        <v/>
      </c>
    </row>
    <row r="95" spans="1:17" x14ac:dyDescent="0.25">
      <c r="A95" s="5"/>
      <c r="B95" s="38" t="s">
        <v>503</v>
      </c>
      <c r="C95" s="20"/>
      <c r="D95" s="21"/>
      <c r="E95" s="36"/>
      <c r="F95" s="33"/>
      <c r="G95" s="35"/>
      <c r="H95" s="59"/>
      <c r="I95" s="34"/>
      <c r="J95" s="147" t="str">
        <f t="shared" si="9"/>
        <v/>
      </c>
      <c r="P95" s="35"/>
      <c r="Q95" s="59"/>
    </row>
    <row r="96" spans="1:17" ht="15.75" thickBot="1" x14ac:dyDescent="0.3">
      <c r="A96" s="5"/>
      <c r="B96" s="38" t="s">
        <v>282</v>
      </c>
      <c r="C96" s="20">
        <v>15.1</v>
      </c>
      <c r="D96" s="21" t="s">
        <v>161</v>
      </c>
      <c r="E96" s="36"/>
      <c r="F96" s="33"/>
      <c r="G96" s="35">
        <v>0.8</v>
      </c>
      <c r="H96" s="59"/>
      <c r="I96" s="34"/>
      <c r="J96" s="147" t="str">
        <f t="shared" si="9"/>
        <v/>
      </c>
      <c r="P96" s="35"/>
      <c r="Q96" s="59"/>
    </row>
    <row r="97" spans="1:17" ht="15.75" thickBot="1" x14ac:dyDescent="0.3">
      <c r="A97" s="5"/>
      <c r="B97" s="38"/>
      <c r="C97" s="20"/>
      <c r="D97" s="21"/>
      <c r="E97" s="36"/>
      <c r="F97" s="33"/>
      <c r="G97" s="64" t="s">
        <v>65</v>
      </c>
      <c r="H97" s="68">
        <f>SUM(H93:H94)</f>
        <v>7.45</v>
      </c>
      <c r="I97" s="34"/>
      <c r="J97" s="147" t="str">
        <f t="shared" si="9"/>
        <v/>
      </c>
      <c r="P97" s="64" t="s">
        <v>65</v>
      </c>
      <c r="Q97" s="68">
        <f>SUM(Q93:Q94)</f>
        <v>27</v>
      </c>
    </row>
    <row r="98" spans="1:17" x14ac:dyDescent="0.25">
      <c r="A98" s="5"/>
      <c r="B98" s="38"/>
      <c r="C98" s="20"/>
      <c r="D98" s="21"/>
      <c r="E98" s="36"/>
      <c r="F98" s="33"/>
      <c r="G98" s="64"/>
      <c r="H98" s="145"/>
      <c r="I98" s="34"/>
      <c r="J98" s="147"/>
      <c r="P98" s="64"/>
      <c r="Q98" s="145"/>
    </row>
    <row r="99" spans="1:17" x14ac:dyDescent="0.25">
      <c r="A99" s="5" t="s">
        <v>358</v>
      </c>
      <c r="B99" s="38"/>
      <c r="C99" s="20"/>
      <c r="D99" s="21"/>
      <c r="E99" s="36"/>
      <c r="F99" s="33"/>
      <c r="G99" s="64"/>
      <c r="H99" s="145"/>
      <c r="I99" s="34"/>
      <c r="J99" s="147"/>
      <c r="P99" s="64"/>
      <c r="Q99" s="145"/>
    </row>
    <row r="100" spans="1:17" x14ac:dyDescent="0.25">
      <c r="A100" s="128" t="s">
        <v>426</v>
      </c>
      <c r="B100" s="38" t="s">
        <v>357</v>
      </c>
      <c r="C100" s="20">
        <v>0.51</v>
      </c>
      <c r="D100" s="21" t="s">
        <v>159</v>
      </c>
      <c r="E100" s="36">
        <f>C100*((36*56)/(36*36))</f>
        <v>0.79333333333333333</v>
      </c>
      <c r="F100" s="33"/>
      <c r="G100" s="35">
        <v>20.6</v>
      </c>
      <c r="H100" s="59" t="str">
        <f>IF((G100*F100)=0,"",G100*F100)</f>
        <v/>
      </c>
      <c r="I100" s="34"/>
      <c r="J100" s="146" t="str">
        <f t="shared" ref="J100:J109" si="11">IF(ISBLANK(A99),"",A99)</f>
        <v>Rain Kilt (30L x 48W)</v>
      </c>
      <c r="K100" s="66" t="s">
        <v>357</v>
      </c>
      <c r="L100" s="20">
        <v>0.51</v>
      </c>
      <c r="M100" s="21" t="s">
        <v>159</v>
      </c>
      <c r="N100" s="36">
        <f>L100*((36*56)/(36*36))</f>
        <v>0.79333333333333333</v>
      </c>
      <c r="O100" s="33">
        <v>2</v>
      </c>
      <c r="P100" s="35">
        <v>20.5</v>
      </c>
      <c r="Q100" s="59">
        <f t="shared" si="10"/>
        <v>41</v>
      </c>
    </row>
    <row r="101" spans="1:17" x14ac:dyDescent="0.25">
      <c r="A101" s="5"/>
      <c r="B101" s="38" t="s">
        <v>369</v>
      </c>
      <c r="C101" s="20">
        <v>1.1000000000000001</v>
      </c>
      <c r="D101" s="21" t="s">
        <v>159</v>
      </c>
      <c r="E101" s="36">
        <f>C101*((36*56)/(36*36))</f>
        <v>1.7111111111111112</v>
      </c>
      <c r="F101" s="33">
        <v>1</v>
      </c>
      <c r="G101" s="35">
        <v>7.45</v>
      </c>
      <c r="H101" s="59">
        <f>IF((G101*F101)=0,"",G101*F101)</f>
        <v>7.45</v>
      </c>
      <c r="I101" s="34"/>
      <c r="J101" s="147" t="str">
        <f t="shared" si="11"/>
        <v>-OR- 36L x 56W</v>
      </c>
      <c r="P101" s="35"/>
      <c r="Q101" s="59" t="str">
        <f t="shared" si="10"/>
        <v/>
      </c>
    </row>
    <row r="102" spans="1:17" x14ac:dyDescent="0.25">
      <c r="A102" s="5"/>
      <c r="B102" s="38" t="s">
        <v>389</v>
      </c>
      <c r="C102" s="20"/>
      <c r="D102" s="21"/>
      <c r="E102" s="36"/>
      <c r="F102" s="33"/>
      <c r="G102" s="35"/>
      <c r="H102" s="59"/>
      <c r="I102" s="34"/>
      <c r="J102" s="147" t="str">
        <f t="shared" si="11"/>
        <v/>
      </c>
      <c r="P102" s="35"/>
      <c r="Q102" s="59"/>
    </row>
    <row r="103" spans="1:17" ht="15.75" thickBot="1" x14ac:dyDescent="0.3">
      <c r="A103" s="5"/>
      <c r="B103" s="38" t="s">
        <v>395</v>
      </c>
      <c r="C103" s="20"/>
      <c r="D103" s="21"/>
      <c r="E103" s="36"/>
      <c r="F103" s="33"/>
      <c r="G103" s="35"/>
      <c r="H103" s="59"/>
      <c r="I103" s="34"/>
      <c r="J103" s="147" t="str">
        <f t="shared" si="11"/>
        <v/>
      </c>
      <c r="P103" s="35"/>
      <c r="Q103" s="59"/>
    </row>
    <row r="104" spans="1:17" ht="15.75" thickBot="1" x14ac:dyDescent="0.3">
      <c r="A104" s="5" t="s">
        <v>356</v>
      </c>
      <c r="B104" s="38"/>
      <c r="C104" s="20"/>
      <c r="D104" s="21"/>
      <c r="E104" s="36"/>
      <c r="F104" s="33"/>
      <c r="G104" s="64" t="s">
        <v>65</v>
      </c>
      <c r="H104" s="68">
        <f>SUM(H100:H101)</f>
        <v>7.45</v>
      </c>
      <c r="I104" s="34"/>
      <c r="J104" s="147" t="str">
        <f t="shared" si="11"/>
        <v/>
      </c>
      <c r="P104" s="35"/>
      <c r="Q104" s="59"/>
    </row>
    <row r="105" spans="1:17" x14ac:dyDescent="0.25">
      <c r="A105" s="60" t="s">
        <v>363</v>
      </c>
      <c r="B105" s="38" t="s">
        <v>369</v>
      </c>
      <c r="C105" s="20">
        <v>1.1000000000000001</v>
      </c>
      <c r="D105" s="21" t="s">
        <v>159</v>
      </c>
      <c r="E105" s="36">
        <f>C105*((72*54)/(36*36))</f>
        <v>3.3000000000000003</v>
      </c>
      <c r="F105" s="33">
        <v>2</v>
      </c>
      <c r="G105" s="35">
        <v>7.45</v>
      </c>
      <c r="H105" s="59">
        <f>IF((G105*F105)=0,"",G105*F105)</f>
        <v>14.9</v>
      </c>
      <c r="I105" s="34"/>
      <c r="J105" s="146" t="str">
        <f t="shared" si="11"/>
        <v>Rain Pants</v>
      </c>
      <c r="K105" t="s">
        <v>362</v>
      </c>
      <c r="N105" s="36">
        <f>1.4*((72*54)/(36*36))</f>
        <v>4.1999999999999993</v>
      </c>
      <c r="O105" s="33">
        <v>2</v>
      </c>
      <c r="P105" s="35">
        <v>20</v>
      </c>
      <c r="Q105" s="59">
        <f t="shared" si="10"/>
        <v>40</v>
      </c>
    </row>
    <row r="106" spans="1:17" x14ac:dyDescent="0.25">
      <c r="A106" s="60"/>
      <c r="B106" s="38" t="s">
        <v>357</v>
      </c>
      <c r="C106" s="20">
        <v>0.51</v>
      </c>
      <c r="D106" s="21" t="s">
        <v>159</v>
      </c>
      <c r="E106" s="36">
        <f>C106*((30*48)/(36*36))</f>
        <v>0.56666666666666665</v>
      </c>
      <c r="F106" s="33"/>
      <c r="G106" s="35">
        <v>20.6</v>
      </c>
      <c r="H106" s="59" t="str">
        <f>IF((G106*F106)=0,"",G106*F106)</f>
        <v/>
      </c>
      <c r="I106" s="34"/>
      <c r="J106" s="147" t="str">
        <f t="shared" si="11"/>
        <v>make pattern</v>
      </c>
      <c r="K106" s="66" t="s">
        <v>357</v>
      </c>
      <c r="L106" s="20">
        <v>0.51</v>
      </c>
      <c r="M106" s="21" t="s">
        <v>159</v>
      </c>
      <c r="N106" s="36">
        <f>L106*((12.5*22)/(36*36))</f>
        <v>0.10821759259259259</v>
      </c>
      <c r="O106" s="33"/>
      <c r="P106" s="35">
        <v>20.5</v>
      </c>
      <c r="Q106" s="59" t="str">
        <f>IF((P106*O106)=0,"",P106*O106)</f>
        <v/>
      </c>
    </row>
    <row r="107" spans="1:17" x14ac:dyDescent="0.25">
      <c r="A107" s="60"/>
      <c r="B107" s="38"/>
      <c r="C107" s="20"/>
      <c r="D107" s="21"/>
      <c r="E107" s="36"/>
      <c r="F107" s="33"/>
      <c r="G107" s="35"/>
      <c r="H107" s="59"/>
      <c r="I107" s="34"/>
      <c r="J107" s="147"/>
      <c r="K107" s="66"/>
      <c r="L107" s="20"/>
      <c r="M107" s="21"/>
      <c r="N107" s="36"/>
      <c r="O107" s="33"/>
      <c r="P107" s="35"/>
      <c r="Q107" s="59"/>
    </row>
    <row r="108" spans="1:17" x14ac:dyDescent="0.25">
      <c r="A108" s="60"/>
      <c r="B108" s="46" t="s">
        <v>374</v>
      </c>
      <c r="C108" s="20"/>
      <c r="D108" s="21"/>
      <c r="E108" s="36"/>
      <c r="F108" s="33"/>
      <c r="G108" s="35"/>
      <c r="H108" s="59"/>
      <c r="I108" s="34"/>
      <c r="J108" s="147" t="str">
        <f>IF(ISBLANK(A106),"",A106)</f>
        <v/>
      </c>
      <c r="K108" s="66"/>
      <c r="L108" s="20"/>
      <c r="M108" s="21"/>
      <c r="N108" s="36"/>
      <c r="O108" s="33"/>
      <c r="P108" s="35"/>
      <c r="Q108" s="59"/>
    </row>
    <row r="109" spans="1:17" x14ac:dyDescent="0.25">
      <c r="A109" s="60"/>
      <c r="B109" s="50" t="s">
        <v>314</v>
      </c>
      <c r="C109" s="20"/>
      <c r="D109" s="21"/>
      <c r="E109" s="36"/>
      <c r="F109" s="33"/>
      <c r="G109" s="35"/>
      <c r="H109" s="59"/>
      <c r="I109" s="34"/>
      <c r="J109" s="147" t="str">
        <f t="shared" si="11"/>
        <v/>
      </c>
      <c r="K109" s="66"/>
      <c r="L109" s="20"/>
      <c r="M109" s="21"/>
      <c r="N109" s="36"/>
      <c r="O109" s="33"/>
      <c r="P109" s="35"/>
      <c r="Q109" s="59"/>
    </row>
    <row r="110" spans="1:17" x14ac:dyDescent="0.25">
      <c r="A110" s="60"/>
      <c r="B110" s="50" t="s">
        <v>477</v>
      </c>
      <c r="C110" s="20"/>
      <c r="D110" s="21"/>
      <c r="E110" s="36"/>
      <c r="F110" s="33"/>
      <c r="G110" s="35"/>
      <c r="H110" s="59"/>
      <c r="I110" s="34"/>
      <c r="J110" s="147"/>
      <c r="K110" s="66"/>
      <c r="L110" s="20"/>
      <c r="M110" s="21"/>
      <c r="N110" s="36"/>
      <c r="O110" s="33"/>
      <c r="P110" s="35"/>
      <c r="Q110" s="59"/>
    </row>
    <row r="111" spans="1:17" ht="15.75" thickBot="1" x14ac:dyDescent="0.3">
      <c r="A111" s="60"/>
      <c r="B111" s="38" t="s">
        <v>332</v>
      </c>
      <c r="C111" s="20"/>
      <c r="D111" s="21"/>
      <c r="E111" s="36"/>
      <c r="F111" s="33"/>
      <c r="G111" s="35">
        <v>3.96</v>
      </c>
      <c r="H111" s="59" t="str">
        <f>IF((G111*F111)=0,"",G111*F111)</f>
        <v/>
      </c>
      <c r="I111" s="34"/>
      <c r="J111" s="147" t="str">
        <f t="shared" ref="J111:J118" si="12">IF(ISBLANK(A110),"",A110)</f>
        <v/>
      </c>
      <c r="K111" t="s">
        <v>332</v>
      </c>
      <c r="O111">
        <v>1</v>
      </c>
      <c r="P111" s="137">
        <v>4.5</v>
      </c>
      <c r="Q111" s="59">
        <f>IF((P111*O111)=0,"",P111*O111)</f>
        <v>4.5</v>
      </c>
    </row>
    <row r="112" spans="1:17" ht="15.75" thickBot="1" x14ac:dyDescent="0.3">
      <c r="A112" s="18" t="s">
        <v>364</v>
      </c>
      <c r="B112" s="38"/>
      <c r="C112" s="20"/>
      <c r="D112" s="21"/>
      <c r="E112" s="36"/>
      <c r="F112" s="33"/>
      <c r="G112" s="64" t="s">
        <v>65</v>
      </c>
      <c r="H112" s="68">
        <f>SUM(H105:H111)</f>
        <v>14.9</v>
      </c>
      <c r="I112" s="34"/>
      <c r="J112" s="147" t="str">
        <f t="shared" si="12"/>
        <v/>
      </c>
      <c r="K112" s="66"/>
      <c r="L112" s="20"/>
      <c r="M112" s="21"/>
      <c r="N112" s="36"/>
      <c r="O112" s="33"/>
      <c r="P112" s="64" t="s">
        <v>65</v>
      </c>
      <c r="Q112" s="68">
        <f>SUM(Q105:Q111)</f>
        <v>44.5</v>
      </c>
    </row>
    <row r="113" spans="1:17" x14ac:dyDescent="0.25">
      <c r="A113" s="18" t="s">
        <v>287</v>
      </c>
      <c r="B113" s="38" t="s">
        <v>365</v>
      </c>
      <c r="C113" s="20"/>
      <c r="D113" s="21"/>
      <c r="E113" s="36"/>
      <c r="F113" s="33"/>
      <c r="G113" s="35"/>
      <c r="H113" s="59"/>
      <c r="I113" s="34"/>
      <c r="J113" s="146" t="str">
        <f t="shared" si="12"/>
        <v>Pack Cover (new pack)</v>
      </c>
      <c r="P113" s="33"/>
      <c r="Q113" s="10"/>
    </row>
    <row r="114" spans="1:17" x14ac:dyDescent="0.25">
      <c r="A114" s="18" t="s">
        <v>288</v>
      </c>
      <c r="B114" s="61" t="s">
        <v>367</v>
      </c>
      <c r="H114" s="59" t="str">
        <f>IF((G114*F114)=0,"",G114*F114)</f>
        <v/>
      </c>
      <c r="I114" s="34"/>
      <c r="J114" s="146" t="str">
        <f t="shared" si="12"/>
        <v>Ditty Bags (See ToDo)</v>
      </c>
    </row>
    <row r="115" spans="1:17" x14ac:dyDescent="0.25">
      <c r="B115" s="38" t="s">
        <v>366</v>
      </c>
      <c r="H115" s="59" t="str">
        <f>IF((G115*F115)=0,"",G115*F115)</f>
        <v/>
      </c>
      <c r="I115" s="34"/>
      <c r="J115" s="146" t="str">
        <f t="shared" si="12"/>
        <v>Kilt (Use ION)</v>
      </c>
    </row>
    <row r="116" spans="1:17" ht="15.75" thickBot="1" x14ac:dyDescent="0.3">
      <c r="A116" s="18" t="s">
        <v>461</v>
      </c>
      <c r="B116" s="38"/>
      <c r="H116" s="59" t="str">
        <f>IF((G116*F116)=0,"",G116*F116)</f>
        <v/>
      </c>
      <c r="I116" s="34"/>
      <c r="J116" s="147" t="str">
        <f t="shared" si="12"/>
        <v/>
      </c>
      <c r="Q116" s="20"/>
    </row>
    <row r="117" spans="1:17" ht="15.75" thickBot="1" x14ac:dyDescent="0.3">
      <c r="B117" s="54" t="s">
        <v>447</v>
      </c>
      <c r="C117">
        <f>C118*F122</f>
        <v>6.8078820000000002</v>
      </c>
      <c r="D117" t="s">
        <v>159</v>
      </c>
      <c r="E117" s="36">
        <f>C117*((30*48)/(36*36))</f>
        <v>7.5643133333333337</v>
      </c>
      <c r="F117">
        <v>2</v>
      </c>
      <c r="G117">
        <v>29</v>
      </c>
      <c r="H117" s="59">
        <f>IF((G117*F117)=0,"",G117*F117)</f>
        <v>58</v>
      </c>
      <c r="I117" s="34"/>
      <c r="J117" s="146" t="str">
        <f t="shared" si="12"/>
        <v>Pullover/hoodie</v>
      </c>
      <c r="K117" t="s">
        <v>448</v>
      </c>
      <c r="L117">
        <v>4.8</v>
      </c>
      <c r="M117" t="s">
        <v>159</v>
      </c>
      <c r="N117" s="36">
        <f>1.4*((72*54)/(36*36))</f>
        <v>4.1999999999999993</v>
      </c>
      <c r="O117" s="25">
        <v>2</v>
      </c>
      <c r="P117" s="136">
        <v>27.25</v>
      </c>
      <c r="Q117" s="68">
        <f>IF((P117*O117)=0,"",P117*O117)</f>
        <v>54.5</v>
      </c>
    </row>
    <row r="118" spans="1:17" x14ac:dyDescent="0.25">
      <c r="B118" s="54" t="s">
        <v>450</v>
      </c>
      <c r="C118">
        <v>193</v>
      </c>
      <c r="D118" t="s">
        <v>161</v>
      </c>
      <c r="J118" s="143" t="str">
        <f t="shared" si="12"/>
        <v/>
      </c>
      <c r="K118" t="s">
        <v>449</v>
      </c>
      <c r="L118">
        <v>135.62</v>
      </c>
      <c r="M118" t="s">
        <v>161</v>
      </c>
      <c r="N118" s="36"/>
    </row>
    <row r="119" spans="1:17" x14ac:dyDescent="0.25">
      <c r="A119" s="131" t="s">
        <v>445</v>
      </c>
      <c r="B119" s="117">
        <v>4004</v>
      </c>
      <c r="C119">
        <v>119</v>
      </c>
      <c r="F119">
        <v>2</v>
      </c>
      <c r="G119">
        <v>28</v>
      </c>
      <c r="H119" s="59">
        <f>IF((G119*F119)=0,"",G119*F119)</f>
        <v>56</v>
      </c>
      <c r="K119" t="s">
        <v>451</v>
      </c>
      <c r="P119" s="136">
        <v>20</v>
      </c>
    </row>
    <row r="120" spans="1:17" x14ac:dyDescent="0.25">
      <c r="A120" s="18" t="s">
        <v>446</v>
      </c>
      <c r="K120" t="s">
        <v>463</v>
      </c>
      <c r="L120">
        <v>152.58000000000001</v>
      </c>
      <c r="M120" t="s">
        <v>161</v>
      </c>
    </row>
    <row r="121" spans="1:17" ht="15.75" thickBot="1" x14ac:dyDescent="0.3">
      <c r="L121">
        <f>L120*F122</f>
        <v>5.38210692</v>
      </c>
      <c r="M121" t="s">
        <v>159</v>
      </c>
      <c r="O121">
        <v>2</v>
      </c>
      <c r="P121" s="136">
        <v>31.5</v>
      </c>
      <c r="Q121" s="59">
        <f>IF((P121*O121)=0,"",P121*O121)</f>
        <v>63</v>
      </c>
    </row>
    <row r="122" spans="1:17" x14ac:dyDescent="0.25">
      <c r="D122" s="132">
        <v>1</v>
      </c>
      <c r="E122" s="79" t="s">
        <v>453</v>
      </c>
      <c r="F122" s="79">
        <v>3.5274E-2</v>
      </c>
      <c r="G122" s="80" t="s">
        <v>159</v>
      </c>
      <c r="K122" s="31" t="s">
        <v>471</v>
      </c>
      <c r="O122">
        <v>2</v>
      </c>
      <c r="P122" s="136">
        <v>26.25</v>
      </c>
      <c r="Q122" s="59">
        <f>IF((P122*O122)=0,"",P122*O122)</f>
        <v>52.5</v>
      </c>
    </row>
    <row r="123" spans="1:17" ht="15.75" thickBot="1" x14ac:dyDescent="0.3">
      <c r="D123" s="133">
        <v>28.349499999999999</v>
      </c>
      <c r="E123" s="134" t="s">
        <v>453</v>
      </c>
      <c r="F123" s="134">
        <v>1</v>
      </c>
      <c r="G123" s="135" t="s">
        <v>159</v>
      </c>
    </row>
    <row r="124" spans="1:17" x14ac:dyDescent="0.25">
      <c r="K124" s="165"/>
      <c r="L124" s="66"/>
      <c r="M124" s="66"/>
      <c r="N124" s="158"/>
      <c r="O124" s="66"/>
      <c r="P124" s="66"/>
    </row>
    <row r="125" spans="1:17" x14ac:dyDescent="0.25">
      <c r="K125" s="165"/>
      <c r="L125" s="66"/>
      <c r="M125" s="66"/>
      <c r="N125" s="158"/>
      <c r="O125" s="66"/>
      <c r="P125" s="66"/>
    </row>
    <row r="126" spans="1:17" x14ac:dyDescent="0.25">
      <c r="K126" s="165"/>
      <c r="L126" s="66"/>
      <c r="M126" s="66"/>
      <c r="N126" s="158"/>
      <c r="O126" s="66"/>
      <c r="P126" s="66"/>
    </row>
    <row r="127" spans="1:17" x14ac:dyDescent="0.25">
      <c r="K127" s="165"/>
      <c r="L127" s="66"/>
      <c r="M127" s="66"/>
      <c r="N127" s="158"/>
      <c r="O127" s="66"/>
      <c r="P127" s="66"/>
    </row>
    <row r="128" spans="1:17" x14ac:dyDescent="0.25">
      <c r="K128" s="165"/>
      <c r="L128" s="66"/>
      <c r="M128" s="66"/>
      <c r="N128" s="158"/>
      <c r="O128" s="66"/>
      <c r="P128" s="66"/>
    </row>
  </sheetData>
  <hyperlinks>
    <hyperlink ref="B114" location="ToDo!A19" display="See ToDo" xr:uid="{CE28C4E6-45D1-4C5D-A0AF-3ACF169C0D5B}"/>
    <hyperlink ref="R31" location="Make!A81" display="L" xr:uid="{F2445477-C9B7-447F-944F-160D21ACEB18}"/>
    <hyperlink ref="R32" location="Make!A85" display="L" xr:uid="{D614D32D-E4C7-4ABC-8AEA-2A0D20F4C1EC}"/>
    <hyperlink ref="R27" location="Make!A90" display="L" xr:uid="{786E7206-F76A-4474-B631-F01E095CA8FB}"/>
    <hyperlink ref="R28" location="Make!A95" display="L" xr:uid="{A288F02B-8AE6-4CE7-9B7F-6DD8E549C8E8}"/>
    <hyperlink ref="R29" location="Make!A102" display="L" xr:uid="{C7F86928-456B-47CA-B030-99A0CE694B65}"/>
    <hyperlink ref="R30" location="Make!A108" display="L" xr:uid="{E0FEEF9A-7979-41D4-9772-139EF091D5CD}"/>
    <hyperlink ref="R33" location="Make!A115" display="L" xr:uid="{9AA833A4-D1DB-483F-A7AF-3C44DA0808E7}"/>
    <hyperlink ref="R26" location="Make!A77" display="L" xr:uid="{E64E53CA-419A-4BC2-9BE5-AAA6BFB2DE02}"/>
    <hyperlink ref="R24" location="Make!A41" display="L" xr:uid="{25449295-6A81-450D-82CB-5908B642E8DB}"/>
    <hyperlink ref="R25" location="Make!A48" display="L" xr:uid="{A66F585E-5359-4692-A61E-3AC13DCE42DB}"/>
  </hyperlinks>
  <pageMargins left="0.45" right="0.45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ADF0-8E94-4902-A1F9-3D27383A1516}">
  <dimension ref="A1:V31"/>
  <sheetViews>
    <sheetView workbookViewId="0">
      <selection activeCell="B6" sqref="B6"/>
    </sheetView>
  </sheetViews>
  <sheetFormatPr defaultRowHeight="15" x14ac:dyDescent="0.25"/>
  <cols>
    <col min="1" max="1" width="10.7109375" customWidth="1"/>
    <col min="2" max="2" width="6.5703125" customWidth="1"/>
    <col min="3" max="3" width="7.5703125" customWidth="1"/>
    <col min="5" max="5" width="7.140625" customWidth="1"/>
    <col min="6" max="6" width="7.28515625" customWidth="1"/>
    <col min="7" max="7" width="5.42578125" customWidth="1"/>
    <col min="8" max="8" width="8" customWidth="1"/>
    <col min="12" max="12" width="10.5703125" customWidth="1"/>
    <col min="14" max="14" width="1.7109375" customWidth="1"/>
    <col min="15" max="15" width="24.42578125" bestFit="1" customWidth="1"/>
    <col min="17" max="17" width="9.5703125" bestFit="1" customWidth="1"/>
  </cols>
  <sheetData>
    <row r="1" spans="1:20" x14ac:dyDescent="0.25">
      <c r="A1" s="18" t="s">
        <v>133</v>
      </c>
      <c r="D1" t="s">
        <v>158</v>
      </c>
      <c r="E1">
        <v>3.5274E-2</v>
      </c>
      <c r="F1" t="s">
        <v>159</v>
      </c>
      <c r="G1" t="s">
        <v>160</v>
      </c>
      <c r="H1">
        <v>28.349499999999999</v>
      </c>
      <c r="I1" t="s">
        <v>161</v>
      </c>
    </row>
    <row r="2" spans="1:20" x14ac:dyDescent="0.25">
      <c r="A2" s="2" t="s">
        <v>141</v>
      </c>
      <c r="B2" s="24" t="s">
        <v>139</v>
      </c>
      <c r="C2" s="24" t="s">
        <v>140</v>
      </c>
      <c r="E2">
        <f>2.72*H1</f>
        <v>77.110640000000004</v>
      </c>
      <c r="G2" s="31" t="s">
        <v>264</v>
      </c>
    </row>
    <row r="3" spans="1:20" x14ac:dyDescent="0.25">
      <c r="A3" s="16" t="s">
        <v>134</v>
      </c>
      <c r="B3" s="16">
        <v>50</v>
      </c>
      <c r="C3" s="164">
        <f t="shared" ref="C3:C8" si="0">(B3-32)*5/9</f>
        <v>10</v>
      </c>
      <c r="D3" t="s">
        <v>175</v>
      </c>
    </row>
    <row r="4" spans="1:20" x14ac:dyDescent="0.25">
      <c r="A4" t="s">
        <v>137</v>
      </c>
      <c r="B4">
        <v>40</v>
      </c>
      <c r="C4" s="164">
        <f t="shared" si="0"/>
        <v>4.4444444444444446</v>
      </c>
      <c r="K4" s="26">
        <f>36*36</f>
        <v>1296</v>
      </c>
      <c r="L4" s="26" t="s">
        <v>258</v>
      </c>
      <c r="O4" s="2" t="s">
        <v>433</v>
      </c>
    </row>
    <row r="5" spans="1:20" x14ac:dyDescent="0.25">
      <c r="A5" s="29" t="s">
        <v>136</v>
      </c>
      <c r="B5" s="29">
        <v>30</v>
      </c>
      <c r="C5" s="164">
        <f t="shared" si="0"/>
        <v>-1.1111111111111112</v>
      </c>
      <c r="D5" t="s">
        <v>176</v>
      </c>
      <c r="K5" s="7">
        <v>54</v>
      </c>
      <c r="L5" s="7" t="s">
        <v>259</v>
      </c>
      <c r="O5" s="20" t="s">
        <v>428</v>
      </c>
      <c r="P5">
        <v>32</v>
      </c>
      <c r="Q5" s="20" t="s">
        <v>35</v>
      </c>
      <c r="R5">
        <v>16.7</v>
      </c>
    </row>
    <row r="6" spans="1:20" x14ac:dyDescent="0.25">
      <c r="A6" s="29" t="s">
        <v>242</v>
      </c>
      <c r="B6" s="29">
        <v>20</v>
      </c>
      <c r="C6" s="164">
        <f t="shared" si="0"/>
        <v>-6.666666666666667</v>
      </c>
      <c r="D6" t="s">
        <v>175</v>
      </c>
      <c r="K6" s="7">
        <v>78</v>
      </c>
      <c r="L6" s="7" t="s">
        <v>260</v>
      </c>
      <c r="O6" s="20" t="s">
        <v>429</v>
      </c>
      <c r="P6">
        <v>16</v>
      </c>
      <c r="Q6" s="20" t="s">
        <v>431</v>
      </c>
      <c r="R6">
        <v>8.1999999999999993</v>
      </c>
    </row>
    <row r="7" spans="1:20" x14ac:dyDescent="0.25">
      <c r="A7" t="s">
        <v>135</v>
      </c>
      <c r="B7">
        <v>10</v>
      </c>
      <c r="C7" s="164">
        <f t="shared" si="0"/>
        <v>-12.222222222222221</v>
      </c>
      <c r="K7" s="7">
        <v>1.83</v>
      </c>
      <c r="L7" s="7" t="s">
        <v>261</v>
      </c>
      <c r="O7" s="20" t="s">
        <v>430</v>
      </c>
      <c r="P7">
        <v>44.8</v>
      </c>
      <c r="Q7" s="20" t="s">
        <v>379</v>
      </c>
      <c r="R7">
        <v>26</v>
      </c>
      <c r="S7">
        <v>22</v>
      </c>
      <c r="T7" t="s">
        <v>441</v>
      </c>
    </row>
    <row r="8" spans="1:20" x14ac:dyDescent="0.25">
      <c r="A8" s="25" t="s">
        <v>138</v>
      </c>
      <c r="B8" s="25">
        <v>-5</v>
      </c>
      <c r="C8" s="164">
        <f t="shared" si="0"/>
        <v>-20.555555555555557</v>
      </c>
      <c r="K8" s="9">
        <f>(K5*K6)/K4</f>
        <v>3.25</v>
      </c>
      <c r="L8" s="9" t="s">
        <v>262</v>
      </c>
      <c r="O8" s="20" t="s">
        <v>435</v>
      </c>
      <c r="P8">
        <v>4.2</v>
      </c>
      <c r="Q8" s="20" t="s">
        <v>380</v>
      </c>
      <c r="R8">
        <v>23</v>
      </c>
      <c r="S8">
        <v>20</v>
      </c>
      <c r="T8" t="s">
        <v>441</v>
      </c>
    </row>
    <row r="9" spans="1:20" x14ac:dyDescent="0.25">
      <c r="E9" s="22" t="s">
        <v>162</v>
      </c>
      <c r="K9" s="9">
        <f>K8*K7</f>
        <v>5.9474999999999998</v>
      </c>
      <c r="L9" s="9" t="s">
        <v>263</v>
      </c>
      <c r="O9" s="20" t="s">
        <v>439</v>
      </c>
      <c r="P9">
        <v>4</v>
      </c>
      <c r="Q9" s="20" t="s">
        <v>432</v>
      </c>
      <c r="R9">
        <v>7.3</v>
      </c>
    </row>
    <row r="10" spans="1:20" x14ac:dyDescent="0.25">
      <c r="A10" s="2" t="s">
        <v>142</v>
      </c>
      <c r="B10" s="2" t="s">
        <v>208</v>
      </c>
      <c r="E10" s="4" t="s">
        <v>161</v>
      </c>
      <c r="F10" s="4" t="s">
        <v>159</v>
      </c>
      <c r="G10" s="2"/>
      <c r="H10" s="2" t="s">
        <v>171</v>
      </c>
      <c r="I10" s="4" t="s">
        <v>209</v>
      </c>
      <c r="J10" s="4" t="s">
        <v>259</v>
      </c>
      <c r="K10" s="4" t="s">
        <v>260</v>
      </c>
      <c r="L10" s="32" t="s">
        <v>266</v>
      </c>
      <c r="M10" s="32" t="s">
        <v>265</v>
      </c>
      <c r="O10" s="20"/>
      <c r="Q10" s="20" t="s">
        <v>440</v>
      </c>
      <c r="R10">
        <v>6</v>
      </c>
    </row>
    <row r="11" spans="1:20" ht="15.75" thickBot="1" x14ac:dyDescent="0.3">
      <c r="A11" t="s">
        <v>143</v>
      </c>
      <c r="B11" t="s">
        <v>195</v>
      </c>
      <c r="C11" t="s">
        <v>165</v>
      </c>
      <c r="E11">
        <v>51.89</v>
      </c>
      <c r="F11" s="3">
        <f>E11*$E$1</f>
        <v>1.83036786</v>
      </c>
      <c r="G11" t="s">
        <v>172</v>
      </c>
      <c r="H11" s="3">
        <f>F11*2</f>
        <v>3.6607357199999999</v>
      </c>
      <c r="J11" s="7">
        <v>54</v>
      </c>
      <c r="K11" s="7">
        <v>78</v>
      </c>
      <c r="L11" s="12">
        <f>(J11*K11/$K$4)*E11</f>
        <v>168.64250000000001</v>
      </c>
      <c r="M11" s="12">
        <f>(J11*K11/$K$4)*F11</f>
        <v>5.9486955449999996</v>
      </c>
      <c r="Q11" s="20" t="s">
        <v>434</v>
      </c>
      <c r="R11">
        <v>6</v>
      </c>
    </row>
    <row r="12" spans="1:20" ht="15.75" thickTop="1" x14ac:dyDescent="0.25">
      <c r="A12" t="s">
        <v>144</v>
      </c>
      <c r="B12" t="s">
        <v>145</v>
      </c>
      <c r="F12" s="3"/>
      <c r="H12" s="3"/>
      <c r="J12" s="7"/>
      <c r="K12" s="7"/>
      <c r="L12" s="12">
        <f t="shared" ref="L12:L28" si="1">(J12*K12/$K$4)*E12</f>
        <v>0</v>
      </c>
      <c r="M12" s="12">
        <f t="shared" ref="M12:M28" si="2">(J12*K12/$K$4)*F12</f>
        <v>0</v>
      </c>
      <c r="P12" s="129">
        <f>SUM(P5:P11)</f>
        <v>101</v>
      </c>
      <c r="Q12" s="130" t="s">
        <v>65</v>
      </c>
      <c r="R12" s="129">
        <f>SUM(R5:R11)</f>
        <v>93.2</v>
      </c>
    </row>
    <row r="13" spans="1:20" x14ac:dyDescent="0.25">
      <c r="A13">
        <v>67</v>
      </c>
      <c r="B13" t="s">
        <v>164</v>
      </c>
      <c r="E13">
        <v>31.48</v>
      </c>
      <c r="F13" s="3">
        <f>E13*$E$1</f>
        <v>1.1104255199999999</v>
      </c>
      <c r="G13" t="s">
        <v>168</v>
      </c>
      <c r="H13" s="3">
        <f>F13*5</f>
        <v>5.5521275999999995</v>
      </c>
      <c r="J13" s="7">
        <v>54</v>
      </c>
      <c r="K13" s="7">
        <v>74</v>
      </c>
      <c r="L13" s="12">
        <f t="shared" si="1"/>
        <v>97.063333333333333</v>
      </c>
      <c r="M13" s="12">
        <f t="shared" si="2"/>
        <v>3.4238120200000002</v>
      </c>
      <c r="P13">
        <f>INT(P12/16)</f>
        <v>6</v>
      </c>
      <c r="Q13" s="20" t="s">
        <v>437</v>
      </c>
      <c r="R13">
        <f>INT(R12/16)</f>
        <v>5</v>
      </c>
    </row>
    <row r="14" spans="1:20" x14ac:dyDescent="0.25">
      <c r="A14">
        <v>90</v>
      </c>
      <c r="B14" t="s">
        <v>163</v>
      </c>
      <c r="E14">
        <v>43</v>
      </c>
      <c r="F14" s="3">
        <f>E14*$E$1</f>
        <v>1.5167820000000001</v>
      </c>
      <c r="G14" t="s">
        <v>168</v>
      </c>
      <c r="H14" s="3">
        <f>F14*5</f>
        <v>7.5839100000000004</v>
      </c>
      <c r="J14" s="7">
        <v>54</v>
      </c>
      <c r="K14" s="7">
        <v>74</v>
      </c>
      <c r="L14" s="12">
        <f t="shared" si="1"/>
        <v>132.58333333333334</v>
      </c>
      <c r="M14" s="12">
        <f t="shared" si="2"/>
        <v>4.6767445000000007</v>
      </c>
      <c r="P14">
        <f>P12-(P13*16)</f>
        <v>5</v>
      </c>
      <c r="Q14" s="20" t="s">
        <v>438</v>
      </c>
      <c r="R14">
        <f>R12-(R13*16)</f>
        <v>13.200000000000003</v>
      </c>
      <c r="S14">
        <f>R7-S7+R8-S8</f>
        <v>7</v>
      </c>
      <c r="T14" t="s">
        <v>442</v>
      </c>
    </row>
    <row r="15" spans="1:20" x14ac:dyDescent="0.25">
      <c r="A15" t="s">
        <v>143</v>
      </c>
      <c r="B15" t="s">
        <v>177</v>
      </c>
      <c r="C15" t="s">
        <v>165</v>
      </c>
      <c r="E15">
        <v>51.89</v>
      </c>
      <c r="F15" s="3">
        <f>E15*$E$1</f>
        <v>1.83036786</v>
      </c>
      <c r="G15" t="s">
        <v>178</v>
      </c>
      <c r="H15" s="3">
        <f>F15*3</f>
        <v>5.4911035799999999</v>
      </c>
      <c r="J15" s="7"/>
      <c r="K15" s="7"/>
      <c r="L15" s="12">
        <f t="shared" si="1"/>
        <v>0</v>
      </c>
      <c r="M15" s="12">
        <f t="shared" si="2"/>
        <v>0</v>
      </c>
      <c r="S15" t="s">
        <v>443</v>
      </c>
    </row>
    <row r="16" spans="1:20" x14ac:dyDescent="0.25">
      <c r="A16" t="s">
        <v>146</v>
      </c>
      <c r="B16" t="s">
        <v>147</v>
      </c>
      <c r="F16" s="3"/>
      <c r="H16" s="3"/>
      <c r="J16" s="7"/>
      <c r="K16" s="7"/>
      <c r="L16" s="12">
        <f t="shared" si="1"/>
        <v>0</v>
      </c>
      <c r="M16" s="12">
        <f t="shared" si="2"/>
        <v>0</v>
      </c>
    </row>
    <row r="17" spans="1:22" x14ac:dyDescent="0.25">
      <c r="A17">
        <v>1.2</v>
      </c>
      <c r="B17" t="s">
        <v>156</v>
      </c>
      <c r="E17">
        <v>54</v>
      </c>
      <c r="F17" s="3">
        <f>E17*$E$1</f>
        <v>1.9047959999999999</v>
      </c>
      <c r="G17" t="s">
        <v>169</v>
      </c>
      <c r="H17" s="3">
        <f>F17*4</f>
        <v>7.6191839999999997</v>
      </c>
      <c r="J17" s="7">
        <v>54</v>
      </c>
      <c r="K17" s="7">
        <v>120</v>
      </c>
      <c r="L17" s="12">
        <f t="shared" si="1"/>
        <v>270</v>
      </c>
      <c r="M17" s="12">
        <f t="shared" si="2"/>
        <v>9.5239799999999999</v>
      </c>
    </row>
    <row r="18" spans="1:22" x14ac:dyDescent="0.25">
      <c r="A18">
        <v>1.6</v>
      </c>
      <c r="B18" t="s">
        <v>157</v>
      </c>
      <c r="E18">
        <v>80.47</v>
      </c>
      <c r="F18" s="3">
        <f>E18*$E$1</f>
        <v>2.8384987800000001</v>
      </c>
      <c r="G18" t="s">
        <v>169</v>
      </c>
      <c r="H18" s="3">
        <f>F18*3</f>
        <v>8.5154963400000003</v>
      </c>
      <c r="J18" s="7">
        <v>54</v>
      </c>
      <c r="K18" s="7">
        <v>120</v>
      </c>
      <c r="L18" s="12">
        <f t="shared" si="1"/>
        <v>402.35</v>
      </c>
      <c r="M18" s="12">
        <f t="shared" si="2"/>
        <v>14.192493900000001</v>
      </c>
      <c r="O18" s="153" t="s">
        <v>464</v>
      </c>
      <c r="P18" s="154">
        <v>60</v>
      </c>
      <c r="Q18" s="154" t="s">
        <v>469</v>
      </c>
      <c r="R18" s="155">
        <f>P18*2*$E$1*$U$23</f>
        <v>6.8196399999999997</v>
      </c>
      <c r="S18" s="154" t="s">
        <v>470</v>
      </c>
      <c r="T18" s="156"/>
    </row>
    <row r="19" spans="1:22" x14ac:dyDescent="0.25">
      <c r="B19" t="s">
        <v>179</v>
      </c>
      <c r="F19" s="3">
        <v>1.2</v>
      </c>
      <c r="H19" s="3"/>
      <c r="J19" s="7">
        <v>48</v>
      </c>
      <c r="K19" s="7">
        <v>86</v>
      </c>
      <c r="L19" s="12">
        <f t="shared" si="1"/>
        <v>0</v>
      </c>
      <c r="M19" s="12">
        <f t="shared" si="2"/>
        <v>3.822222222222222</v>
      </c>
      <c r="O19" s="157" t="s">
        <v>465</v>
      </c>
      <c r="P19" s="66">
        <v>90</v>
      </c>
      <c r="Q19" s="66" t="s">
        <v>469</v>
      </c>
      <c r="R19" s="158">
        <f>P19*2*$E$1*$U$23</f>
        <v>10.22946</v>
      </c>
      <c r="S19" s="66" t="s">
        <v>470</v>
      </c>
      <c r="T19" s="159"/>
    </row>
    <row r="20" spans="1:22" x14ac:dyDescent="0.25">
      <c r="A20" t="s">
        <v>148</v>
      </c>
      <c r="B20" t="s">
        <v>149</v>
      </c>
      <c r="C20" t="s">
        <v>150</v>
      </c>
      <c r="F20" s="3"/>
      <c r="H20" s="3"/>
      <c r="J20" s="7"/>
      <c r="K20" s="7"/>
      <c r="L20" s="12">
        <f t="shared" si="1"/>
        <v>0</v>
      </c>
      <c r="M20" s="12">
        <f t="shared" si="2"/>
        <v>0</v>
      </c>
      <c r="O20" s="157" t="s">
        <v>466</v>
      </c>
      <c r="P20" s="66">
        <v>120</v>
      </c>
      <c r="Q20" s="66" t="s">
        <v>469</v>
      </c>
      <c r="R20" s="158">
        <f>P20*2*$E$1*$U$23</f>
        <v>13.639279999999999</v>
      </c>
      <c r="S20" s="66" t="s">
        <v>470</v>
      </c>
      <c r="T20" s="159"/>
    </row>
    <row r="21" spans="1:22" x14ac:dyDescent="0.25">
      <c r="A21">
        <v>0.9</v>
      </c>
      <c r="B21" t="s">
        <v>163</v>
      </c>
      <c r="C21" t="s">
        <v>151</v>
      </c>
      <c r="E21">
        <v>44.59</v>
      </c>
      <c r="F21" s="3">
        <f>E21*$E$1</f>
        <v>1.57286766</v>
      </c>
      <c r="G21" t="s">
        <v>170</v>
      </c>
      <c r="H21" s="3"/>
      <c r="J21" s="7"/>
      <c r="K21" s="7"/>
      <c r="L21" s="12">
        <f t="shared" si="1"/>
        <v>0</v>
      </c>
      <c r="M21" s="12">
        <f t="shared" si="2"/>
        <v>0</v>
      </c>
      <c r="O21" s="157" t="s">
        <v>468</v>
      </c>
      <c r="P21" s="66">
        <v>150</v>
      </c>
      <c r="Q21" s="66" t="s">
        <v>469</v>
      </c>
      <c r="R21" s="158">
        <f>P21*2*$E$1*$U$23</f>
        <v>17.049099999999999</v>
      </c>
      <c r="S21" s="66" t="s">
        <v>470</v>
      </c>
      <c r="T21" s="159"/>
    </row>
    <row r="22" spans="1:22" x14ac:dyDescent="0.25">
      <c r="A22">
        <v>1.1000000000000001</v>
      </c>
      <c r="B22" t="s">
        <v>165</v>
      </c>
      <c r="C22">
        <v>4000</v>
      </c>
      <c r="E22">
        <v>58.21</v>
      </c>
      <c r="F22" s="3">
        <f>E22*$E$1</f>
        <v>2.0532995399999998</v>
      </c>
      <c r="G22" t="s">
        <v>170</v>
      </c>
      <c r="H22" s="3">
        <f>F22*8</f>
        <v>16.426396319999998</v>
      </c>
      <c r="J22" s="7"/>
      <c r="K22" s="7"/>
      <c r="L22" s="12">
        <f t="shared" si="1"/>
        <v>0</v>
      </c>
      <c r="M22" s="12">
        <f t="shared" si="2"/>
        <v>0</v>
      </c>
      <c r="O22" s="160" t="s">
        <v>467</v>
      </c>
      <c r="P22" s="161">
        <v>190</v>
      </c>
      <c r="Q22" s="161" t="s">
        <v>469</v>
      </c>
      <c r="R22" s="162">
        <f>P22*2*$E$1*$U$23</f>
        <v>21.595526666666668</v>
      </c>
      <c r="S22" s="161" t="s">
        <v>470</v>
      </c>
      <c r="T22" s="163"/>
    </row>
    <row r="23" spans="1:22" x14ac:dyDescent="0.25">
      <c r="H23" s="3"/>
      <c r="J23" s="7"/>
      <c r="K23" s="7"/>
      <c r="L23" s="12">
        <f t="shared" si="1"/>
        <v>0</v>
      </c>
      <c r="M23" s="12">
        <f t="shared" si="2"/>
        <v>0</v>
      </c>
      <c r="T23" s="168" t="s">
        <v>474</v>
      </c>
      <c r="U23">
        <f>(36*58)/(36*36)</f>
        <v>1.6111111111111112</v>
      </c>
      <c r="V23" t="s">
        <v>475</v>
      </c>
    </row>
    <row r="24" spans="1:22" x14ac:dyDescent="0.25">
      <c r="A24" t="s">
        <v>152</v>
      </c>
      <c r="B24" t="s">
        <v>153</v>
      </c>
      <c r="D24" t="s">
        <v>167</v>
      </c>
      <c r="E24">
        <v>90</v>
      </c>
      <c r="F24" s="3">
        <f>E24*$E$1</f>
        <v>3.1746599999999998</v>
      </c>
      <c r="H24" s="3"/>
      <c r="J24" s="7"/>
      <c r="K24" s="7"/>
      <c r="L24" s="12">
        <f t="shared" si="1"/>
        <v>0</v>
      </c>
      <c r="M24" s="12">
        <f t="shared" si="2"/>
        <v>0</v>
      </c>
    </row>
    <row r="25" spans="1:22" x14ac:dyDescent="0.25">
      <c r="A25" t="s">
        <v>155</v>
      </c>
      <c r="B25" t="s">
        <v>154</v>
      </c>
      <c r="D25" t="s">
        <v>267</v>
      </c>
      <c r="E25">
        <v>135</v>
      </c>
      <c r="F25" s="3">
        <f>E25*$E$1</f>
        <v>4.7619899999999999</v>
      </c>
      <c r="H25" s="3"/>
      <c r="J25" s="7"/>
      <c r="K25" s="7"/>
      <c r="L25" s="12">
        <f t="shared" si="1"/>
        <v>0</v>
      </c>
      <c r="M25" s="12">
        <f t="shared" si="2"/>
        <v>0</v>
      </c>
    </row>
    <row r="26" spans="1:22" x14ac:dyDescent="0.25">
      <c r="A26" t="s">
        <v>166</v>
      </c>
      <c r="B26">
        <v>2.5</v>
      </c>
      <c r="D26" t="s">
        <v>203</v>
      </c>
      <c r="E26">
        <v>119.44</v>
      </c>
      <c r="F26" s="3">
        <f>E26*$E$1</f>
        <v>4.2131265600000001</v>
      </c>
      <c r="G26" t="s">
        <v>172</v>
      </c>
      <c r="H26" s="3">
        <f>F26*2</f>
        <v>8.4262531200000002</v>
      </c>
      <c r="J26" s="7"/>
      <c r="K26" s="7"/>
      <c r="L26" s="12">
        <f t="shared" si="1"/>
        <v>0</v>
      </c>
      <c r="M26" s="12">
        <f t="shared" si="2"/>
        <v>0</v>
      </c>
    </row>
    <row r="27" spans="1:22" x14ac:dyDescent="0.25">
      <c r="B27">
        <v>3.6</v>
      </c>
      <c r="D27" t="s">
        <v>204</v>
      </c>
      <c r="E27">
        <v>180</v>
      </c>
      <c r="F27" s="3">
        <f>E27*$E$1</f>
        <v>6.3493199999999996</v>
      </c>
      <c r="G27" t="s">
        <v>172</v>
      </c>
      <c r="H27" s="3">
        <f>F27*2</f>
        <v>12.698639999999999</v>
      </c>
      <c r="J27" s="7"/>
      <c r="K27" s="7"/>
      <c r="L27" s="12">
        <f t="shared" si="1"/>
        <v>0</v>
      </c>
      <c r="M27" s="12">
        <f t="shared" si="2"/>
        <v>0</v>
      </c>
    </row>
    <row r="28" spans="1:22" x14ac:dyDescent="0.25">
      <c r="B28">
        <v>5</v>
      </c>
      <c r="D28" t="s">
        <v>205</v>
      </c>
      <c r="E28">
        <v>238.88</v>
      </c>
      <c r="F28" s="3">
        <f>E28*$E$1</f>
        <v>8.4262531200000002</v>
      </c>
      <c r="G28" t="s">
        <v>172</v>
      </c>
      <c r="H28" s="3">
        <f>F28*2</f>
        <v>16.85250624</v>
      </c>
      <c r="J28" s="7"/>
      <c r="K28" s="7"/>
      <c r="L28" s="12">
        <f t="shared" si="1"/>
        <v>0</v>
      </c>
      <c r="M28" s="12">
        <f t="shared" si="2"/>
        <v>0</v>
      </c>
    </row>
    <row r="29" spans="1:22" x14ac:dyDescent="0.25">
      <c r="B29">
        <v>6</v>
      </c>
      <c r="D29" t="s">
        <v>268</v>
      </c>
      <c r="F29" s="3"/>
      <c r="H29" s="3"/>
      <c r="J29" s="7"/>
      <c r="K29" s="7"/>
      <c r="L29" s="12"/>
      <c r="M29" s="12"/>
    </row>
    <row r="30" spans="1:22" x14ac:dyDescent="0.25">
      <c r="A30" t="s">
        <v>181</v>
      </c>
      <c r="C30" t="s">
        <v>182</v>
      </c>
    </row>
    <row r="31" spans="1:22" x14ac:dyDescent="0.25">
      <c r="F3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</vt:lpstr>
      <vt:lpstr>ToDo</vt:lpstr>
      <vt:lpstr>Make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David P</dc:creator>
  <cp:lastModifiedBy>Smith, David P</cp:lastModifiedBy>
  <cp:lastPrinted>2025-04-16T11:52:35Z</cp:lastPrinted>
  <dcterms:created xsi:type="dcterms:W3CDTF">2023-03-01T13:07:27Z</dcterms:created>
  <dcterms:modified xsi:type="dcterms:W3CDTF">2025-09-12T12:40:30Z</dcterms:modified>
</cp:coreProperties>
</file>