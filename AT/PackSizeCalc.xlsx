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llspan-my.sharepoint.com/personal/dsmith14_wellspan_org/Documents/Documents/GitHub/dps/AT/"/>
    </mc:Choice>
  </mc:AlternateContent>
  <xr:revisionPtr revIDLastSave="85" documentId="8_{0D167D5A-055E-4A27-9100-735B2BE6C8A4}" xr6:coauthVersionLast="47" xr6:coauthVersionMax="47" xr10:uidLastSave="{3D836300-BE76-45A4-B182-B63DB9FDCDFB}"/>
  <bookViews>
    <workbookView xWindow="780" yWindow="780" windowWidth="21600" windowHeight="12630" xr2:uid="{7B076A87-33F9-471E-91F6-2A1AC2BC6B9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 s="1"/>
  <c r="D20" i="1"/>
  <c r="E20" i="1" s="1"/>
  <c r="D19" i="1"/>
  <c r="E19" i="1" s="1"/>
  <c r="D16" i="1"/>
  <c r="E16" i="1" s="1"/>
  <c r="D15" i="1"/>
  <c r="E15" i="1" s="1"/>
  <c r="D17" i="1"/>
  <c r="E17" i="1" s="1"/>
  <c r="D18" i="1"/>
  <c r="E18" i="1" s="1"/>
  <c r="D22" i="1"/>
  <c r="E22" i="1"/>
  <c r="D14" i="1"/>
  <c r="E1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4" i="1"/>
  <c r="E4" i="1" s="1"/>
</calcChain>
</file>

<file path=xl/sharedStrings.xml><?xml version="1.0" encoding="utf-8"?>
<sst xmlns="http://schemas.openxmlformats.org/spreadsheetml/2006/main" count="30" uniqueCount="29">
  <si>
    <t>cubic inch</t>
  </si>
  <si>
    <t>cubic liter</t>
  </si>
  <si>
    <t>length</t>
  </si>
  <si>
    <t>width</t>
  </si>
  <si>
    <t>cubic inches</t>
  </si>
  <si>
    <t>liters</t>
  </si>
  <si>
    <t>depth</t>
  </si>
  <si>
    <t>*</t>
  </si>
  <si>
    <t>25 x 13 x 8.5 + 10" roll top collar</t>
  </si>
  <si>
    <t>25 x 13 x 9 + 10" roll top collar</t>
  </si>
  <si>
    <t>taper from 9" at bottom to 8" at the top</t>
  </si>
  <si>
    <t>make 1/2" webbing loops on sides for shock cord</t>
  </si>
  <si>
    <t>make 4 1/2" webbing loops on bottom for shock cord</t>
  </si>
  <si>
    <t>hipstrap 4" tall against pack and taper to 3" tall in front at buckle</t>
  </si>
  <si>
    <t>integrate pockets into hipstrap</t>
  </si>
  <si>
    <t>shorten hip strap length 1-2".  Should cover front hip bones.</t>
  </si>
  <si>
    <t>lower pockets for wather bottle and toiletries. Not outside top pockets.</t>
  </si>
  <si>
    <t>zipper pouch top where back and front meet for water filter</t>
  </si>
  <si>
    <t>zipper pouch top where back and front meet for misc items (tooth brush, headlamp, knife, eyeglass case, medicine, firstaid, …)</t>
  </si>
  <si>
    <t>zipper pouch bottom front for pack rain cover</t>
  </si>
  <si>
    <t>Have buckle front and back where top collar meets main body, to hold rolled top (1/2" webbing and buckles)</t>
  </si>
  <si>
    <t>pocket mesh on front of pack from bottom 14" tall 13" wide.  Add extra to width (+6").  Shockcord draw string at top.</t>
  </si>
  <si>
    <t>Handle top back above shoulder straps</t>
  </si>
  <si>
    <t>load levelers for shoulder straps at to back</t>
  </si>
  <si>
    <t>use 1/2" webbing for stiff roll top instead of plastic strip.  Weigh bot webbing and plastic to see wight difference.</t>
  </si>
  <si>
    <t>Alternative to this is use velcro. 13" center and 8"+ each side to close tight.  Compare weight to webbing and plastic.</t>
  </si>
  <si>
    <t>Make this roll top strap a Y strap for top.  2 on back and Y to 1 on the front.  2 are 1/2" webbing and one is 1" webbing.  Could use linelocs and zingit or amsteel.</t>
  </si>
  <si>
    <t>Decathalon MT100 Pack</t>
  </si>
  <si>
    <t>8" Drawstring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</si>
</sst>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2EC1-7E1B-4166-BA47-98EEB597644C}">
  <dimension ref="A1:F41"/>
  <sheetViews>
    <sheetView tabSelected="1" workbookViewId="0">
      <selection activeCell="I21" sqref="I21"/>
    </sheetView>
  </sheetViews>
  <sheetFormatPr defaultRowHeight="15" x14ac:dyDescent="0.25"/>
  <cols>
    <col min="1" max="1" width="10.140625" customWidth="1"/>
    <col min="4" max="4" width="12.42578125" customWidth="1"/>
  </cols>
  <sheetData>
    <row r="1" spans="1:6" x14ac:dyDescent="0.25">
      <c r="A1" t="s">
        <v>0</v>
      </c>
      <c r="B1">
        <v>1</v>
      </c>
      <c r="C1">
        <v>1.6387059999999998E-2</v>
      </c>
      <c r="D1" t="s">
        <v>1</v>
      </c>
    </row>
    <row r="3" spans="1:6" x14ac:dyDescent="0.25">
      <c r="A3" s="1" t="s">
        <v>2</v>
      </c>
      <c r="B3" s="1" t="s">
        <v>3</v>
      </c>
      <c r="C3" s="1" t="s">
        <v>6</v>
      </c>
      <c r="D3" s="1" t="s">
        <v>4</v>
      </c>
      <c r="E3" s="1" t="s">
        <v>5</v>
      </c>
    </row>
    <row r="4" spans="1:6" x14ac:dyDescent="0.25">
      <c r="A4">
        <v>22</v>
      </c>
      <c r="B4">
        <v>13</v>
      </c>
      <c r="C4">
        <v>8</v>
      </c>
      <c r="D4">
        <f>IF(ISBLANK(C4),"",A4*B4*C4)</f>
        <v>2288</v>
      </c>
      <c r="E4">
        <f>IF(ISBLANK(C4),"", D4*$C$1)</f>
        <v>37.493593279999999</v>
      </c>
    </row>
    <row r="5" spans="1:6" x14ac:dyDescent="0.25">
      <c r="A5">
        <v>22</v>
      </c>
      <c r="B5">
        <v>13</v>
      </c>
      <c r="C5">
        <v>9</v>
      </c>
      <c r="D5">
        <f t="shared" ref="D5:D14" si="0">IF(ISBLANK(C5),"",A5*B5*C5)</f>
        <v>2574</v>
      </c>
      <c r="E5">
        <f t="shared" ref="E5:E14" si="1">IF(ISBLANK(C5),"", D5*$C$1)</f>
        <v>42.180292439999995</v>
      </c>
    </row>
    <row r="6" spans="1:6" x14ac:dyDescent="0.25">
      <c r="A6">
        <v>22</v>
      </c>
      <c r="B6">
        <v>13.5</v>
      </c>
      <c r="C6">
        <v>9</v>
      </c>
      <c r="D6">
        <f t="shared" si="0"/>
        <v>2673</v>
      </c>
      <c r="E6">
        <f t="shared" si="1"/>
        <v>43.802611379999995</v>
      </c>
    </row>
    <row r="7" spans="1:6" x14ac:dyDescent="0.25">
      <c r="A7">
        <v>23</v>
      </c>
      <c r="B7">
        <v>13</v>
      </c>
      <c r="C7">
        <v>9</v>
      </c>
      <c r="D7">
        <f t="shared" si="0"/>
        <v>2691</v>
      </c>
      <c r="E7">
        <f t="shared" si="1"/>
        <v>44.097578459999994</v>
      </c>
    </row>
    <row r="8" spans="1:6" x14ac:dyDescent="0.25">
      <c r="A8">
        <v>25</v>
      </c>
      <c r="B8">
        <v>13</v>
      </c>
      <c r="C8">
        <v>8</v>
      </c>
      <c r="D8">
        <f t="shared" si="0"/>
        <v>2600</v>
      </c>
      <c r="E8">
        <f t="shared" si="1"/>
        <v>42.606355999999998</v>
      </c>
    </row>
    <row r="9" spans="1:6" x14ac:dyDescent="0.25">
      <c r="A9">
        <v>25</v>
      </c>
      <c r="B9">
        <v>13</v>
      </c>
      <c r="C9">
        <v>8.5</v>
      </c>
      <c r="D9">
        <f t="shared" si="0"/>
        <v>2762.5</v>
      </c>
      <c r="E9">
        <f t="shared" si="1"/>
        <v>45.269253249999998</v>
      </c>
    </row>
    <row r="10" spans="1:6" x14ac:dyDescent="0.25">
      <c r="A10">
        <v>25</v>
      </c>
      <c r="B10">
        <v>13</v>
      </c>
      <c r="C10">
        <v>9</v>
      </c>
      <c r="D10">
        <f t="shared" si="0"/>
        <v>2925</v>
      </c>
      <c r="E10">
        <f t="shared" si="1"/>
        <v>47.932150499999999</v>
      </c>
      <c r="F10" t="s">
        <v>7</v>
      </c>
    </row>
    <row r="11" spans="1:6" x14ac:dyDescent="0.25">
      <c r="A11">
        <v>30</v>
      </c>
      <c r="B11">
        <v>13</v>
      </c>
      <c r="C11">
        <v>8</v>
      </c>
      <c r="D11">
        <f t="shared" si="0"/>
        <v>3120</v>
      </c>
      <c r="E11">
        <f t="shared" si="1"/>
        <v>51.127627199999992</v>
      </c>
    </row>
    <row r="12" spans="1:6" x14ac:dyDescent="0.25">
      <c r="A12">
        <v>33</v>
      </c>
      <c r="B12">
        <v>13</v>
      </c>
      <c r="C12">
        <v>8</v>
      </c>
      <c r="D12">
        <f t="shared" si="0"/>
        <v>3432</v>
      </c>
      <c r="E12">
        <f t="shared" si="1"/>
        <v>56.240389919999991</v>
      </c>
    </row>
    <row r="13" spans="1:6" x14ac:dyDescent="0.25">
      <c r="A13">
        <v>33</v>
      </c>
      <c r="B13">
        <v>13</v>
      </c>
      <c r="C13">
        <v>9</v>
      </c>
      <c r="D13">
        <f t="shared" si="0"/>
        <v>3861</v>
      </c>
      <c r="E13">
        <f t="shared" si="1"/>
        <v>63.270438659999996</v>
      </c>
    </row>
    <row r="14" spans="1:6" x14ac:dyDescent="0.25">
      <c r="A14">
        <v>35</v>
      </c>
      <c r="B14">
        <v>13</v>
      </c>
      <c r="C14">
        <v>8</v>
      </c>
      <c r="D14">
        <f t="shared" si="0"/>
        <v>3640</v>
      </c>
      <c r="E14">
        <f t="shared" si="1"/>
        <v>59.648898399999993</v>
      </c>
      <c r="F14" t="s">
        <v>7</v>
      </c>
    </row>
    <row r="15" spans="1:6" x14ac:dyDescent="0.25">
      <c r="A15">
        <v>35</v>
      </c>
      <c r="B15">
        <v>13</v>
      </c>
      <c r="C15">
        <v>8.5</v>
      </c>
      <c r="D15">
        <f t="shared" ref="D15:D22" si="2">IF(ISBLANK(C15),"",A15*B15*C15)</f>
        <v>3867.5</v>
      </c>
      <c r="E15">
        <f t="shared" ref="E15:E22" si="3">IF(ISBLANK(C15),"", D15*$C$1)</f>
        <v>63.376954549999994</v>
      </c>
    </row>
    <row r="16" spans="1:6" x14ac:dyDescent="0.25">
      <c r="A16">
        <v>35</v>
      </c>
      <c r="B16">
        <v>13</v>
      </c>
      <c r="C16">
        <v>9</v>
      </c>
      <c r="D16">
        <f t="shared" si="2"/>
        <v>4095</v>
      </c>
      <c r="E16">
        <f t="shared" si="3"/>
        <v>67.105010699999994</v>
      </c>
    </row>
    <row r="17" spans="1:6" x14ac:dyDescent="0.25">
      <c r="A17">
        <v>38</v>
      </c>
      <c r="B17">
        <v>13</v>
      </c>
      <c r="C17">
        <v>9</v>
      </c>
      <c r="D17">
        <f>IF(ISBLANK(C17),"",A17*B17*C17)</f>
        <v>4446</v>
      </c>
      <c r="E17">
        <f>IF(ISBLANK(C17),"", D17*$C$1)</f>
        <v>72.856868759999998</v>
      </c>
    </row>
    <row r="18" spans="1:6" x14ac:dyDescent="0.25">
      <c r="A18">
        <v>36</v>
      </c>
      <c r="B18">
        <v>13</v>
      </c>
      <c r="C18">
        <v>8.5</v>
      </c>
      <c r="D18">
        <f>IF(ISBLANK(C18),"",A18*B18*C18)</f>
        <v>3978</v>
      </c>
      <c r="E18">
        <f>IF(ISBLANK(C18),"", D18*$C$1)</f>
        <v>65.187724679999988</v>
      </c>
    </row>
    <row r="19" spans="1:6" x14ac:dyDescent="0.25">
      <c r="A19">
        <v>23</v>
      </c>
      <c r="B19">
        <v>10</v>
      </c>
      <c r="C19">
        <v>10</v>
      </c>
      <c r="D19">
        <f>IF(ISBLANK(C19),"",A19*B19*C19)</f>
        <v>2300</v>
      </c>
      <c r="E19">
        <f>IF(ISBLANK(C19),"", D19*$C$1)</f>
        <v>37.690237999999994</v>
      </c>
      <c r="F19" t="s">
        <v>27</v>
      </c>
    </row>
    <row r="20" spans="1:6" x14ac:dyDescent="0.25">
      <c r="A20">
        <v>25</v>
      </c>
      <c r="B20">
        <v>12</v>
      </c>
      <c r="C20">
        <v>10</v>
      </c>
      <c r="D20">
        <f>IF(ISBLANK(C20),"",A20*B20*C20)</f>
        <v>3000</v>
      </c>
      <c r="E20">
        <f>IF(ISBLANK(C20),"", D20*$C$1)</f>
        <v>49.161179999999995</v>
      </c>
    </row>
    <row r="21" spans="1:6" x14ac:dyDescent="0.25">
      <c r="A21">
        <v>33</v>
      </c>
      <c r="B21">
        <v>12</v>
      </c>
      <c r="C21">
        <v>10</v>
      </c>
      <c r="D21">
        <f>IF(ISBLANK(C21),"",A21*B21*C21)</f>
        <v>3960</v>
      </c>
      <c r="E21">
        <f>IF(ISBLANK(C21),"", D21*$C$1)</f>
        <v>64.892757599999996</v>
      </c>
      <c r="F21" t="s">
        <v>28</v>
      </c>
    </row>
    <row r="22" spans="1:6" x14ac:dyDescent="0.25">
      <c r="D22" t="str">
        <f t="shared" si="2"/>
        <v/>
      </c>
      <c r="E22" t="str">
        <f t="shared" si="3"/>
        <v/>
      </c>
    </row>
    <row r="23" spans="1:6" x14ac:dyDescent="0.25">
      <c r="A23" t="s">
        <v>9</v>
      </c>
    </row>
    <row r="24" spans="1:6" x14ac:dyDescent="0.25">
      <c r="A24" t="s">
        <v>8</v>
      </c>
    </row>
    <row r="25" spans="1:6" x14ac:dyDescent="0.25">
      <c r="A25" t="s">
        <v>24</v>
      </c>
    </row>
    <row r="26" spans="1:6" x14ac:dyDescent="0.25">
      <c r="A26" t="s">
        <v>25</v>
      </c>
    </row>
    <row r="27" spans="1:6" x14ac:dyDescent="0.25">
      <c r="A27" t="s">
        <v>20</v>
      </c>
    </row>
    <row r="28" spans="1:6" x14ac:dyDescent="0.25">
      <c r="A28" t="s">
        <v>26</v>
      </c>
    </row>
    <row r="29" spans="1:6" x14ac:dyDescent="0.25">
      <c r="A29" t="s">
        <v>10</v>
      </c>
    </row>
    <row r="30" spans="1:6" x14ac:dyDescent="0.25">
      <c r="A30" t="s">
        <v>16</v>
      </c>
    </row>
    <row r="31" spans="1:6" x14ac:dyDescent="0.25">
      <c r="A31" t="s">
        <v>17</v>
      </c>
    </row>
    <row r="32" spans="1:6" x14ac:dyDescent="0.25">
      <c r="A32" t="s">
        <v>18</v>
      </c>
    </row>
    <row r="33" spans="1:1" x14ac:dyDescent="0.25">
      <c r="A33" t="s">
        <v>19</v>
      </c>
    </row>
    <row r="34" spans="1:1" x14ac:dyDescent="0.25">
      <c r="A34" t="s">
        <v>11</v>
      </c>
    </row>
    <row r="35" spans="1:1" x14ac:dyDescent="0.25">
      <c r="A35" t="s">
        <v>12</v>
      </c>
    </row>
    <row r="36" spans="1:1" x14ac:dyDescent="0.25">
      <c r="A36" t="s">
        <v>13</v>
      </c>
    </row>
    <row r="37" spans="1:1" x14ac:dyDescent="0.25">
      <c r="A37" t="s">
        <v>15</v>
      </c>
    </row>
    <row r="38" spans="1:1" x14ac:dyDescent="0.25">
      <c r="A38" t="s">
        <v>14</v>
      </c>
    </row>
    <row r="39" spans="1:1" x14ac:dyDescent="0.25">
      <c r="A39" t="s">
        <v>21</v>
      </c>
    </row>
    <row r="40" spans="1:1" x14ac:dyDescent="0.25">
      <c r="A40" t="s">
        <v>22</v>
      </c>
    </row>
    <row r="41" spans="1:1" x14ac:dyDescent="0.25">
      <c r="A4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2CAC-4B38-42C6-8D07-F241D50032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6BA94-15FB-43D0-9873-7C7B7E06A31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E323-E369-44DE-8819-3BA3D39CD8F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David P</dc:creator>
  <cp:lastModifiedBy>Smith, David P</cp:lastModifiedBy>
  <dcterms:created xsi:type="dcterms:W3CDTF">2025-08-07T11:22:04Z</dcterms:created>
  <dcterms:modified xsi:type="dcterms:W3CDTF">2026-01-22T14:05:41Z</dcterms:modified>
</cp:coreProperties>
</file>