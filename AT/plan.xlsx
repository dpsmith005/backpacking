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wellspan-my.sharepoint.com/personal/dsmith14_wellspan_org/Documents/Documents/GitHub/dps/AT/"/>
    </mc:Choice>
  </mc:AlternateContent>
  <xr:revisionPtr revIDLastSave="499" documentId="13_ncr:4000b_{E6446DE5-C095-4726-BBD4-61969C47AD9B}" xr6:coauthVersionLast="47" xr6:coauthVersionMax="47" xr10:uidLastSave="{FEA8B97B-9585-410A-9CDB-4C558C53C916}"/>
  <bookViews>
    <workbookView xWindow="1935" yWindow="705" windowWidth="24705" windowHeight="14715" firstSheet="1" activeTab="3" xr2:uid="{00000000-000D-0000-FFFF-FFFF00000000}"/>
  </bookViews>
  <sheets>
    <sheet name="Itinerary-OLD" sheetId="1" r:id="rId1"/>
    <sheet name="Itinerary" sheetId="12" r:id="rId2"/>
    <sheet name="Postholer" sheetId="13" r:id="rId3"/>
    <sheet name="Shelters" sheetId="10" r:id="rId4"/>
    <sheet name="Resupply" sheetId="11" r:id="rId5"/>
    <sheet name="Post Offices" sheetId="6" r:id="rId6"/>
    <sheet name="Hostels_Drops" sheetId="7" r:id="rId7"/>
    <sheet name="MailDrops" sheetId="2" r:id="rId8"/>
    <sheet name="Info" sheetId="8" r:id="rId9"/>
    <sheet name="PriceCalc" sheetId="3" r:id="rId10"/>
  </sheets>
  <definedNames>
    <definedName name="central" localSheetId="6">Hostels_Drops!#REF!</definedName>
    <definedName name="central" localSheetId="5">'Post Offices'!$A$39</definedName>
    <definedName name="HostelN" localSheetId="6">Hostels_Drops!$B$38</definedName>
    <definedName name="HostelN" localSheetId="5">'Post Offices'!#REF!</definedName>
    <definedName name="Hostels" localSheetId="6">Hostels_Drops!$B$1</definedName>
    <definedName name="Hostels" localSheetId="5">'Post Offices'!#REF!</definedName>
    <definedName name="HostelV" localSheetId="6">Hostels_Drops!$B$25</definedName>
    <definedName name="HostelV" localSheetId="5">'Post Offices'!#REF!</definedName>
    <definedName name="Legend" localSheetId="6">Hostels_Drops!#REF!</definedName>
    <definedName name="Legend" localSheetId="5">'Post Offices'!$A$1</definedName>
    <definedName name="mid" localSheetId="6">Hostels_Drops!#REF!</definedName>
    <definedName name="mid" localSheetId="5">'Post Offices'!$A$59</definedName>
    <definedName name="New" localSheetId="6">Hostels_Drops!#REF!</definedName>
    <definedName name="New" localSheetId="5">'Post Offices'!$A$78</definedName>
    <definedName name="_xlnm.Print_Area" localSheetId="1">Itinerary!$A$1:$K$178,Itinerary!$L$21:$N$43</definedName>
    <definedName name="_xlnm.Print_Area" localSheetId="0">'Itinerary-OLD'!$A$1:$K$177,'Itinerary-OLD'!$L$19:$N$41</definedName>
    <definedName name="_xlnm.Print_Titles" localSheetId="6">Hostels_Drops!$1:$2</definedName>
    <definedName name="_xlnm.Print_Titles" localSheetId="1">Itinerary!$1:$1</definedName>
    <definedName name="_xlnm.Print_Titles" localSheetId="0">'Itinerary-OLD'!$1:$1</definedName>
    <definedName name="_xlnm.Print_Titles" localSheetId="7">MailDrops!$2:$2</definedName>
    <definedName name="_xlnm.Print_Titles" localSheetId="4">Resupply!$1:$1</definedName>
    <definedName name="_xlnm.Print_Titles" localSheetId="3">Shelters!$1:$1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7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4" i="7"/>
  <c r="A3" i="7"/>
  <c r="B1034" i="13"/>
  <c r="B88" i="11" l="1"/>
  <c r="E4" i="6"/>
  <c r="I5" i="12" l="1"/>
  <c r="I6" i="12"/>
  <c r="H5" i="12"/>
  <c r="H6" i="12" s="1"/>
  <c r="F5" i="12"/>
  <c r="F6" i="12"/>
  <c r="L1" i="12"/>
  <c r="F4" i="12" l="1"/>
  <c r="C3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F3" i="12"/>
  <c r="H3" i="12" s="1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J170" i="12"/>
  <c r="F170" i="12"/>
  <c r="H170" i="12" s="1"/>
  <c r="G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M43" i="12"/>
  <c r="F43" i="12"/>
  <c r="F42" i="12"/>
  <c r="L41" i="12"/>
  <c r="F41" i="12"/>
  <c r="L40" i="12"/>
  <c r="F40" i="12"/>
  <c r="L39" i="12"/>
  <c r="F39" i="12"/>
  <c r="L38" i="12"/>
  <c r="F38" i="12"/>
  <c r="L37" i="12"/>
  <c r="F37" i="12"/>
  <c r="L36" i="12"/>
  <c r="F36" i="12"/>
  <c r="L35" i="12"/>
  <c r="F35" i="12"/>
  <c r="L34" i="12"/>
  <c r="F34" i="12"/>
  <c r="L33" i="12"/>
  <c r="F33" i="12"/>
  <c r="L32" i="12"/>
  <c r="F32" i="12"/>
  <c r="L31" i="12"/>
  <c r="F31" i="12"/>
  <c r="L30" i="12"/>
  <c r="F30" i="12"/>
  <c r="L29" i="12"/>
  <c r="F29" i="12"/>
  <c r="L28" i="12"/>
  <c r="F28" i="12"/>
  <c r="L27" i="12"/>
  <c r="F27" i="12"/>
  <c r="L26" i="12"/>
  <c r="F26" i="12"/>
  <c r="L25" i="12"/>
  <c r="F25" i="12"/>
  <c r="L24" i="12"/>
  <c r="F24" i="12"/>
  <c r="L23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I2" i="12"/>
  <c r="C4" i="12" l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H4" i="12"/>
  <c r="I4" i="12" s="1"/>
  <c r="I3" i="12"/>
  <c r="L43" i="12"/>
  <c r="H171" i="12"/>
  <c r="H172" i="12" s="1"/>
  <c r="B21" i="12"/>
  <c r="B22" i="12" s="1"/>
  <c r="B23" i="12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E5" i="6"/>
  <c r="E3" i="6"/>
  <c r="F21" i="1"/>
  <c r="F20" i="1"/>
  <c r="G16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J168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80" i="1"/>
  <c r="I2" i="1"/>
  <c r="M41" i="1"/>
  <c r="L34" i="1"/>
  <c r="L35" i="1"/>
  <c r="L36" i="1"/>
  <c r="L37" i="1"/>
  <c r="L38" i="1"/>
  <c r="L39" i="1"/>
  <c r="L24" i="1"/>
  <c r="L25" i="1"/>
  <c r="L26" i="1"/>
  <c r="L27" i="1"/>
  <c r="L28" i="1"/>
  <c r="L29" i="1"/>
  <c r="L30" i="1"/>
  <c r="L31" i="1"/>
  <c r="L32" i="1"/>
  <c r="L33" i="1"/>
  <c r="L21" i="1"/>
  <c r="L41" i="1" s="1"/>
  <c r="L22" i="1"/>
  <c r="F22" i="1"/>
  <c r="L23" i="1"/>
  <c r="F9" i="1"/>
  <c r="F10" i="1"/>
  <c r="C3" i="1"/>
  <c r="C4" i="1" s="1"/>
  <c r="C5" i="1" s="1"/>
  <c r="C6" i="1" s="1"/>
  <c r="F7" i="1"/>
  <c r="F6" i="1"/>
  <c r="F3" i="1"/>
  <c r="H3" i="1" s="1"/>
  <c r="F4" i="1"/>
  <c r="H4" i="1" s="1"/>
  <c r="F5" i="1"/>
  <c r="B3" i="1"/>
  <c r="B4" i="1"/>
  <c r="B5" i="1"/>
  <c r="B6" i="1" s="1"/>
  <c r="B7" i="1" s="1"/>
  <c r="B8" i="1" s="1"/>
  <c r="F8" i="1"/>
  <c r="F11" i="1"/>
  <c r="F12" i="1"/>
  <c r="F13" i="1"/>
  <c r="F14" i="1"/>
  <c r="F15" i="1"/>
  <c r="F16" i="1"/>
  <c r="F17" i="1"/>
  <c r="F18" i="1"/>
  <c r="F19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H168" i="1"/>
  <c r="H169" i="1" s="1"/>
  <c r="H170" i="1"/>
  <c r="H171" i="1" s="1"/>
  <c r="C171" i="12" l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D170" i="12"/>
  <c r="B20" i="1"/>
  <c r="B21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H5" i="1"/>
  <c r="I4" i="1"/>
  <c r="H172" i="1"/>
  <c r="I3" i="1"/>
  <c r="H173" i="12"/>
  <c r="B169" i="12"/>
  <c r="I169" i="12"/>
  <c r="C3" i="2"/>
  <c r="C5" i="2"/>
  <c r="C7" i="1"/>
  <c r="C8" i="1" s="1"/>
  <c r="C9" i="1" s="1"/>
  <c r="C10" i="1" s="1"/>
  <c r="I5" i="1" l="1"/>
  <c r="H6" i="1"/>
  <c r="H7" i="1" s="1"/>
  <c r="I167" i="1"/>
  <c r="B168" i="1"/>
  <c r="H173" i="1"/>
  <c r="H7" i="12"/>
  <c r="H8" i="12" s="1"/>
  <c r="H9" i="12" s="1"/>
  <c r="H174" i="12"/>
  <c r="B170" i="12"/>
  <c r="I170" i="12"/>
  <c r="E5" i="2"/>
  <c r="B5" i="2"/>
  <c r="C11" i="1"/>
  <c r="C12" i="1" s="1"/>
  <c r="C13" i="1" s="1"/>
  <c r="C14" i="1" s="1"/>
  <c r="C15" i="1" s="1"/>
  <c r="C16" i="1" s="1"/>
  <c r="C17" i="1" s="1"/>
  <c r="C18" i="1" s="1"/>
  <c r="C4" i="2"/>
  <c r="E3" i="2"/>
  <c r="B3" i="2"/>
  <c r="I7" i="12" l="1"/>
  <c r="B169" i="1"/>
  <c r="I168" i="1"/>
  <c r="H174" i="1"/>
  <c r="I7" i="1"/>
  <c r="H8" i="1"/>
  <c r="H10" i="12"/>
  <c r="I9" i="12"/>
  <c r="B171" i="12"/>
  <c r="I171" i="12"/>
  <c r="H175" i="12"/>
  <c r="B4" i="2"/>
  <c r="E4" i="2"/>
  <c r="C19" i="1"/>
  <c r="C20" i="1" s="1"/>
  <c r="C21" i="1" s="1"/>
  <c r="C22" i="1" s="1"/>
  <c r="C23" i="1" s="1"/>
  <c r="C24" i="1" s="1"/>
  <c r="C25" i="1" s="1"/>
  <c r="C26" i="1" s="1"/>
  <c r="C27" i="1" s="1"/>
  <c r="C6" i="2"/>
  <c r="H9" i="1" l="1"/>
  <c r="I8" i="1"/>
  <c r="H175" i="1"/>
  <c r="B170" i="1"/>
  <c r="I169" i="1"/>
  <c r="H176" i="12"/>
  <c r="B172" i="12"/>
  <c r="I172" i="12"/>
  <c r="I10" i="12"/>
  <c r="H11" i="12"/>
  <c r="C7" i="2"/>
  <c r="C28" i="1"/>
  <c r="C29" i="1" s="1"/>
  <c r="C30" i="1" s="1"/>
  <c r="C31" i="1" s="1"/>
  <c r="C32" i="1" s="1"/>
  <c r="C33" i="1" s="1"/>
  <c r="B6" i="2"/>
  <c r="E6" i="2"/>
  <c r="H176" i="1" l="1"/>
  <c r="B171" i="1"/>
  <c r="I170" i="1"/>
  <c r="I9" i="1"/>
  <c r="H10" i="1"/>
  <c r="I11" i="12"/>
  <c r="H12" i="12"/>
  <c r="B173" i="12"/>
  <c r="I173" i="12"/>
  <c r="H177" i="12"/>
  <c r="C8" i="2"/>
  <c r="C34" i="1"/>
  <c r="C35" i="1" s="1"/>
  <c r="C36" i="1" s="1"/>
  <c r="C37" i="1" s="1"/>
  <c r="C38" i="1" s="1"/>
  <c r="E7" i="2"/>
  <c r="B7" i="2"/>
  <c r="B172" i="1" l="1"/>
  <c r="I171" i="1"/>
  <c r="H11" i="1"/>
  <c r="I10" i="1"/>
  <c r="H177" i="1"/>
  <c r="H178" i="12"/>
  <c r="B174" i="12"/>
  <c r="I174" i="12"/>
  <c r="H13" i="12"/>
  <c r="I12" i="12"/>
  <c r="B8" i="2"/>
  <c r="E8" i="2"/>
  <c r="C39" i="1"/>
  <c r="C40" i="1" s="1"/>
  <c r="C41" i="1" s="1"/>
  <c r="C42" i="1" s="1"/>
  <c r="C9" i="2"/>
  <c r="H178" i="1" l="1"/>
  <c r="H12" i="1"/>
  <c r="I11" i="1"/>
  <c r="B173" i="1"/>
  <c r="I172" i="1"/>
  <c r="I13" i="12"/>
  <c r="H14" i="12"/>
  <c r="B175" i="12"/>
  <c r="I175" i="12"/>
  <c r="H179" i="12"/>
  <c r="C10" i="2"/>
  <c r="B10" i="2" s="1"/>
  <c r="C43" i="1"/>
  <c r="C44" i="1" s="1"/>
  <c r="C45" i="1" s="1"/>
  <c r="C46" i="1" s="1"/>
  <c r="C47" i="1" s="1"/>
  <c r="C48" i="1" s="1"/>
  <c r="B9" i="2"/>
  <c r="E10" i="2"/>
  <c r="E9" i="2"/>
  <c r="H13" i="1" l="1"/>
  <c r="I12" i="1"/>
  <c r="B174" i="1"/>
  <c r="I173" i="1"/>
  <c r="H179" i="1"/>
  <c r="H180" i="12"/>
  <c r="B176" i="12"/>
  <c r="I176" i="12"/>
  <c r="H15" i="12"/>
  <c r="I14" i="12"/>
  <c r="C11" i="2"/>
  <c r="C49" i="1"/>
  <c r="C50" i="1" s="1"/>
  <c r="C51" i="1" s="1"/>
  <c r="C52" i="1" s="1"/>
  <c r="C53" i="1" s="1"/>
  <c r="C54" i="1" s="1"/>
  <c r="H180" i="1" l="1"/>
  <c r="B175" i="1"/>
  <c r="I174" i="1"/>
  <c r="H14" i="1"/>
  <c r="I13" i="1"/>
  <c r="I15" i="12"/>
  <c r="H16" i="12"/>
  <c r="B177" i="12"/>
  <c r="I177" i="12"/>
  <c r="H181" i="12"/>
  <c r="C12" i="2"/>
  <c r="C55" i="1"/>
  <c r="C56" i="1" s="1"/>
  <c r="C57" i="1" s="1"/>
  <c r="C58" i="1" s="1"/>
  <c r="C59" i="1" s="1"/>
  <c r="C60" i="1" s="1"/>
  <c r="B11" i="2"/>
  <c r="E11" i="2"/>
  <c r="H15" i="1" l="1"/>
  <c r="I14" i="1"/>
  <c r="B176" i="1"/>
  <c r="I175" i="1"/>
  <c r="H181" i="1"/>
  <c r="H182" i="12"/>
  <c r="B178" i="12"/>
  <c r="I178" i="12"/>
  <c r="I16" i="12"/>
  <c r="H17" i="12"/>
  <c r="C13" i="2"/>
  <c r="C61" i="1"/>
  <c r="C62" i="1" s="1"/>
  <c r="C63" i="1" s="1"/>
  <c r="C64" i="1" s="1"/>
  <c r="C65" i="1" s="1"/>
  <c r="C66" i="1" s="1"/>
  <c r="C67" i="1" s="1"/>
  <c r="C68" i="1" s="1"/>
  <c r="B12" i="2"/>
  <c r="E12" i="2"/>
  <c r="B177" i="1" l="1"/>
  <c r="I176" i="1"/>
  <c r="H182" i="1"/>
  <c r="H16" i="1"/>
  <c r="I15" i="1"/>
  <c r="H18" i="12"/>
  <c r="I17" i="12"/>
  <c r="B179" i="12"/>
  <c r="I179" i="12"/>
  <c r="H183" i="12"/>
  <c r="B13" i="2"/>
  <c r="E13" i="2"/>
  <c r="C14" i="2"/>
  <c r="C69" i="1"/>
  <c r="C70" i="1" s="1"/>
  <c r="C71" i="1" s="1"/>
  <c r="C72" i="1" s="1"/>
  <c r="C73" i="1" s="1"/>
  <c r="I16" i="1" l="1"/>
  <c r="H17" i="1"/>
  <c r="H183" i="1"/>
  <c r="B178" i="1"/>
  <c r="I177" i="1"/>
  <c r="H184" i="12"/>
  <c r="I18" i="12"/>
  <c r="H19" i="12"/>
  <c r="B180" i="12"/>
  <c r="I180" i="12"/>
  <c r="C15" i="2"/>
  <c r="C74" i="1"/>
  <c r="C75" i="1" s="1"/>
  <c r="C76" i="1" s="1"/>
  <c r="C77" i="1" s="1"/>
  <c r="B14" i="2"/>
  <c r="E14" i="2"/>
  <c r="B179" i="1" l="1"/>
  <c r="I178" i="1"/>
  <c r="H18" i="1"/>
  <c r="I17" i="1"/>
  <c r="H184" i="1"/>
  <c r="I19" i="12"/>
  <c r="H20" i="12"/>
  <c r="B181" i="12"/>
  <c r="I181" i="12"/>
  <c r="H185" i="12"/>
  <c r="B15" i="2"/>
  <c r="E15" i="2"/>
  <c r="C16" i="2"/>
  <c r="C78" i="1"/>
  <c r="C79" i="1" s="1"/>
  <c r="C80" i="1" s="1"/>
  <c r="C81" i="1" s="1"/>
  <c r="I18" i="1" l="1"/>
  <c r="H19" i="1"/>
  <c r="H185" i="1"/>
  <c r="B180" i="1"/>
  <c r="I179" i="1"/>
  <c r="H186" i="12"/>
  <c r="B182" i="12"/>
  <c r="I182" i="12"/>
  <c r="H21" i="12"/>
  <c r="I20" i="12"/>
  <c r="B16" i="2"/>
  <c r="E16" i="2"/>
  <c r="C17" i="2"/>
  <c r="C82" i="1"/>
  <c r="C83" i="1" s="1"/>
  <c r="C84" i="1" s="1"/>
  <c r="C85" i="1" s="1"/>
  <c r="I19" i="1" l="1"/>
  <c r="H20" i="1"/>
  <c r="H21" i="1" s="1"/>
  <c r="B181" i="1"/>
  <c r="I180" i="1"/>
  <c r="H186" i="1"/>
  <c r="I21" i="12"/>
  <c r="H22" i="12"/>
  <c r="H23" i="12" s="1"/>
  <c r="B183" i="12"/>
  <c r="I183" i="12"/>
  <c r="H187" i="12"/>
  <c r="C18" i="2"/>
  <c r="C86" i="1"/>
  <c r="C87" i="1" s="1"/>
  <c r="C88" i="1" s="1"/>
  <c r="C89" i="1" s="1"/>
  <c r="C90" i="1" s="1"/>
  <c r="H187" i="1" l="1"/>
  <c r="B182" i="1"/>
  <c r="I181" i="1"/>
  <c r="H22" i="1"/>
  <c r="I21" i="1"/>
  <c r="B184" i="12"/>
  <c r="I184" i="12"/>
  <c r="H188" i="12"/>
  <c r="I23" i="12"/>
  <c r="H24" i="12"/>
  <c r="C19" i="2"/>
  <c r="C91" i="1"/>
  <c r="C92" i="1" s="1"/>
  <c r="C93" i="1" s="1"/>
  <c r="C94" i="1" s="1"/>
  <c r="C95" i="1" s="1"/>
  <c r="E18" i="2"/>
  <c r="B18" i="2"/>
  <c r="I22" i="1" l="1"/>
  <c r="H23" i="1"/>
  <c r="B183" i="1"/>
  <c r="I182" i="1"/>
  <c r="H188" i="1"/>
  <c r="I24" i="12"/>
  <c r="H25" i="12"/>
  <c r="B185" i="12"/>
  <c r="I185" i="12"/>
  <c r="H189" i="12"/>
  <c r="C20" i="2"/>
  <c r="C96" i="1"/>
  <c r="C97" i="1" s="1"/>
  <c r="C98" i="1" s="1"/>
  <c r="C99" i="1" s="1"/>
  <c r="E19" i="2"/>
  <c r="B19" i="2"/>
  <c r="B184" i="1" l="1"/>
  <c r="I183" i="1"/>
  <c r="H189" i="1"/>
  <c r="I23" i="1"/>
  <c r="H24" i="1"/>
  <c r="H190" i="12"/>
  <c r="B186" i="12"/>
  <c r="I186" i="12"/>
  <c r="I25" i="12"/>
  <c r="H26" i="12"/>
  <c r="C21" i="2"/>
  <c r="C100" i="1"/>
  <c r="C101" i="1" s="1"/>
  <c r="C102" i="1" s="1"/>
  <c r="C103" i="1" s="1"/>
  <c r="E20" i="2"/>
  <c r="B20" i="2"/>
  <c r="H25" i="1" l="1"/>
  <c r="I24" i="1"/>
  <c r="H190" i="1"/>
  <c r="B185" i="1"/>
  <c r="I184" i="1"/>
  <c r="H27" i="12"/>
  <c r="I26" i="12"/>
  <c r="B187" i="12"/>
  <c r="I187" i="12"/>
  <c r="H191" i="12"/>
  <c r="C22" i="2"/>
  <c r="C104" i="1"/>
  <c r="C105" i="1" s="1"/>
  <c r="C106" i="1" s="1"/>
  <c r="C107" i="1" s="1"/>
  <c r="C108" i="1" s="1"/>
  <c r="B21" i="2"/>
  <c r="E21" i="2"/>
  <c r="H191" i="1" l="1"/>
  <c r="B186" i="1"/>
  <c r="I185" i="1"/>
  <c r="H26" i="1"/>
  <c r="I25" i="1"/>
  <c r="H192" i="12"/>
  <c r="B188" i="12"/>
  <c r="I188" i="12"/>
  <c r="I27" i="12"/>
  <c r="H28" i="12"/>
  <c r="C23" i="2"/>
  <c r="C109" i="1"/>
  <c r="C110" i="1" s="1"/>
  <c r="C111" i="1" s="1"/>
  <c r="C112" i="1" s="1"/>
  <c r="C113" i="1" s="1"/>
  <c r="C114" i="1" s="1"/>
  <c r="C115" i="1" s="1"/>
  <c r="E22" i="2"/>
  <c r="B22" i="2"/>
  <c r="B187" i="1" l="1"/>
  <c r="I186" i="1"/>
  <c r="H27" i="1"/>
  <c r="I26" i="1"/>
  <c r="H192" i="1"/>
  <c r="I28" i="12"/>
  <c r="H29" i="12"/>
  <c r="B189" i="12"/>
  <c r="I189" i="12"/>
  <c r="H193" i="12"/>
  <c r="B23" i="2"/>
  <c r="E23" i="2"/>
  <c r="C24" i="2"/>
  <c r="C116" i="1"/>
  <c r="C117" i="1" s="1"/>
  <c r="C118" i="1" s="1"/>
  <c r="C119" i="1" s="1"/>
  <c r="C120" i="1" s="1"/>
  <c r="C121" i="1" s="1"/>
  <c r="I27" i="1" l="1"/>
  <c r="H28" i="1"/>
  <c r="H193" i="1"/>
  <c r="B188" i="1"/>
  <c r="I187" i="1"/>
  <c r="H194" i="12"/>
  <c r="B190" i="12"/>
  <c r="I190" i="12"/>
  <c r="H30" i="12"/>
  <c r="I29" i="12"/>
  <c r="E24" i="2"/>
  <c r="B24" i="2"/>
  <c r="C25" i="2"/>
  <c r="C122" i="1"/>
  <c r="C123" i="1" s="1"/>
  <c r="C124" i="1" s="1"/>
  <c r="C125" i="1" s="1"/>
  <c r="C126" i="1" s="1"/>
  <c r="C127" i="1" s="1"/>
  <c r="B189" i="1" l="1"/>
  <c r="I188" i="1"/>
  <c r="H194" i="1"/>
  <c r="H29" i="1"/>
  <c r="I28" i="1"/>
  <c r="H31" i="12"/>
  <c r="I30" i="12"/>
  <c r="B191" i="12"/>
  <c r="I191" i="12"/>
  <c r="H195" i="12"/>
  <c r="E25" i="2"/>
  <c r="B25" i="2"/>
  <c r="C26" i="2"/>
  <c r="C128" i="1"/>
  <c r="C129" i="1" s="1"/>
  <c r="C130" i="1" s="1"/>
  <c r="C131" i="1" s="1"/>
  <c r="C132" i="1" s="1"/>
  <c r="H195" i="1" l="1"/>
  <c r="I29" i="1"/>
  <c r="H30" i="1"/>
  <c r="B190" i="1"/>
  <c r="I189" i="1"/>
  <c r="H196" i="12"/>
  <c r="B192" i="12"/>
  <c r="I192" i="12"/>
  <c r="I31" i="12"/>
  <c r="H32" i="12"/>
  <c r="C27" i="2"/>
  <c r="C133" i="1"/>
  <c r="C134" i="1" s="1"/>
  <c r="C135" i="1" s="1"/>
  <c r="E26" i="2"/>
  <c r="B26" i="2"/>
  <c r="I30" i="1" l="1"/>
  <c r="H31" i="1"/>
  <c r="B191" i="1"/>
  <c r="I190" i="1"/>
  <c r="H196" i="1"/>
  <c r="B193" i="12"/>
  <c r="I193" i="12"/>
  <c r="H197" i="12"/>
  <c r="I32" i="12"/>
  <c r="H33" i="12"/>
  <c r="C28" i="2"/>
  <c r="C136" i="1"/>
  <c r="C137" i="1" s="1"/>
  <c r="C138" i="1" s="1"/>
  <c r="C139" i="1" s="1"/>
  <c r="C140" i="1" s="1"/>
  <c r="E27" i="2"/>
  <c r="B27" i="2"/>
  <c r="B192" i="1" l="1"/>
  <c r="I191" i="1"/>
  <c r="I31" i="1"/>
  <c r="H32" i="1"/>
  <c r="H197" i="1"/>
  <c r="B194" i="12"/>
  <c r="I194" i="12"/>
  <c r="I33" i="12"/>
  <c r="H34" i="12"/>
  <c r="H198" i="12"/>
  <c r="C29" i="2"/>
  <c r="C141" i="1"/>
  <c r="C142" i="1" s="1"/>
  <c r="C143" i="1" s="1"/>
  <c r="C144" i="1" s="1"/>
  <c r="C145" i="1" s="1"/>
  <c r="E28" i="2"/>
  <c r="B28" i="2"/>
  <c r="H198" i="1" l="1"/>
  <c r="H33" i="1"/>
  <c r="I32" i="1"/>
  <c r="B193" i="1"/>
  <c r="I192" i="1"/>
  <c r="H199" i="12"/>
  <c r="H35" i="12"/>
  <c r="I34" i="12"/>
  <c r="B195" i="12"/>
  <c r="I195" i="12"/>
  <c r="C30" i="2"/>
  <c r="C146" i="1"/>
  <c r="C147" i="1" s="1"/>
  <c r="C148" i="1" s="1"/>
  <c r="C149" i="1" s="1"/>
  <c r="C150" i="1" s="1"/>
  <c r="C151" i="1" s="1"/>
  <c r="E29" i="2"/>
  <c r="B29" i="2"/>
  <c r="I33" i="1" l="1"/>
  <c r="H34" i="1"/>
  <c r="B194" i="1"/>
  <c r="I193" i="1"/>
  <c r="H199" i="1"/>
  <c r="B196" i="12"/>
  <c r="I196" i="12"/>
  <c r="I35" i="12"/>
  <c r="H36" i="12"/>
  <c r="H200" i="12"/>
  <c r="C31" i="2"/>
  <c r="C152" i="1"/>
  <c r="C153" i="1" s="1"/>
  <c r="C154" i="1" s="1"/>
  <c r="C155" i="1" s="1"/>
  <c r="C156" i="1" s="1"/>
  <c r="E30" i="2"/>
  <c r="B30" i="2"/>
  <c r="B195" i="1" l="1"/>
  <c r="I194" i="1"/>
  <c r="H200" i="1"/>
  <c r="H35" i="1"/>
  <c r="I34" i="1"/>
  <c r="I36" i="12"/>
  <c r="H37" i="12"/>
  <c r="H201" i="12"/>
  <c r="B197" i="12"/>
  <c r="I197" i="12"/>
  <c r="C32" i="2"/>
  <c r="C157" i="1"/>
  <c r="C158" i="1" s="1"/>
  <c r="C159" i="1" s="1"/>
  <c r="C160" i="1" s="1"/>
  <c r="C161" i="1" s="1"/>
  <c r="C162" i="1" s="1"/>
  <c r="B31" i="2"/>
  <c r="E31" i="2"/>
  <c r="H201" i="1" l="1"/>
  <c r="H36" i="1"/>
  <c r="I35" i="1"/>
  <c r="B196" i="1"/>
  <c r="I195" i="1"/>
  <c r="H202" i="12"/>
  <c r="B198" i="12"/>
  <c r="I198" i="12"/>
  <c r="H38" i="12"/>
  <c r="I37" i="12"/>
  <c r="C163" i="1"/>
  <c r="C164" i="1" s="1"/>
  <c r="C165" i="1" s="1"/>
  <c r="C166" i="1" s="1"/>
  <c r="C167" i="1" s="1"/>
  <c r="C168" i="1" s="1"/>
  <c r="C33" i="2"/>
  <c r="E32" i="2"/>
  <c r="B32" i="2"/>
  <c r="B197" i="1" l="1"/>
  <c r="I196" i="1"/>
  <c r="I36" i="1"/>
  <c r="H37" i="1"/>
  <c r="H202" i="1"/>
  <c r="H39" i="12"/>
  <c r="I38" i="12"/>
  <c r="B199" i="12"/>
  <c r="I199" i="12"/>
  <c r="H203" i="12"/>
  <c r="E33" i="2"/>
  <c r="B33" i="2"/>
  <c r="D168" i="1"/>
  <c r="C169" i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H203" i="1" l="1"/>
  <c r="H38" i="1"/>
  <c r="I37" i="1"/>
  <c r="B198" i="1"/>
  <c r="I197" i="1"/>
  <c r="B200" i="12"/>
  <c r="I200" i="12"/>
  <c r="H204" i="12"/>
  <c r="I39" i="12"/>
  <c r="H40" i="12"/>
  <c r="I38" i="1" l="1"/>
  <c r="H39" i="1"/>
  <c r="B199" i="1"/>
  <c r="I198" i="1"/>
  <c r="H204" i="1"/>
  <c r="B201" i="12"/>
  <c r="I201" i="12"/>
  <c r="H205" i="12"/>
  <c r="I40" i="12"/>
  <c r="H41" i="12"/>
  <c r="B200" i="1" l="1"/>
  <c r="I199" i="1"/>
  <c r="H205" i="1"/>
  <c r="H40" i="1"/>
  <c r="I39" i="1"/>
  <c r="I41" i="12"/>
  <c r="H42" i="12"/>
  <c r="H206" i="12"/>
  <c r="B202" i="12"/>
  <c r="I202" i="12"/>
  <c r="H206" i="1" l="1"/>
  <c r="I40" i="1"/>
  <c r="H41" i="1"/>
  <c r="B201" i="1"/>
  <c r="I200" i="1"/>
  <c r="B203" i="12"/>
  <c r="I203" i="12"/>
  <c r="H207" i="12"/>
  <c r="H43" i="12"/>
  <c r="I42" i="12"/>
  <c r="I41" i="1" l="1"/>
  <c r="H42" i="1"/>
  <c r="H207" i="1"/>
  <c r="B202" i="1"/>
  <c r="I201" i="1"/>
  <c r="B204" i="12"/>
  <c r="I204" i="12"/>
  <c r="I43" i="12"/>
  <c r="H44" i="12"/>
  <c r="H208" i="12"/>
  <c r="B203" i="1" l="1"/>
  <c r="I202" i="1"/>
  <c r="H208" i="1"/>
  <c r="I42" i="1"/>
  <c r="H43" i="1"/>
  <c r="H209" i="12"/>
  <c r="I44" i="12"/>
  <c r="H45" i="12"/>
  <c r="B205" i="12"/>
  <c r="I205" i="12"/>
  <c r="H209" i="1" l="1"/>
  <c r="H44" i="1"/>
  <c r="I43" i="1"/>
  <c r="B204" i="1"/>
  <c r="I203" i="1"/>
  <c r="B206" i="12"/>
  <c r="I206" i="12"/>
  <c r="I45" i="12"/>
  <c r="H46" i="12"/>
  <c r="H210" i="12"/>
  <c r="B205" i="1" l="1"/>
  <c r="I204" i="1"/>
  <c r="H45" i="1"/>
  <c r="I44" i="1"/>
  <c r="H210" i="1"/>
  <c r="H47" i="12"/>
  <c r="I46" i="12"/>
  <c r="H211" i="12"/>
  <c r="B207" i="12"/>
  <c r="I207" i="12"/>
  <c r="H46" i="1" l="1"/>
  <c r="I45" i="1"/>
  <c r="H211" i="1"/>
  <c r="B206" i="1"/>
  <c r="I205" i="1"/>
  <c r="H212" i="12"/>
  <c r="B208" i="12"/>
  <c r="I208" i="12"/>
  <c r="H48" i="12"/>
  <c r="I47" i="12"/>
  <c r="B207" i="1" l="1"/>
  <c r="I206" i="1"/>
  <c r="I46" i="1"/>
  <c r="H47" i="1"/>
  <c r="B209" i="12"/>
  <c r="I209" i="12"/>
  <c r="H49" i="12"/>
  <c r="I48" i="12"/>
  <c r="H213" i="12"/>
  <c r="H48" i="1" l="1"/>
  <c r="I47" i="1"/>
  <c r="B208" i="1"/>
  <c r="I207" i="1"/>
  <c r="H50" i="12"/>
  <c r="I49" i="12"/>
  <c r="B210" i="12"/>
  <c r="I210" i="12"/>
  <c r="B209" i="1" l="1"/>
  <c r="I208" i="1"/>
  <c r="I48" i="1"/>
  <c r="H49" i="1"/>
  <c r="B211" i="12"/>
  <c r="I211" i="12"/>
  <c r="I50" i="12"/>
  <c r="H51" i="12"/>
  <c r="H50" i="1" l="1"/>
  <c r="I49" i="1"/>
  <c r="B210" i="1"/>
  <c r="I209" i="1"/>
  <c r="I51" i="12"/>
  <c r="H52" i="12"/>
  <c r="B212" i="12"/>
  <c r="I213" i="12" s="1"/>
  <c r="I212" i="12"/>
  <c r="B211" i="1" l="1"/>
  <c r="I211" i="1" s="1"/>
  <c r="I210" i="1"/>
  <c r="I50" i="1"/>
  <c r="H51" i="1"/>
  <c r="H53" i="12"/>
  <c r="I52" i="12"/>
  <c r="H52" i="1" l="1"/>
  <c r="I51" i="1"/>
  <c r="I53" i="12"/>
  <c r="H54" i="12"/>
  <c r="I52" i="1" l="1"/>
  <c r="H53" i="1"/>
  <c r="H55" i="12"/>
  <c r="I54" i="12"/>
  <c r="I53" i="1" l="1"/>
  <c r="H54" i="1"/>
  <c r="H56" i="12"/>
  <c r="I55" i="12"/>
  <c r="H55" i="1" l="1"/>
  <c r="I54" i="1"/>
  <c r="I56" i="12"/>
  <c r="H57" i="12"/>
  <c r="I55" i="1" l="1"/>
  <c r="H56" i="1"/>
  <c r="H58" i="12"/>
  <c r="I57" i="12"/>
  <c r="H57" i="1" l="1"/>
  <c r="I56" i="1"/>
  <c r="I58" i="12"/>
  <c r="H59" i="12"/>
  <c r="I57" i="1" l="1"/>
  <c r="H58" i="1"/>
  <c r="I59" i="12"/>
  <c r="H60" i="12"/>
  <c r="I58" i="1" l="1"/>
  <c r="H59" i="1"/>
  <c r="H61" i="12"/>
  <c r="I60" i="12"/>
  <c r="I59" i="1" l="1"/>
  <c r="H60" i="1"/>
  <c r="I61" i="12"/>
  <c r="H62" i="12"/>
  <c r="H61" i="1" l="1"/>
  <c r="I60" i="1"/>
  <c r="H63" i="12"/>
  <c r="I62" i="12"/>
  <c r="I61" i="1" l="1"/>
  <c r="H62" i="1"/>
  <c r="H64" i="12"/>
  <c r="I63" i="12"/>
  <c r="H63" i="1" l="1"/>
  <c r="I62" i="1"/>
  <c r="I64" i="12"/>
  <c r="H65" i="12"/>
  <c r="I63" i="1" l="1"/>
  <c r="H64" i="1"/>
  <c r="H66" i="12"/>
  <c r="I65" i="12"/>
  <c r="H65" i="1" l="1"/>
  <c r="I64" i="1"/>
  <c r="I66" i="12"/>
  <c r="H67" i="12"/>
  <c r="I65" i="1" l="1"/>
  <c r="H66" i="1"/>
  <c r="I67" i="12"/>
  <c r="H68" i="12"/>
  <c r="H67" i="1" l="1"/>
  <c r="I66" i="1"/>
  <c r="H69" i="12"/>
  <c r="I68" i="12"/>
  <c r="I67" i="1" l="1"/>
  <c r="H68" i="1"/>
  <c r="I69" i="12"/>
  <c r="H70" i="12"/>
  <c r="H69" i="1" l="1"/>
  <c r="I68" i="1"/>
  <c r="H71" i="12"/>
  <c r="I70" i="12"/>
  <c r="I69" i="1" l="1"/>
  <c r="H70" i="1"/>
  <c r="H72" i="12"/>
  <c r="I71" i="12"/>
  <c r="H71" i="1" l="1"/>
  <c r="I70" i="1"/>
  <c r="I72" i="12"/>
  <c r="H73" i="12"/>
  <c r="I71" i="1" l="1"/>
  <c r="H72" i="1"/>
  <c r="H74" i="12"/>
  <c r="I73" i="12"/>
  <c r="H73" i="1" l="1"/>
  <c r="I72" i="1"/>
  <c r="I74" i="12"/>
  <c r="H75" i="12"/>
  <c r="I73" i="1" l="1"/>
  <c r="H74" i="1"/>
  <c r="I75" i="12"/>
  <c r="H76" i="12"/>
  <c r="H75" i="1" l="1"/>
  <c r="I74" i="1"/>
  <c r="H77" i="12"/>
  <c r="I76" i="12"/>
  <c r="I75" i="1" l="1"/>
  <c r="H76" i="1"/>
  <c r="I77" i="12"/>
  <c r="H78" i="12"/>
  <c r="H77" i="1" l="1"/>
  <c r="I76" i="1"/>
  <c r="H79" i="12"/>
  <c r="I78" i="12"/>
  <c r="H78" i="1" l="1"/>
  <c r="I77" i="1"/>
  <c r="H80" i="12"/>
  <c r="I79" i="12"/>
  <c r="H79" i="1" l="1"/>
  <c r="I78" i="1"/>
  <c r="I80" i="12"/>
  <c r="H81" i="12"/>
  <c r="H80" i="1" l="1"/>
  <c r="I79" i="1"/>
  <c r="H82" i="12"/>
  <c r="I81" i="12"/>
  <c r="I80" i="1" l="1"/>
  <c r="H81" i="1"/>
  <c r="I82" i="12"/>
  <c r="H83" i="12"/>
  <c r="H82" i="1" l="1"/>
  <c r="I81" i="1"/>
  <c r="I83" i="12"/>
  <c r="H84" i="12"/>
  <c r="I82" i="1" l="1"/>
  <c r="H83" i="1"/>
  <c r="H85" i="12"/>
  <c r="I84" i="12"/>
  <c r="I83" i="1" l="1"/>
  <c r="H84" i="1"/>
  <c r="I85" i="12"/>
  <c r="H86" i="12"/>
  <c r="I84" i="1" l="1"/>
  <c r="H85" i="1"/>
  <c r="H87" i="12"/>
  <c r="I86" i="12"/>
  <c r="H86" i="1" l="1"/>
  <c r="I85" i="1"/>
  <c r="H88" i="12"/>
  <c r="I87" i="12"/>
  <c r="I86" i="1" l="1"/>
  <c r="H87" i="1"/>
  <c r="I88" i="12"/>
  <c r="H89" i="12"/>
  <c r="H88" i="1" l="1"/>
  <c r="I87" i="1"/>
  <c r="H90" i="12"/>
  <c r="I89" i="12"/>
  <c r="H89" i="1" l="1"/>
  <c r="I88" i="1"/>
  <c r="I90" i="12"/>
  <c r="H91" i="12"/>
  <c r="H90" i="1" l="1"/>
  <c r="I89" i="1"/>
  <c r="I91" i="12"/>
  <c r="H92" i="12"/>
  <c r="I90" i="1" l="1"/>
  <c r="H91" i="1"/>
  <c r="H93" i="12"/>
  <c r="I92" i="12"/>
  <c r="I91" i="1" l="1"/>
  <c r="H92" i="1"/>
  <c r="I93" i="12"/>
  <c r="H94" i="12"/>
  <c r="H93" i="1" l="1"/>
  <c r="I92" i="1"/>
  <c r="H95" i="12"/>
  <c r="I94" i="12"/>
  <c r="H94" i="1" l="1"/>
  <c r="I93" i="1"/>
  <c r="H96" i="12"/>
  <c r="I95" i="12"/>
  <c r="H95" i="1" l="1"/>
  <c r="I94" i="1"/>
  <c r="I96" i="12"/>
  <c r="H97" i="12"/>
  <c r="H96" i="1" l="1"/>
  <c r="I95" i="1"/>
  <c r="H98" i="12"/>
  <c r="I97" i="12"/>
  <c r="I96" i="1" l="1"/>
  <c r="H97" i="1"/>
  <c r="I98" i="12"/>
  <c r="H99" i="12"/>
  <c r="I97" i="1" l="1"/>
  <c r="H98" i="1"/>
  <c r="I99" i="12"/>
  <c r="H100" i="12"/>
  <c r="H99" i="1" l="1"/>
  <c r="I98" i="1"/>
  <c r="H101" i="12"/>
  <c r="I100" i="12"/>
  <c r="I99" i="1" l="1"/>
  <c r="H100" i="1"/>
  <c r="I101" i="12"/>
  <c r="H102" i="12"/>
  <c r="I100" i="1" l="1"/>
  <c r="H101" i="1"/>
  <c r="H103" i="12"/>
  <c r="I102" i="12"/>
  <c r="I101" i="1" l="1"/>
  <c r="H102" i="1"/>
  <c r="H104" i="12"/>
  <c r="I103" i="12"/>
  <c r="I102" i="1" l="1"/>
  <c r="H103" i="1"/>
  <c r="I104" i="12"/>
  <c r="H105" i="12"/>
  <c r="I103" i="1" l="1"/>
  <c r="H104" i="1"/>
  <c r="H106" i="12"/>
  <c r="I105" i="12"/>
  <c r="I104" i="1" l="1"/>
  <c r="H105" i="1"/>
  <c r="I106" i="12"/>
  <c r="H107" i="12"/>
  <c r="I105" i="1" l="1"/>
  <c r="H106" i="1"/>
  <c r="I107" i="12"/>
  <c r="H108" i="12"/>
  <c r="H107" i="1" l="1"/>
  <c r="I106" i="1"/>
  <c r="H109" i="12"/>
  <c r="I108" i="12"/>
  <c r="I107" i="1" l="1"/>
  <c r="H108" i="1"/>
  <c r="I109" i="12"/>
  <c r="H110" i="12"/>
  <c r="I108" i="1" l="1"/>
  <c r="H109" i="1"/>
  <c r="H111" i="12"/>
  <c r="I110" i="12"/>
  <c r="I109" i="1" l="1"/>
  <c r="H110" i="1"/>
  <c r="H112" i="12"/>
  <c r="I111" i="12"/>
  <c r="I110" i="1" l="1"/>
  <c r="H111" i="1"/>
  <c r="I112" i="12"/>
  <c r="H113" i="12"/>
  <c r="I111" i="1" l="1"/>
  <c r="H112" i="1"/>
  <c r="H114" i="12"/>
  <c r="I113" i="12"/>
  <c r="I112" i="1" l="1"/>
  <c r="H113" i="1"/>
  <c r="I114" i="12"/>
  <c r="H115" i="12"/>
  <c r="I113" i="1" l="1"/>
  <c r="H114" i="1"/>
  <c r="I115" i="12"/>
  <c r="H116" i="12"/>
  <c r="I114" i="1" l="1"/>
  <c r="H115" i="1"/>
  <c r="H117" i="12"/>
  <c r="I116" i="12"/>
  <c r="I115" i="1" l="1"/>
  <c r="H116" i="1"/>
  <c r="I117" i="12"/>
  <c r="H118" i="12"/>
  <c r="I116" i="1" l="1"/>
  <c r="H117" i="1"/>
  <c r="H119" i="12"/>
  <c r="I118" i="12"/>
  <c r="H118" i="1" l="1"/>
  <c r="I117" i="1"/>
  <c r="H120" i="12"/>
  <c r="I119" i="12"/>
  <c r="I118" i="1" l="1"/>
  <c r="H119" i="1"/>
  <c r="I120" i="12"/>
  <c r="H121" i="12"/>
  <c r="H120" i="1" l="1"/>
  <c r="I119" i="1"/>
  <c r="H122" i="12"/>
  <c r="I121" i="12"/>
  <c r="H121" i="1" l="1"/>
  <c r="I120" i="1"/>
  <c r="I122" i="12"/>
  <c r="H123" i="12"/>
  <c r="I121" i="1" l="1"/>
  <c r="H122" i="1"/>
  <c r="I123" i="12"/>
  <c r="H124" i="12"/>
  <c r="I122" i="1" l="1"/>
  <c r="H123" i="1"/>
  <c r="H125" i="12"/>
  <c r="I124" i="12"/>
  <c r="H124" i="1" l="1"/>
  <c r="I123" i="1"/>
  <c r="I125" i="12"/>
  <c r="H126" i="12"/>
  <c r="I124" i="1" l="1"/>
  <c r="H125" i="1"/>
  <c r="H127" i="12"/>
  <c r="I126" i="12"/>
  <c r="H126" i="1" l="1"/>
  <c r="I125" i="1"/>
  <c r="H128" i="12"/>
  <c r="I127" i="12"/>
  <c r="H127" i="1" l="1"/>
  <c r="I126" i="1"/>
  <c r="I128" i="12"/>
  <c r="H129" i="12"/>
  <c r="I127" i="1" l="1"/>
  <c r="H128" i="1"/>
  <c r="H130" i="12"/>
  <c r="I129" i="12"/>
  <c r="I128" i="1" l="1"/>
  <c r="H129" i="1"/>
  <c r="I130" i="12"/>
  <c r="H131" i="12"/>
  <c r="H130" i="1" l="1"/>
  <c r="I129" i="1"/>
  <c r="I131" i="12"/>
  <c r="H132" i="12"/>
  <c r="I130" i="1" l="1"/>
  <c r="H131" i="1"/>
  <c r="H133" i="12"/>
  <c r="I132" i="12"/>
  <c r="H132" i="1" l="1"/>
  <c r="I131" i="1"/>
  <c r="I133" i="12"/>
  <c r="H134" i="12"/>
  <c r="H133" i="1" l="1"/>
  <c r="I132" i="1"/>
  <c r="H135" i="12"/>
  <c r="I134" i="12"/>
  <c r="I133" i="1" l="1"/>
  <c r="H134" i="1"/>
  <c r="H136" i="12"/>
  <c r="I135" i="12"/>
  <c r="H135" i="1" l="1"/>
  <c r="I134" i="1"/>
  <c r="I136" i="12"/>
  <c r="H137" i="12"/>
  <c r="H136" i="1" l="1"/>
  <c r="I135" i="1"/>
  <c r="H138" i="12"/>
  <c r="I137" i="12"/>
  <c r="I136" i="1" l="1"/>
  <c r="H137" i="1"/>
  <c r="I138" i="12"/>
  <c r="H139" i="12"/>
  <c r="I137" i="1" l="1"/>
  <c r="H138" i="1"/>
  <c r="I139" i="12"/>
  <c r="H140" i="12"/>
  <c r="H139" i="1" l="1"/>
  <c r="I138" i="1"/>
  <c r="H141" i="12"/>
  <c r="I140" i="12"/>
  <c r="H140" i="1" l="1"/>
  <c r="I139" i="1"/>
  <c r="I141" i="12"/>
  <c r="H142" i="12"/>
  <c r="I140" i="1" l="1"/>
  <c r="H141" i="1"/>
  <c r="H143" i="12"/>
  <c r="I142" i="12"/>
  <c r="H142" i="1" l="1"/>
  <c r="I141" i="1"/>
  <c r="H144" i="12"/>
  <c r="I143" i="12"/>
  <c r="I142" i="1" l="1"/>
  <c r="H143" i="1"/>
  <c r="I144" i="12"/>
  <c r="H145" i="12"/>
  <c r="I143" i="1" l="1"/>
  <c r="H144" i="1"/>
  <c r="H146" i="12"/>
  <c r="I145" i="12"/>
  <c r="H145" i="1" l="1"/>
  <c r="I144" i="1"/>
  <c r="I146" i="12"/>
  <c r="H147" i="12"/>
  <c r="I145" i="1" l="1"/>
  <c r="H146" i="1"/>
  <c r="H148" i="12"/>
  <c r="I147" i="12"/>
  <c r="I146" i="1" l="1"/>
  <c r="H147" i="1"/>
  <c r="H149" i="12"/>
  <c r="I148" i="12"/>
  <c r="H148" i="1" l="1"/>
  <c r="I147" i="1"/>
  <c r="I149" i="12"/>
  <c r="H150" i="12"/>
  <c r="H149" i="1" l="1"/>
  <c r="I148" i="1"/>
  <c r="H151" i="12"/>
  <c r="I150" i="12"/>
  <c r="I149" i="1" l="1"/>
  <c r="H150" i="1"/>
  <c r="I151" i="12"/>
  <c r="H152" i="12"/>
  <c r="H151" i="1" l="1"/>
  <c r="I150" i="1"/>
  <c r="I152" i="12"/>
  <c r="H153" i="12"/>
  <c r="H152" i="1" l="1"/>
  <c r="I151" i="1"/>
  <c r="H154" i="12"/>
  <c r="I153" i="12"/>
  <c r="H153" i="1" l="1"/>
  <c r="I152" i="1"/>
  <c r="I154" i="12"/>
  <c r="H155" i="12"/>
  <c r="H154" i="1" l="1"/>
  <c r="I153" i="1"/>
  <c r="H156" i="12"/>
  <c r="I155" i="12"/>
  <c r="I154" i="1" l="1"/>
  <c r="H155" i="1"/>
  <c r="H157" i="12"/>
  <c r="I156" i="12"/>
  <c r="I155" i="1" l="1"/>
  <c r="H156" i="1"/>
  <c r="I157" i="12"/>
  <c r="H158" i="12"/>
  <c r="I156" i="1" l="1"/>
  <c r="H157" i="1"/>
  <c r="H159" i="12"/>
  <c r="I158" i="12"/>
  <c r="I157" i="1" l="1"/>
  <c r="H158" i="1"/>
  <c r="I159" i="12"/>
  <c r="H160" i="12"/>
  <c r="I158" i="1" l="1"/>
  <c r="H159" i="1"/>
  <c r="I160" i="12"/>
  <c r="H161" i="12"/>
  <c r="I159" i="1" l="1"/>
  <c r="H160" i="1"/>
  <c r="H162" i="12"/>
  <c r="I161" i="12"/>
  <c r="I160" i="1" l="1"/>
  <c r="H161" i="1"/>
  <c r="I162" i="12"/>
  <c r="H163" i="12"/>
  <c r="I161" i="1" l="1"/>
  <c r="H162" i="1"/>
  <c r="H164" i="12"/>
  <c r="I163" i="12"/>
  <c r="I162" i="1" l="1"/>
  <c r="H163" i="1"/>
  <c r="H165" i="12"/>
  <c r="I164" i="12"/>
  <c r="I163" i="1" l="1"/>
  <c r="H164" i="1"/>
  <c r="I165" i="12"/>
  <c r="H166" i="12"/>
  <c r="I164" i="1" l="1"/>
  <c r="H165" i="1"/>
  <c r="H167" i="12"/>
  <c r="I166" i="12"/>
  <c r="H166" i="1" l="1"/>
  <c r="I166" i="1" s="1"/>
  <c r="I165" i="1"/>
  <c r="I167" i="12"/>
  <c r="H168" i="12"/>
  <c r="I168" i="12" s="1"/>
</calcChain>
</file>

<file path=xl/sharedStrings.xml><?xml version="1.0" encoding="utf-8"?>
<sst xmlns="http://schemas.openxmlformats.org/spreadsheetml/2006/main" count="4706" uniqueCount="2101">
  <si>
    <t>day</t>
  </si>
  <si>
    <t>DESTINATION</t>
  </si>
  <si>
    <t>LOCATION</t>
  </si>
  <si>
    <t>DAY MILAGE</t>
  </si>
  <si>
    <t>extra miles</t>
  </si>
  <si>
    <t>average</t>
  </si>
  <si>
    <t>Date</t>
  </si>
  <si>
    <t>Amicolola Falls SP</t>
  </si>
  <si>
    <t>Notes</t>
  </si>
  <si>
    <t>Springer Mtn</t>
  </si>
  <si>
    <t>Total milage</t>
  </si>
  <si>
    <t>Drop Number:</t>
  </si>
  <si>
    <t>Date to ship:</t>
  </si>
  <si>
    <t>Date to arrive:</t>
  </si>
  <si>
    <t>Postage:</t>
  </si>
  <si>
    <t>Mail to:</t>
  </si>
  <si>
    <t>Contents:</t>
  </si>
  <si>
    <t>Added stuff requested:</t>
  </si>
  <si>
    <t>notes</t>
  </si>
  <si>
    <t>Mail drops</t>
  </si>
  <si>
    <t>Re-supply</t>
  </si>
  <si>
    <t>hostels</t>
  </si>
  <si>
    <t>hotels</t>
  </si>
  <si>
    <t>eat out</t>
  </si>
  <si>
    <t>In town</t>
  </si>
  <si>
    <t>* Check Whiteblaze.net for details on PO's, hostels, shelters and other info.</t>
  </si>
  <si>
    <t>Food, maps (1, 2, 3)</t>
  </si>
  <si>
    <t>Hot spring.  Mail drop</t>
  </si>
  <si>
    <t>Next resupply</t>
  </si>
  <si>
    <t>Neels Gap</t>
  </si>
  <si>
    <t>Hot Spring</t>
  </si>
  <si>
    <t>Fontana Dam</t>
  </si>
  <si>
    <t>Wesser</t>
  </si>
  <si>
    <t>Hiawassee</t>
  </si>
  <si>
    <t>State</t>
  </si>
  <si>
    <t>Black Gap Shelter</t>
  </si>
  <si>
    <t>Springer Mountain Shelter</t>
  </si>
  <si>
    <t>Stover Creek Shelter</t>
  </si>
  <si>
    <t>Hawk Mountain Shelter</t>
  </si>
  <si>
    <t>Gooch Mountain Shelter</t>
  </si>
  <si>
    <t>Woods Hole Shelter</t>
  </si>
  <si>
    <t>Blood Mountain Shelter</t>
  </si>
  <si>
    <t>Whitley Gap Shelter</t>
  </si>
  <si>
    <t>Low Gap Shelter</t>
  </si>
  <si>
    <t>Blue Mountain Shelter</t>
  </si>
  <si>
    <t>Tray Mountain Shelter</t>
  </si>
  <si>
    <t>Deep Gap Shelter</t>
  </si>
  <si>
    <t>Muskrat Creek Shelter</t>
  </si>
  <si>
    <t>Standing Indian Shelter</t>
  </si>
  <si>
    <t>Rock Gap Shelter</t>
  </si>
  <si>
    <t>Cold Spring Shelter</t>
  </si>
  <si>
    <t>Wesser Bald Shelter</t>
  </si>
  <si>
    <t>Sassafras Gap Shelter</t>
  </si>
  <si>
    <t>Brown Fork Gap Shelter</t>
  </si>
  <si>
    <t>Cable Gap Shelter</t>
  </si>
  <si>
    <t>Fontana Dam Shelter</t>
  </si>
  <si>
    <t>Mollies Ridge Shelter</t>
  </si>
  <si>
    <t>Russell Field Shelter</t>
  </si>
  <si>
    <t>Spence Field Shelter</t>
  </si>
  <si>
    <t>Derrick Knob Shelter</t>
  </si>
  <si>
    <t>Double Spring Gap Shelter</t>
  </si>
  <si>
    <t>Mt. Collins Shelter</t>
  </si>
  <si>
    <t>Icewater Spring Shelter</t>
  </si>
  <si>
    <t>Pecks Corner Shelter</t>
  </si>
  <si>
    <t>Cosby Knob Shelter</t>
  </si>
  <si>
    <t>Davenport Gap Shelter</t>
  </si>
  <si>
    <t>Groundhog Creek Shelter</t>
  </si>
  <si>
    <t>Roaring Fork Shelter</t>
  </si>
  <si>
    <t>Walnut Mountain Shelter</t>
  </si>
  <si>
    <t>Deer Park Mountain Shelter</t>
  </si>
  <si>
    <t>Spring Mountain Shelter</t>
  </si>
  <si>
    <t>Little Laurel Shelter</t>
  </si>
  <si>
    <t>Flint Mountain Shelter</t>
  </si>
  <si>
    <t>Hogback Ridge Shelter</t>
  </si>
  <si>
    <t>Bald Mountain Shelter</t>
  </si>
  <si>
    <t>No Business Knob Shelter</t>
  </si>
  <si>
    <t>Curley Maple Gap Shelter</t>
  </si>
  <si>
    <t>Cherry Gap Shelter</t>
  </si>
  <si>
    <t>Clyde Smith Shelter</t>
  </si>
  <si>
    <t>Roan High Knob Shelter</t>
  </si>
  <si>
    <t>Stan Murray Shelter</t>
  </si>
  <si>
    <t>Overmountain Shelter</t>
  </si>
  <si>
    <t>Moreland Gap Shelter</t>
  </si>
  <si>
    <t>Laurel Fork Shelter</t>
  </si>
  <si>
    <t>Vandeventer Shelter</t>
  </si>
  <si>
    <t>Iron Mountain Shelter</t>
  </si>
  <si>
    <t>Double Springs Shelter</t>
  </si>
  <si>
    <t>Abingdon Gap Shelter</t>
  </si>
  <si>
    <t>Saunders Shelter</t>
  </si>
  <si>
    <t>Lost Mountain Shelter</t>
  </si>
  <si>
    <t>Thomas Knob Shelter</t>
  </si>
  <si>
    <t>Wise Shelter</t>
  </si>
  <si>
    <t>Old Orchard Shelter</t>
  </si>
  <si>
    <t>Trimpi Shelter</t>
  </si>
  <si>
    <t>Partnership Shelter</t>
  </si>
  <si>
    <t>Chatfield Shelter</t>
  </si>
  <si>
    <t>Knot Maul Branch Shelter</t>
  </si>
  <si>
    <t>Chestnut Knob Shelter</t>
  </si>
  <si>
    <t>Jenkins Shelter</t>
  </si>
  <si>
    <t>Helveys Mill Shelter</t>
  </si>
  <si>
    <t>Jenny Knob Shelter</t>
  </si>
  <si>
    <t>Wapiti Shelter</t>
  </si>
  <si>
    <t>Rice Field Shelter</t>
  </si>
  <si>
    <t>Bailey Gap Shelter</t>
  </si>
  <si>
    <t>War Spur Shelter</t>
  </si>
  <si>
    <t>Laurel Creek Shelter</t>
  </si>
  <si>
    <t>Sarver Hollow Shelter</t>
  </si>
  <si>
    <t>Niday Shelter</t>
  </si>
  <si>
    <t>Catawba Mountain Shelter</t>
  </si>
  <si>
    <t>Campbell Shelter</t>
  </si>
  <si>
    <t>Lamberts Meadow Shelter</t>
  </si>
  <si>
    <t>Fullhardt Knob Shelter</t>
  </si>
  <si>
    <t>Bobblets Gap Shelter</t>
  </si>
  <si>
    <t>Cove Mountain Shelter</t>
  </si>
  <si>
    <t>Bryant Ridge Shelter</t>
  </si>
  <si>
    <t>Cornelius Creek Shelter</t>
  </si>
  <si>
    <t>Thunder Hill Shelter</t>
  </si>
  <si>
    <t>Matts Creek Shelter</t>
  </si>
  <si>
    <t>Johns Hollow Shelter</t>
  </si>
  <si>
    <t>Punchbowl Shelter</t>
  </si>
  <si>
    <t>Brown Mountain Creek Shelter</t>
  </si>
  <si>
    <t>Seeley-Woodworth Shelter</t>
  </si>
  <si>
    <t>The Priest Shelter</t>
  </si>
  <si>
    <t>Harpers Creek Shelter</t>
  </si>
  <si>
    <t>Maupin Field Shelter</t>
  </si>
  <si>
    <t>Calf Mountain Shelter</t>
  </si>
  <si>
    <t>Blackrock Hut</t>
  </si>
  <si>
    <t>Pinefield Hut</t>
  </si>
  <si>
    <t>Hightop Hut</t>
  </si>
  <si>
    <t>Bearfence Mountain Hut</t>
  </si>
  <si>
    <t>Rock Spring Hut</t>
  </si>
  <si>
    <t>Pass Mountain Hut</t>
  </si>
  <si>
    <t>Gravel Springs Hut</t>
  </si>
  <si>
    <t>Manassas Gap Shelter</t>
  </si>
  <si>
    <t>Rod Hollow Shelter</t>
  </si>
  <si>
    <t>Sam Moore Shelter</t>
  </si>
  <si>
    <t>Ed Garvey Shelter</t>
  </si>
  <si>
    <t>Crampton Gap Shelter</t>
  </si>
  <si>
    <t>Rocky Run Shelter</t>
  </si>
  <si>
    <t>Pine Knob Shelter</t>
  </si>
  <si>
    <t>Devils Racecourse Shelter</t>
  </si>
  <si>
    <t>Antietam Shelter</t>
  </si>
  <si>
    <t>Rocky Mountain Shelters</t>
  </si>
  <si>
    <t>Quarry Gap Shelters</t>
  </si>
  <si>
    <t>Toms Run Shelters</t>
  </si>
  <si>
    <t>Alec Kennedy Shelter</t>
  </si>
  <si>
    <t>Darlington Shelter</t>
  </si>
  <si>
    <t>Clarks Ferry Shelter</t>
  </si>
  <si>
    <t>Peters Mountain Shelter</t>
  </si>
  <si>
    <t>Rausch Gap Shelter</t>
  </si>
  <si>
    <t>William Penn Shelter</t>
  </si>
  <si>
    <t>501 Shelter</t>
  </si>
  <si>
    <t>Eagles Nest Shelter</t>
  </si>
  <si>
    <t>Windsor Furnace Shelter</t>
  </si>
  <si>
    <t>Eckville Shelter</t>
  </si>
  <si>
    <t>Bake Oven Knob Shelter</t>
  </si>
  <si>
    <t>George W. Outerbridge Shelter</t>
  </si>
  <si>
    <t>Leroy A. Smith Shelter</t>
  </si>
  <si>
    <t>Kirkridge Shelter</t>
  </si>
  <si>
    <t>Brink Road Shelter</t>
  </si>
  <si>
    <t>Gren Anderson Shelter</t>
  </si>
  <si>
    <t>Mashipacong Shelter</t>
  </si>
  <si>
    <t>Rutherford Shelter</t>
  </si>
  <si>
    <t>High Point Shelter</t>
  </si>
  <si>
    <t>Pochuck Mountain Shelter</t>
  </si>
  <si>
    <t>Wawayanda Shelter</t>
  </si>
  <si>
    <t>Wildcat Shelter</t>
  </si>
  <si>
    <t>Fingerboard Shelter</t>
  </si>
  <si>
    <t>William Brien Memorial Shelter</t>
  </si>
  <si>
    <t>West Mountain Shelter</t>
  </si>
  <si>
    <t>RPH Shelter</t>
  </si>
  <si>
    <t>Telephone Pioneers Shelter</t>
  </si>
  <si>
    <t>Wiley Shelter</t>
  </si>
  <si>
    <t>Ten Mile River Lean-to</t>
  </si>
  <si>
    <t>Mt. Algo Lean-to</t>
  </si>
  <si>
    <t>Stewart Hollow Brook Lean-to</t>
  </si>
  <si>
    <t>Pine Swamp Brook Lean-to</t>
  </si>
  <si>
    <t>Limestone Spring Lean-to</t>
  </si>
  <si>
    <t>Riga Lean-to</t>
  </si>
  <si>
    <t>Brassie Brook Lean-to</t>
  </si>
  <si>
    <t>Glen Brook Lean-to</t>
  </si>
  <si>
    <t>Tom Leonard Lean-to</t>
  </si>
  <si>
    <t>Mt. Wilcox North Lean-to</t>
  </si>
  <si>
    <t>Upper Goose Pond Cabin</t>
  </si>
  <si>
    <t>October Mountain Lean-to</t>
  </si>
  <si>
    <t>Kay Wood Lean-to</t>
  </si>
  <si>
    <t>Bascom Lodge</t>
  </si>
  <si>
    <t>Wilbur Clearing Lean-to</t>
  </si>
  <si>
    <t>Seth Warner Shelter</t>
  </si>
  <si>
    <t>Congdon Shelter</t>
  </si>
  <si>
    <t>Melville Nauheim Shelter</t>
  </si>
  <si>
    <t>Goddard Shelter</t>
  </si>
  <si>
    <t>Story Spring Shelter</t>
  </si>
  <si>
    <t>Stratton Pond Shelter</t>
  </si>
  <si>
    <t>William B. Douglas Shelter</t>
  </si>
  <si>
    <t>Spruce Peak Shelter</t>
  </si>
  <si>
    <t>Bromley Shelter</t>
  </si>
  <si>
    <t>Peru Peak Shelter</t>
  </si>
  <si>
    <t>Lost Pond Shelter</t>
  </si>
  <si>
    <t>Old Job Shelter</t>
  </si>
  <si>
    <t>Big Branch Shelter</t>
  </si>
  <si>
    <t>Lula Tye Shelter</t>
  </si>
  <si>
    <t>Greenwall Shelter</t>
  </si>
  <si>
    <t>Minerva Hinchey Shelter</t>
  </si>
  <si>
    <t>Governor Clement Shelter</t>
  </si>
  <si>
    <t>Cooper Lodge</t>
  </si>
  <si>
    <t>Churchill Scott Shelter</t>
  </si>
  <si>
    <t>Gifford Woods State Park</t>
  </si>
  <si>
    <t>Stony Brook Shelter</t>
  </si>
  <si>
    <t>Wintturi Shelter</t>
  </si>
  <si>
    <t>Thistle Hill Shelter</t>
  </si>
  <si>
    <t>Happy Hill Shelter</t>
  </si>
  <si>
    <t>Velvet Rocks Shelter</t>
  </si>
  <si>
    <t>Moose Mountain Shelter</t>
  </si>
  <si>
    <t>Trapper John Shelter</t>
  </si>
  <si>
    <t>Hexacuba Shelter</t>
  </si>
  <si>
    <t>Jeffers Brook Shelter</t>
  </si>
  <si>
    <t>Beaver Brook Shelter</t>
  </si>
  <si>
    <t>Lonesome Lake Hut</t>
  </si>
  <si>
    <t>Galehead Hut</t>
  </si>
  <si>
    <t>Zealand Falls Hut</t>
  </si>
  <si>
    <t>The Perch Shelter</t>
  </si>
  <si>
    <t>Carter Notch Hut</t>
  </si>
  <si>
    <t>Rattle River Shelter</t>
  </si>
  <si>
    <t>Carlo Col Shelter</t>
  </si>
  <si>
    <t>Baldpate Lean-to</t>
  </si>
  <si>
    <t>Frye Notch Lean-to</t>
  </si>
  <si>
    <t>Hall Mountain Lean-to</t>
  </si>
  <si>
    <t>Bemis Mountain Lean-to</t>
  </si>
  <si>
    <t>Sabbath Day Pond Lean-to</t>
  </si>
  <si>
    <t>Piazza Rock Lean-to</t>
  </si>
  <si>
    <t>Spaulding Mountain Lean-to</t>
  </si>
  <si>
    <t>Horns Pond Lean-tos</t>
  </si>
  <si>
    <t>Little Bigelow Lean-to</t>
  </si>
  <si>
    <t>West Carry Pond Lean-to</t>
  </si>
  <si>
    <t>Pierce Pond Lean-to</t>
  </si>
  <si>
    <t>Pleasant Pond Lean-to</t>
  </si>
  <si>
    <t>Bald Mountain Brook Lean-to</t>
  </si>
  <si>
    <t>Horseshoe Canyon Lean-to</t>
  </si>
  <si>
    <t>Leeman Brook Lean-to</t>
  </si>
  <si>
    <t>Wilson Valley Lean-to</t>
  </si>
  <si>
    <t>Long Pond Stream Lean-to</t>
  </si>
  <si>
    <t>Cloud Pond Lean-to</t>
  </si>
  <si>
    <t>Chairback Gap Lean-to</t>
  </si>
  <si>
    <t>Carl A. Newhall Lean-to</t>
  </si>
  <si>
    <t>Logan Brook Lean-to</t>
  </si>
  <si>
    <t>Cooper Brook Falls Lean-to</t>
  </si>
  <si>
    <t>Potaywadjo Spring Lean-to</t>
  </si>
  <si>
    <t>Wadleigh Stream Lean-to</t>
  </si>
  <si>
    <t>Rainbow Stream Lean-to</t>
  </si>
  <si>
    <t>Hurd Brook Lean-to</t>
  </si>
  <si>
    <t>Blood Mt Shelter 28.1mi</t>
  </si>
  <si>
    <t>Erwin</t>
  </si>
  <si>
    <t>Kincora Hostel</t>
  </si>
  <si>
    <t>Damascus</t>
  </si>
  <si>
    <t>Atkins</t>
  </si>
  <si>
    <t>Pearisburg</t>
  </si>
  <si>
    <t>Daleville/Troutville</t>
  </si>
  <si>
    <t>Waynesboro</t>
  </si>
  <si>
    <t>Front Royal (buy) or Linden (maildrop)</t>
  </si>
  <si>
    <t>Harpers Ferry</t>
  </si>
  <si>
    <t>Duncannon</t>
  </si>
  <si>
    <t>Port Clinton</t>
  </si>
  <si>
    <t>Bear Mountain</t>
  </si>
  <si>
    <t>Salisbury</t>
  </si>
  <si>
    <t>Dalton</t>
  </si>
  <si>
    <t>Chesire</t>
  </si>
  <si>
    <t>Manchester Center</t>
  </si>
  <si>
    <t>Hanover</t>
  </si>
  <si>
    <t>Glencliff</t>
  </si>
  <si>
    <t>Gorham</t>
  </si>
  <si>
    <t>Andover</t>
  </si>
  <si>
    <t>Stratton</t>
  </si>
  <si>
    <t>Abol Bridge</t>
  </si>
  <si>
    <t>Baxter State Park</t>
  </si>
  <si>
    <t>Total Days</t>
  </si>
  <si>
    <t>Carter Gap Shelters</t>
  </si>
  <si>
    <t>Hawk Mt Shelter at 7.6mi. Gooch Mt Shelter 14.9</t>
  </si>
  <si>
    <t>Sassafras Mt 10.7mi</t>
  </si>
  <si>
    <t>Wine Spring Bald</t>
  </si>
  <si>
    <t>Wesser Blad Shelter</t>
  </si>
  <si>
    <t>Sleep at shelter after re-supply</t>
  </si>
  <si>
    <t>Below are recommended re-supply points</t>
  </si>
  <si>
    <t>http://www.whiteblaze.net/forum/showthread.php?p=22959#post22959</t>
  </si>
  <si>
    <t>***** START HERE *****</t>
  </si>
  <si>
    <t>obtain permit for Smoky's</t>
  </si>
  <si>
    <t>Russel Ridge Shelter</t>
  </si>
  <si>
    <t>Siler's Blad Shelter</t>
  </si>
  <si>
    <t>Clingmans Dome</t>
  </si>
  <si>
    <t>Mt Collins Shelter</t>
  </si>
  <si>
    <t>Tri-Corner Knob Shelter</t>
  </si>
  <si>
    <t>Cosby Knob shelter</t>
  </si>
  <si>
    <t>Mt Cammerer Side trail (Fire tower)</t>
  </si>
  <si>
    <t>Mountain Momma's</t>
  </si>
  <si>
    <t>GSMNP shelters</t>
  </si>
  <si>
    <t>see GSMNP on right</t>
  </si>
  <si>
    <t>must stay in shelters</t>
  </si>
  <si>
    <t>GSMNP estimates</t>
  </si>
  <si>
    <t>*** estimate mail drops only ***</t>
  </si>
  <si>
    <t>Zero Day</t>
  </si>
  <si>
    <t>Zero Day in Hot Springs</t>
  </si>
  <si>
    <t>Derrick Knob shelter</t>
  </si>
  <si>
    <t>Standing Bear Farm(237.3) $15 - holds mail drops</t>
  </si>
  <si>
    <t>Big Island, VA 24526</t>
  </si>
  <si>
    <t>Hiawassee, GA</t>
  </si>
  <si>
    <t>Nantahala Outdoor Center</t>
  </si>
  <si>
    <t>Wesser, NC</t>
  </si>
  <si>
    <t>Fontanna Dam, NC</t>
  </si>
  <si>
    <t>Hot Springs, NC</t>
  </si>
  <si>
    <t>Erwin, TN</t>
  </si>
  <si>
    <t>Damascus, VA</t>
  </si>
  <si>
    <t>Pearisburg, VA</t>
  </si>
  <si>
    <t>Harpers Ferry, WV</t>
  </si>
  <si>
    <t>Duncannon, PA</t>
  </si>
  <si>
    <t>Port Clinton, PA</t>
  </si>
  <si>
    <t>Palmerton, PA</t>
  </si>
  <si>
    <t>Delaware Water Gap, PA</t>
  </si>
  <si>
    <t>Unionville, NY</t>
  </si>
  <si>
    <t>Vernon, NJ</t>
  </si>
  <si>
    <t>Glencliff, NH</t>
  </si>
  <si>
    <t>North Woodstock, NH</t>
  </si>
  <si>
    <t>Gorham, NH</t>
  </si>
  <si>
    <t>Andover, ME</t>
  </si>
  <si>
    <t>Rangeley, ME</t>
  </si>
  <si>
    <t>Stratton, ME</t>
  </si>
  <si>
    <t>Monson, ME</t>
  </si>
  <si>
    <t>Millinocket, ME</t>
  </si>
  <si>
    <t>? 1331 - Unionville, NY 10958</t>
  </si>
  <si>
    <t>? 1477 - Falls Village, CT 06031</t>
  </si>
  <si>
    <t>Trail Days - 1st weekend after mothers day</t>
  </si>
  <si>
    <t>http://www.traildays.info/</t>
  </si>
  <si>
    <t>Linden</t>
  </si>
  <si>
    <t>Ping Grove Furnace</t>
  </si>
  <si>
    <t>Meet Family/Friends</t>
  </si>
  <si>
    <t>Alec Kenedy Shelter</t>
  </si>
  <si>
    <t>Delaware Water Gap</t>
  </si>
  <si>
    <t>Vernon</t>
  </si>
  <si>
    <t>Unionville</t>
  </si>
  <si>
    <t>Kent (1452)  Skip?</t>
  </si>
  <si>
    <t>Kent</t>
  </si>
  <si>
    <t>North Adams</t>
  </si>
  <si>
    <t>North WoodStock</t>
  </si>
  <si>
    <t>Northern terminus</t>
  </si>
  <si>
    <t>Roan Mountain (Elk Park 385.5))</t>
  </si>
  <si>
    <t>Color Coding</t>
  </si>
  <si>
    <t>Monson</t>
  </si>
  <si>
    <t>resuppybook20007.pdf</t>
  </si>
  <si>
    <t>shelters.html</t>
  </si>
  <si>
    <t>Itinerary.doc - resupply (determine PO)</t>
  </si>
  <si>
    <t>WarrenBook.pdf - Post Office recommendatiaons</t>
  </si>
  <si>
    <t>Caratunk, ME 04925</t>
  </si>
  <si>
    <t>Manchester Center, VT</t>
  </si>
  <si>
    <t>Kent, CT</t>
  </si>
  <si>
    <t xml:space="preserve">Delaware Water Gap, PA </t>
  </si>
  <si>
    <t>Clinton, PA</t>
  </si>
  <si>
    <t>Duncanon, PA</t>
  </si>
  <si>
    <t>Harpers Ferry, VA</t>
  </si>
  <si>
    <t>Waynesboro, VA</t>
  </si>
  <si>
    <t xml:space="preserve">Damascus, VA </t>
  </si>
  <si>
    <t xml:space="preserve">Linden, VA </t>
  </si>
  <si>
    <t>example.xls - mail drops</t>
  </si>
  <si>
    <t>Kincora Hostel. Mail Drop. Spend the night</t>
  </si>
  <si>
    <t>Atkins.  Mail Drop at motel</t>
  </si>
  <si>
    <t>Daleville/Troutville - Kroger near trail</t>
  </si>
  <si>
    <t>Waynesboro (Kroger nearby)</t>
  </si>
  <si>
    <t>Harpers Ferry (Mail drop at ATC)</t>
  </si>
  <si>
    <t>Boiling Springs (1107.6) (Mail Drop at PO)</t>
  </si>
  <si>
    <t>Duncannon (Mail drop at PO)</t>
  </si>
  <si>
    <t>Port Clinton (Mail Drop at PO)</t>
  </si>
  <si>
    <t>Delaware Water Gap (Mail Drop at PO)</t>
  </si>
  <si>
    <t>Vernon (1342) Church hostel. Supermarket</t>
  </si>
  <si>
    <t>Bear Mountain (6 to Salisbury) (Maildrop at PO)</t>
  </si>
  <si>
    <t>Andover  (Maildrop at PO)</t>
  </si>
  <si>
    <t>(2023.4 Caratunk Mail Drop)</t>
  </si>
  <si>
    <t>resupply points</t>
  </si>
  <si>
    <t>http://www.whiteblaze.net/index.php?page=postoffices</t>
  </si>
  <si>
    <t>http://www.whiteblaze.net/forum/showthread.php?p=95199&amp;postcount=1</t>
  </si>
  <si>
    <t>hostel.html</t>
  </si>
  <si>
    <t>Mountain Momma's ( 234.9)</t>
  </si>
  <si>
    <r>
      <t xml:space="preserve">Fontana Dam PO 2mi W.  </t>
    </r>
    <r>
      <rPr>
        <sz val="10"/>
        <color indexed="53"/>
        <rFont val="Arial"/>
        <family val="2"/>
      </rPr>
      <t>Mail drop</t>
    </r>
  </si>
  <si>
    <r>
      <t xml:space="preserve">Mail Drop  3.8 miles to town </t>
    </r>
    <r>
      <rPr>
        <sz val="10"/>
        <color indexed="53"/>
        <rFont val="Arial"/>
        <family val="2"/>
      </rPr>
      <t>(Erwin, TN)</t>
    </r>
  </si>
  <si>
    <t>Nantahala Outdoor Center (NOC) Post Office closes at noon on Saturday. Purchase food.$14pp.  Maild drop at NOC</t>
  </si>
  <si>
    <t>Neels Gap (Walasi-Yi) $18 - accepts mail-drop $$ good selection of food</t>
  </si>
  <si>
    <t>Bland</t>
  </si>
  <si>
    <t>Dismal Falls, wonderful place to camp and swim</t>
  </si>
  <si>
    <t>VA311, hitch to Catawba, market and Post Office</t>
  </si>
  <si>
    <t>Hiawassee (Dick's Creek Gap) - hitch to town to get supplies.  Poteats hold mail for over night guests ($17pp) aka Blueberry Patch (3.5 mi).</t>
  </si>
  <si>
    <t>Dick''s Creek Gap</t>
  </si>
  <si>
    <t>Daleville</t>
  </si>
  <si>
    <t>Glasgow</t>
  </si>
  <si>
    <t>Linden, 522 crossing</t>
  </si>
  <si>
    <t>Port clinton</t>
  </si>
  <si>
    <t>DWG church hostel</t>
  </si>
  <si>
    <t>Pearisburg (church hostel)</t>
  </si>
  <si>
    <t>Dickey Gap(church hostel) to Troutdale</t>
  </si>
  <si>
    <t>Rockfish Gap (church hostel)</t>
  </si>
  <si>
    <t>Duncannon (Oterbein UMC)</t>
  </si>
  <si>
    <t>Unionville Post Office</t>
  </si>
  <si>
    <t>Vernon (church hostel)</t>
  </si>
  <si>
    <t>ship winter gear for White Mountains</t>
  </si>
  <si>
    <t>PO may be closed</t>
  </si>
  <si>
    <t>Cheshire</t>
  </si>
  <si>
    <t>N. Woodstock</t>
  </si>
  <si>
    <t>Rangeley</t>
  </si>
  <si>
    <t>Stranton</t>
  </si>
  <si>
    <t>Caratunk</t>
  </si>
  <si>
    <t>Monoson</t>
  </si>
  <si>
    <t>Katahdin Campground (crowded on weekends)</t>
  </si>
  <si>
    <t>(D) Warren Doyle recommended</t>
  </si>
  <si>
    <t>(PO #miles) PO followed by number of miles off trail</t>
  </si>
  <si>
    <t>(PO) PO on trail</t>
  </si>
  <si>
    <t>Neel's Gap, GA - 30.5 (Walasi-Yi accepts mail drops)</t>
  </si>
  <si>
    <t>NOC, NC - 133.9 (accepts mail-drops)</t>
  </si>
  <si>
    <t>Hot Spring, NC (D) - 270.7 (PO)</t>
  </si>
  <si>
    <t>Damascus, VA (D) - 459.5 (PO)</t>
  </si>
  <si>
    <t>Pearisburg, VA - 622.1 (PO)</t>
  </si>
  <si>
    <t>Daleville.VA (D) - 715.5 (PO)</t>
  </si>
  <si>
    <t>Linden, VA - 961.8 (PO)</t>
  </si>
  <si>
    <t>Harpers Ferry, WV (D) - 1008.8 (PO)</t>
  </si>
  <si>
    <t>-Hiawassee, GA (D) - 66.6 (Hitch to town 3.5m)</t>
  </si>
  <si>
    <t>-Fontana Dam, NC (D) - 161.5 (PO 2 mi)</t>
  </si>
  <si>
    <t>-Erwin, TN (D) - 338.7 (PO 3.8 mi)</t>
  </si>
  <si>
    <t>-Kincora, TN - 433.5 (Hostel Spend night, Mail Drop)</t>
  </si>
  <si>
    <t>-Atkins, VA - 534.8 ( PO 3.2 mi)</t>
  </si>
  <si>
    <t>-Waynesboro, VA - 848.4 (PO 4.5 mi)</t>
  </si>
  <si>
    <t>Duncannon, PA (D) - 1133.2 (PO)</t>
  </si>
  <si>
    <t>Port Clinton, PA (D) - 1203.2 (PO)</t>
  </si>
  <si>
    <t>PostOffices.html (POs.txt)</t>
  </si>
  <si>
    <t>shelters.html, hostel.html</t>
  </si>
  <si>
    <t>14 mail drops to this point. (leave trail 6 times)</t>
  </si>
  <si>
    <t>16 mail drops going north. (leave trail 4 times)</t>
  </si>
  <si>
    <t>DWG, PA (D) - 1279.5 (PO)</t>
  </si>
  <si>
    <t>-Vernon, NJ - 1342.8 (PO 2.4 mi) Church Hostel, supermarket</t>
  </si>
  <si>
    <t>Bear Mountain, NY - 1387.8 (PO)</t>
  </si>
  <si>
    <t>Falls Village, CT (D) - 1477.3 (PO)</t>
  </si>
  <si>
    <t>Cheshire, MA (D) - 1563.6 (PO)</t>
  </si>
  <si>
    <t>-Manchester Center, VT (D) - 1636.8 (PO 5.5 mi)</t>
  </si>
  <si>
    <t>*** Ship winter Gear for Whites ***</t>
  </si>
  <si>
    <t>Hanover, NH (D) - 1732.7 (PO)</t>
  </si>
  <si>
    <t>Glencliff, NH - 1776.1 (PO)</t>
  </si>
  <si>
    <t>-North Woodstock, NH - 1801.9 (PO 5.8 mi)</t>
  </si>
  <si>
    <t>-Gorham (D) - 1876.7 (PO 3.6 mi)</t>
  </si>
  <si>
    <t>Strantton (D)</t>
  </si>
  <si>
    <t>Monson (D)</t>
  </si>
  <si>
    <t>- off trail</t>
  </si>
  <si>
    <t>Fontanna Dam Shelter PO 2 mi</t>
  </si>
  <si>
    <t>PO 3.8 mi</t>
  </si>
  <si>
    <t>Hostel Spend night, Mail Drop</t>
  </si>
  <si>
    <t>PO 3.2 mi</t>
  </si>
  <si>
    <t>PO 4.5 mi</t>
  </si>
  <si>
    <t>(PO 2.4 mi) Church Hostel, supermarket</t>
  </si>
  <si>
    <t>PO 5.5 mi</t>
  </si>
  <si>
    <t>Hanover, NH</t>
  </si>
  <si>
    <t>Pine Grove Furnace, Meet with family and friends</t>
  </si>
  <si>
    <t>Personal delivery</t>
  </si>
  <si>
    <t>PO 5.8 mi</t>
  </si>
  <si>
    <t>PO 3.6 mi</t>
  </si>
  <si>
    <t xml:space="preserve"> Pine Grove Furnace - Meet Family and Friends (resupply #15)</t>
  </si>
  <si>
    <t>Chesire, MA (Maildrop at PO on AT)</t>
  </si>
  <si>
    <t>Noth Adams, MA - skip</t>
  </si>
  <si>
    <t>Dalton, MA - skip</t>
  </si>
  <si>
    <t>Salisbury, CT --&gt;Skip</t>
  </si>
  <si>
    <t>Manchester Center, VT (Maildrop)</t>
  </si>
  <si>
    <t>Glencliff, NH (Mail drop at PO or Hostel)</t>
  </si>
  <si>
    <t>Gorham, NH (via Pinkham Notch) MailDrop</t>
  </si>
  <si>
    <t>Strantton, ME</t>
  </si>
  <si>
    <t>Abol Bridge, ME</t>
  </si>
  <si>
    <t>Monson, ME (100 mile wilderness) (Maildrop at PO)</t>
  </si>
  <si>
    <t>Food, maps (1, 2, 3), Winter gear</t>
  </si>
  <si>
    <t>accepts mail drops</t>
  </si>
  <si>
    <t>Location</t>
  </si>
  <si>
    <t>Website</t>
  </si>
  <si>
    <t>Miles</t>
  </si>
  <si>
    <t>S-N</t>
  </si>
  <si>
    <t>N-S</t>
  </si>
  <si>
    <t>M-O-T</t>
  </si>
  <si>
    <t>Services</t>
  </si>
  <si>
    <t>Delivery</t>
  </si>
  <si>
    <t>Miles north</t>
  </si>
  <si>
    <t>Miles south</t>
  </si>
  <si>
    <t>Springer Mountain</t>
  </si>
  <si>
    <t>www</t>
  </si>
  <si>
    <t>--</t>
  </si>
  <si>
    <t>*</t>
  </si>
  <si>
    <t>''</t>
  </si>
  <si>
    <t>"</t>
  </si>
  <si>
    <t>Hampton, TN</t>
  </si>
  <si>
    <t>Georgia-North Carolina-Tennessee</t>
  </si>
  <si>
    <t>Suches, GA</t>
  </si>
  <si>
    <t>P, g, C, cl, S, I,</t>
  </si>
  <si>
    <t>USPS</t>
  </si>
  <si>
    <t>Helen, GA</t>
  </si>
  <si>
    <t>P, G, M, L, I,</t>
  </si>
  <si>
    <r>
      <t>All, </t>
    </r>
    <r>
      <rPr>
        <u/>
        <sz val="10"/>
        <color theme="10"/>
        <rFont val="Arial"/>
        <family val="2"/>
      </rPr>
      <t>drop</t>
    </r>
  </si>
  <si>
    <t>Franklin, NC</t>
  </si>
  <si>
    <r>
      <t>All, </t>
    </r>
    <r>
      <rPr>
        <u/>
        <sz val="10"/>
        <color theme="10"/>
        <rFont val="Arial"/>
        <family val="2"/>
      </rPr>
      <t>Hostels</t>
    </r>
  </si>
  <si>
    <t>Bryson City, NC</t>
  </si>
  <si>
    <r>
      <t>P, G, M, L, I, $, </t>
    </r>
    <r>
      <rPr>
        <u/>
        <sz val="10"/>
        <color theme="10"/>
        <rFont val="Arial"/>
        <family val="2"/>
      </rPr>
      <t>drop</t>
    </r>
  </si>
  <si>
    <t>Fontana Village, NC</t>
  </si>
  <si>
    <t>P, g, M, L, hostel</t>
  </si>
  <si>
    <t>Gatlinburg, TN</t>
  </si>
  <si>
    <r>
      <t>All, </t>
    </r>
    <r>
      <rPr>
        <sz val="12"/>
        <color rgb="FF666666"/>
        <rFont val="Open Sans"/>
        <family val="2"/>
      </rPr>
      <t>hostels, drop</t>
    </r>
  </si>
  <si>
    <r>
      <t>P, G, L, cl, C, I, $, </t>
    </r>
    <r>
      <rPr>
        <u/>
        <sz val="10"/>
        <color theme="10"/>
        <rFont val="Arial"/>
        <family val="2"/>
      </rPr>
      <t>hostel</t>
    </r>
  </si>
  <si>
    <t>Roan Mountain, TN</t>
  </si>
  <si>
    <r>
      <t>P, M, g, $, </t>
    </r>
    <r>
      <rPr>
        <u/>
        <sz val="10"/>
        <color theme="10"/>
        <rFont val="Arial"/>
        <family val="2"/>
      </rPr>
      <t>hostel</t>
    </r>
  </si>
  <si>
    <t>Elk Park, NC</t>
  </si>
  <si>
    <t>P, M, g</t>
  </si>
  <si>
    <r>
      <t>P, M, G, L, $, </t>
    </r>
    <r>
      <rPr>
        <u/>
        <sz val="10"/>
        <color theme="10"/>
        <rFont val="Arial"/>
        <family val="2"/>
      </rPr>
      <t>hostel, drop</t>
    </r>
  </si>
  <si>
    <t>Shady Valley, TN</t>
  </si>
  <si>
    <t>Virginia-West Virginia</t>
  </si>
  <si>
    <r>
      <t>All, </t>
    </r>
    <r>
      <rPr>
        <sz val="12"/>
        <color rgb="FF008BAE"/>
        <rFont val="Open Sans"/>
        <family val="2"/>
      </rPr>
      <t>hostels, </t>
    </r>
    <r>
      <rPr>
        <sz val="12"/>
        <color rgb="FF666666"/>
        <rFont val="Open Sans"/>
        <family val="2"/>
      </rPr>
      <t>drop</t>
    </r>
  </si>
  <si>
    <t>Troutdale, VA</t>
  </si>
  <si>
    <r>
      <t>P, </t>
    </r>
    <r>
      <rPr>
        <sz val="12"/>
        <color rgb="FF008BAE"/>
        <rFont val="Open Sans"/>
        <family val="2"/>
      </rPr>
      <t>hostel</t>
    </r>
  </si>
  <si>
    <t>Atkins, VA</t>
  </si>
  <si>
    <t>P, M, G, L</t>
  </si>
  <si>
    <t>Bland, VA</t>
  </si>
  <si>
    <t>P, M, G, L, cl, I, $</t>
  </si>
  <si>
    <r>
      <t>P, M, G, L, cl, I, $, </t>
    </r>
    <r>
      <rPr>
        <sz val="12"/>
        <color rgb="FF008BAE"/>
        <rFont val="Open Sans"/>
        <family val="2"/>
      </rPr>
      <t>hostel, </t>
    </r>
    <r>
      <rPr>
        <sz val="12"/>
        <color rgb="FF666666"/>
        <rFont val="Open Sans"/>
        <family val="2"/>
      </rPr>
      <t>drops</t>
    </r>
  </si>
  <si>
    <t>Catawba, VA</t>
  </si>
  <si>
    <r>
      <t>P, M, </t>
    </r>
    <r>
      <rPr>
        <u/>
        <sz val="10"/>
        <color theme="10"/>
        <rFont val="Arial"/>
        <family val="2"/>
      </rPr>
      <t>hostel</t>
    </r>
  </si>
  <si>
    <t>Daleville, VA</t>
  </si>
  <si>
    <r>
      <t>P, M, G, L, I, $, </t>
    </r>
    <r>
      <rPr>
        <u/>
        <sz val="10"/>
        <color theme="10"/>
        <rFont val="Arial"/>
        <family val="2"/>
      </rPr>
      <t>drop</t>
    </r>
  </si>
  <si>
    <t>Troutville, VA</t>
  </si>
  <si>
    <r>
      <t>P, g, </t>
    </r>
    <r>
      <rPr>
        <u/>
        <sz val="10"/>
        <color theme="10"/>
        <rFont val="Arial"/>
        <family val="2"/>
      </rPr>
      <t>drop</t>
    </r>
  </si>
  <si>
    <t>Big Island, VA</t>
  </si>
  <si>
    <t>P, M, G, cl, S</t>
  </si>
  <si>
    <t>Glasgow, VA</t>
  </si>
  <si>
    <t>P, M, G, L, C, cl</t>
  </si>
  <si>
    <t>Buena Vista, VA</t>
  </si>
  <si>
    <t>Montebello, VA</t>
  </si>
  <si>
    <t>P, M, g, L, C, cl, S</t>
  </si>
  <si>
    <t>All</t>
  </si>
  <si>
    <t>Luray, VA</t>
  </si>
  <si>
    <t>Front Royal, VA</t>
  </si>
  <si>
    <t>Linden, VA</t>
  </si>
  <si>
    <t>www </t>
  </si>
  <si>
    <r>
      <t>P, M, g, L, $, </t>
    </r>
    <r>
      <rPr>
        <u/>
        <sz val="10"/>
        <color theme="10"/>
        <rFont val="Arial"/>
        <family val="2"/>
      </rPr>
      <t>hostels</t>
    </r>
  </si>
  <si>
    <t>Mid-Atlantic</t>
  </si>
  <si>
    <t>Smithsburg, MD</t>
  </si>
  <si>
    <t>P, M, G, cl, I</t>
  </si>
  <si>
    <t>Cascade, MD</t>
  </si>
  <si>
    <t>P, G, L, M, I</t>
  </si>
  <si>
    <t>South Mountain, PA</t>
  </si>
  <si>
    <t>P, M, L</t>
  </si>
  <si>
    <t>Boiling Springs, PA</t>
  </si>
  <si>
    <r>
      <t>P, G, M, L, C, O, </t>
    </r>
    <r>
      <rPr>
        <u/>
        <sz val="10"/>
        <color theme="10"/>
        <rFont val="Arial"/>
        <family val="2"/>
      </rPr>
      <t>drop</t>
    </r>
  </si>
  <si>
    <r>
      <t>P, M, G, L, D, I, $, </t>
    </r>
    <r>
      <rPr>
        <u/>
        <sz val="10"/>
        <color theme="10"/>
        <rFont val="Arial"/>
        <family val="2"/>
      </rPr>
      <t>drop</t>
    </r>
  </si>
  <si>
    <t>P, M, L, S</t>
  </si>
  <si>
    <t>P, M, G, L, cl, I,</t>
  </si>
  <si>
    <r>
      <t>P, M, G, L, </t>
    </r>
    <r>
      <rPr>
        <sz val="12"/>
        <color rgb="FF008BAE"/>
        <rFont val="Open Sans"/>
        <family val="2"/>
      </rPr>
      <t>hostel</t>
    </r>
  </si>
  <si>
    <t>P, M, g, C</t>
  </si>
  <si>
    <t>P, M, G, L, cl, S, I, $</t>
  </si>
  <si>
    <t>Greenwood Lake, NY</t>
  </si>
  <si>
    <t>Bear Mountain, NY</t>
  </si>
  <si>
    <t>P, L</t>
  </si>
  <si>
    <t>Pawling, NY</t>
  </si>
  <si>
    <t>P, M, G, cl, C, I, $</t>
  </si>
  <si>
    <t>New England</t>
  </si>
  <si>
    <t>Salisbury, CT</t>
  </si>
  <si>
    <t>P, M, G,L, cl, I, $</t>
  </si>
  <si>
    <t>Great Barrington, MA</t>
  </si>
  <si>
    <t>Tyringham, MA</t>
  </si>
  <si>
    <t>Dalton, MA</t>
  </si>
  <si>
    <t>P, M, G, L, C, I, $</t>
  </si>
  <si>
    <t>Cheshire, MA</t>
  </si>
  <si>
    <t>P, G, M, O, S</t>
  </si>
  <si>
    <t>Williamstown, MA</t>
  </si>
  <si>
    <t>Bennington, VT</t>
  </si>
  <si>
    <r>
      <t>All, </t>
    </r>
    <r>
      <rPr>
        <sz val="12"/>
        <color rgb="FF008BAE"/>
        <rFont val="Open Sans"/>
        <family val="2"/>
      </rPr>
      <t>hostel,</t>
    </r>
    <r>
      <rPr>
        <sz val="12"/>
        <color rgb="FF373737"/>
        <rFont val="Open Sans"/>
        <family val="2"/>
      </rPr>
      <t> </t>
    </r>
    <r>
      <rPr>
        <sz val="12"/>
        <color rgb="FF666666"/>
        <rFont val="Open Sans"/>
        <family val="2"/>
      </rPr>
      <t>drop</t>
    </r>
  </si>
  <si>
    <t>Rutland, VT</t>
  </si>
  <si>
    <r>
      <t>All, </t>
    </r>
    <r>
      <rPr>
        <sz val="12"/>
        <color rgb="FF666666"/>
        <rFont val="Open Sans"/>
        <family val="2"/>
      </rPr>
      <t>hostel, drops</t>
    </r>
  </si>
  <si>
    <r>
      <t>P, </t>
    </r>
    <r>
      <rPr>
        <u/>
        <sz val="10"/>
        <color theme="10"/>
        <rFont val="Arial"/>
        <family val="2"/>
      </rPr>
      <t>hostel</t>
    </r>
  </si>
  <si>
    <t>P, M, G, L, I, $</t>
  </si>
  <si>
    <r>
      <t>All, </t>
    </r>
    <r>
      <rPr>
        <u/>
        <sz val="10"/>
        <color theme="10"/>
        <rFont val="Arial"/>
        <family val="2"/>
      </rPr>
      <t>hostels</t>
    </r>
  </si>
  <si>
    <r>
      <t>P, M, g, L, cl, I, </t>
    </r>
    <r>
      <rPr>
        <u/>
        <sz val="10"/>
        <color theme="10"/>
        <rFont val="Arial"/>
        <family val="2"/>
      </rPr>
      <t>hostel</t>
    </r>
  </si>
  <si>
    <r>
      <t>www</t>
    </r>
    <r>
      <rPr>
        <u/>
        <sz val="10"/>
        <color theme="10"/>
        <rFont val="Arial"/>
        <family val="2"/>
      </rPr>
      <t> </t>
    </r>
  </si>
  <si>
    <t>Caratunk, ME</t>
  </si>
  <si>
    <r>
      <t>P, </t>
    </r>
    <r>
      <rPr>
        <u/>
        <sz val="10"/>
        <color theme="10"/>
        <rFont val="Arial"/>
        <family val="2"/>
      </rPr>
      <t>drop</t>
    </r>
  </si>
  <si>
    <r>
      <t>P, L, g, M, D, S, I, $, </t>
    </r>
    <r>
      <rPr>
        <u/>
        <sz val="10"/>
        <color theme="10"/>
        <rFont val="Arial"/>
        <family val="2"/>
      </rPr>
      <t>hostels</t>
    </r>
  </si>
  <si>
    <t>Katahdin</t>
  </si>
  <si>
    <t>Hostels, Lodging &amp; Drops</t>
  </si>
  <si>
    <t>Trail Crossing</t>
  </si>
  <si>
    <t>Mileage</t>
  </si>
  <si>
    <t>Phone</t>
  </si>
  <si>
    <t>Approach Trail</t>
  </si>
  <si>
    <t>Amicalola Falls State Park</t>
  </si>
  <si>
    <t>706.344.1500</t>
  </si>
  <si>
    <t>USPS or UPS</t>
  </si>
  <si>
    <t>Neel Gap</t>
  </si>
  <si>
    <t>Mountain Crossings (g)</t>
  </si>
  <si>
    <t>706.745.6095</t>
  </si>
  <si>
    <t>Dick's Creek Gap</t>
  </si>
  <si>
    <t>Hiawassee Budget Inn</t>
  </si>
  <si>
    <t>706.896.4121</t>
  </si>
  <si>
    <t>UPS</t>
  </si>
  <si>
    <t>Winding Stair Gap</t>
  </si>
  <si>
    <t>Budget Inn</t>
  </si>
  <si>
    <t>828.524.4403</t>
  </si>
  <si>
    <t>"Baltimore Jack" Tarlin Hostel</t>
  </si>
  <si>
    <t>828.524.2604</t>
  </si>
  <si>
    <t>Burningtown Gap</t>
  </si>
  <si>
    <t>Aquone Hostel</t>
  </si>
  <si>
    <t>828.321.2340</t>
  </si>
  <si>
    <t>888.905.7238</t>
  </si>
  <si>
    <t>Fontana Lodge</t>
  </si>
  <si>
    <t>800.849.2258</t>
  </si>
  <si>
    <t>The Hike Inn</t>
  </si>
  <si>
    <t>828.479.3677</t>
  </si>
  <si>
    <t>Newfound Gap</t>
  </si>
  <si>
    <t>The Appy Lodge</t>
  </si>
  <si>
    <t>800.732.2802</t>
  </si>
  <si>
    <t>Motel 6</t>
  </si>
  <si>
    <t>Green Corner Rd.</t>
  </si>
  <si>
    <t>Standing Bear Farm (g)</t>
  </si>
  <si>
    <t>423.487.0014</t>
  </si>
  <si>
    <t>The Hostel @ The Laughing Heart Lodge</t>
  </si>
  <si>
    <t>828.206.8487</t>
  </si>
  <si>
    <t>The Sunnybank Inn</t>
  </si>
  <si>
    <t>828.622.3231</t>
  </si>
  <si>
    <t>Bluff Mountain Outfitters (g)</t>
  </si>
  <si>
    <t>828.622.7162</t>
  </si>
  <si>
    <t>Nolichucky Hostel</t>
  </si>
  <si>
    <t>423.735.0548</t>
  </si>
  <si>
    <t>Greasy Creek Gap</t>
  </si>
  <si>
    <t>Greasy Creek Friendly</t>
  </si>
  <si>
    <t>828.688.9948</t>
  </si>
  <si>
    <t>19E</t>
  </si>
  <si>
    <t>Mountain Harbour Hostel</t>
  </si>
  <si>
    <t>866.772.9494</t>
  </si>
  <si>
    <t>The Station @ 19E</t>
  </si>
  <si>
    <t>423.250.3700</t>
  </si>
  <si>
    <t>Upper Laurel Fork</t>
  </si>
  <si>
    <t>Vango Solar Hostel</t>
  </si>
  <si>
    <t>423.772.3450</t>
  </si>
  <si>
    <t>Dennis Cove Rd.</t>
  </si>
  <si>
    <t>423.725.4409</t>
  </si>
  <si>
    <t>Black Bear Resort</t>
  </si>
  <si>
    <t>423.725.5988</t>
  </si>
  <si>
    <t>Mount Rogers Outfitters</t>
  </si>
  <si>
    <t>276.475.5416</t>
  </si>
  <si>
    <t>The Relax Inn</t>
  </si>
  <si>
    <t>276.783.5811</t>
  </si>
  <si>
    <t>VA 606</t>
  </si>
  <si>
    <t>Trent Grocery</t>
  </si>
  <si>
    <t>276.928.1349</t>
  </si>
  <si>
    <t>Sugar Run Gap</t>
  </si>
  <si>
    <t>Woodshole Hostel</t>
  </si>
  <si>
    <t>540.921.3444</t>
  </si>
  <si>
    <t>Holiday Motor Lodge</t>
  </si>
  <si>
    <t>540.921.1551</t>
  </si>
  <si>
    <t>Plaza Motel</t>
  </si>
  <si>
    <t>540.921.2591</t>
  </si>
  <si>
    <t>VA 624</t>
  </si>
  <si>
    <t>4 Pines Hostel</t>
  </si>
  <si>
    <t>540.309.8615</t>
  </si>
  <si>
    <t>US 220</t>
  </si>
  <si>
    <t>Howard Johnsons Express Inn</t>
  </si>
  <si>
    <t>540.992.1234</t>
  </si>
  <si>
    <t>US 11</t>
  </si>
  <si>
    <t>The Comfort Inn</t>
  </si>
  <si>
    <t>540.992.5600</t>
  </si>
  <si>
    <t>Snickers Gap</t>
  </si>
  <si>
    <t>Bears Den Trail Center</t>
  </si>
  <si>
    <t>540.554.8708</t>
  </si>
  <si>
    <t>ATC Headquarters</t>
  </si>
  <si>
    <t>304.535.6848</t>
  </si>
  <si>
    <r>
      <t>USPS, </t>
    </r>
    <r>
      <rPr>
        <u/>
        <sz val="10"/>
        <color theme="10"/>
        <rFont val="Arial"/>
        <family val="2"/>
      </rPr>
      <t>UPS or FedEx</t>
    </r>
  </si>
  <si>
    <t>Kind Of Outdoorsy</t>
  </si>
  <si>
    <r>
      <t>U</t>
    </r>
    <r>
      <rPr>
        <sz val="12"/>
        <color rgb="FF373737"/>
        <rFont val="Open Sans"/>
        <family val="2"/>
      </rPr>
      <t>S</t>
    </r>
    <r>
      <rPr>
        <sz val="12"/>
        <color rgb="FF666666"/>
        <rFont val="Open Sans"/>
        <family val="2"/>
      </rPr>
      <t>PS</t>
    </r>
  </si>
  <si>
    <t>Microtel Inn</t>
  </si>
  <si>
    <t>610.562.4234</t>
  </si>
  <si>
    <t>Maria McCabe</t>
  </si>
  <si>
    <t>860.435.0593</t>
  </si>
  <si>
    <t>MA 23</t>
  </si>
  <si>
    <t>East Mountain Retreat</t>
  </si>
  <si>
    <t>413.528.6617</t>
  </si>
  <si>
    <t>UPS or FedEx</t>
  </si>
  <si>
    <t>The Willow Motel </t>
  </si>
  <si>
    <t>1.594.4</t>
  </si>
  <si>
    <t>413.458.5768</t>
  </si>
  <si>
    <t>The Mountain Goat</t>
  </si>
  <si>
    <t>802.362.5159</t>
  </si>
  <si>
    <t>US 4</t>
  </si>
  <si>
    <t>The Inn at the Long Trail</t>
  </si>
  <si>
    <t>802.775.7181</t>
  </si>
  <si>
    <t>Hostel at the Yellow Deli</t>
  </si>
  <si>
    <t>802.775.9800</t>
  </si>
  <si>
    <t>VT 100</t>
  </si>
  <si>
    <t>Basecamp Outfitter</t>
  </si>
  <si>
    <t>802.775.0166</t>
  </si>
  <si>
    <t>Hikers' Welcome Hostel</t>
  </si>
  <si>
    <t>603.989.0040</t>
  </si>
  <si>
    <t>US 2</t>
  </si>
  <si>
    <t>Rattle River Lodge &amp; Hostel</t>
  </si>
  <si>
    <t>603.466.5049</t>
  </si>
  <si>
    <t>US 2 </t>
  </si>
  <si>
    <t>The Barn Hostel</t>
  </si>
  <si>
    <t>603.466.2271</t>
  </si>
  <si>
    <t>Pine Ellis Hiking Lodge</t>
  </si>
  <si>
    <t>207.392.4161</t>
  </si>
  <si>
    <t>Stratton Motel &amp; Hostel</t>
  </si>
  <si>
    <t>207.246.4171</t>
  </si>
  <si>
    <t>US 201</t>
  </si>
  <si>
    <t>Northern Outdoors &amp; Resort </t>
  </si>
  <si>
    <t>800.765.7238</t>
  </si>
  <si>
    <t>Shaw's Hiker Hostel</t>
  </si>
  <si>
    <t>207.997.3597</t>
  </si>
  <si>
    <t>Lakeshore House Lodging</t>
  </si>
  <si>
    <t>207.343.5033</t>
  </si>
  <si>
    <t>Appalachian Trail Lodge</t>
  </si>
  <si>
    <t>207.723.4321</t>
  </si>
  <si>
    <t>Legend</t>
  </si>
  <si>
    <t>P = post office</t>
  </si>
  <si>
    <t>M = meals</t>
  </si>
  <si>
    <t>G = grocery</t>
  </si>
  <si>
    <t>g = small grocery</t>
  </si>
  <si>
    <t>L = lodging</t>
  </si>
  <si>
    <t>cl = laundromat</t>
  </si>
  <si>
    <t>Sh = shower</t>
  </si>
  <si>
    <t>C = camping</t>
  </si>
  <si>
    <t>O = outfitters</t>
  </si>
  <si>
    <t>H =hostel</t>
  </si>
  <si>
    <t>I = Internet</t>
  </si>
  <si>
    <t>$ = bank or ATM</t>
  </si>
  <si>
    <t>USPS — United States Post Office</t>
  </si>
  <si>
    <t>UPS — United Parcel Service</t>
  </si>
  <si>
    <t>FedEx</t>
  </si>
  <si>
    <t>Type</t>
  </si>
  <si>
    <t>P — Post Office</t>
  </si>
  <si>
    <t>H — Hostel</t>
  </si>
  <si>
    <t>S — Store</t>
  </si>
  <si>
    <t>M-O-T — Miles off trail to town.</t>
  </si>
  <si>
    <t>Miles — Number of trail miles to the next trail town.</t>
  </si>
  <si>
    <t>WhiteBlaze Pages guidebooks</t>
  </si>
  <si>
    <t>ALDHA - Thru-Hikers' Companion</t>
  </si>
  <si>
    <t>ALDHA - Companion</t>
  </si>
  <si>
    <t>Appalachian Long Distance Hikers Association - Planning (aldha.org)</t>
  </si>
  <si>
    <t>ALDHA - Planning</t>
  </si>
  <si>
    <t>Appalachian Long Distance Hikers Association - AT Mailing Labels (aldha.org)</t>
  </si>
  <si>
    <t>ALDHA - Post Offices / Hostels</t>
  </si>
  <si>
    <t>2020 Appalachian Trail Hostel listing (whiteblaze.net)</t>
  </si>
  <si>
    <t>WhiteBlaze Hostels</t>
  </si>
  <si>
    <t>WhiteBlaze trail guide</t>
  </si>
  <si>
    <t>WhiteBlaze Post Offices</t>
  </si>
  <si>
    <t>WhiteBlaze Resupply</t>
  </si>
  <si>
    <t>David P. Smith</t>
  </si>
  <si>
    <t>2857 Godfrey Road</t>
  </si>
  <si>
    <t>Glen Rock, PA 17327</t>
  </si>
  <si>
    <t>c/o General Delivery</t>
  </si>
  <si>
    <t>2078 STATE HIGHWAY 60</t>
  </si>
  <si>
    <t>SUCHES, GA 30572-9998</t>
  </si>
  <si>
    <t>Please hold for Appalachian Trail Hiker</t>
  </si>
  <si>
    <t>Approximate Pick-Up Date: ____________________</t>
  </si>
  <si>
    <t>Sample Mail label</t>
  </si>
  <si>
    <t>2020 Appalachian Trail Post Offices listing (whiteblaze.net)</t>
  </si>
  <si>
    <t>Appalachian Trail Resupply listing (whiteblaze.net)</t>
  </si>
  <si>
    <t>Appalachian Trail Shelter listing 2020 (whiteblaze.net)</t>
  </si>
  <si>
    <t>WhiteBlaze Shelters</t>
  </si>
  <si>
    <t>WhiteBlaze Hiking Rates</t>
  </si>
  <si>
    <t>WhiteBlaze - AT Hiking Rates, Section by Section</t>
  </si>
  <si>
    <t>TABLE 1 -- Days to Complete Various Sections</t>
  </si>
  <si>
    <r>
      <t>DAYS </t>
    </r>
    <r>
      <rPr>
        <sz val="10"/>
        <color rgb="FF3E3E3E"/>
        <rFont val="Tahoma"/>
        <family val="2"/>
      </rPr>
      <t>~~~ </t>
    </r>
    <r>
      <rPr>
        <b/>
        <u/>
        <sz val="10"/>
        <color rgb="FF3E3E3E"/>
        <rFont val="Tahoma"/>
        <family val="2"/>
      </rPr>
      <t>TOTAL DAYS </t>
    </r>
    <r>
      <rPr>
        <sz val="10"/>
        <color rgb="FF3E3E3E"/>
        <rFont val="Tahoma"/>
        <family val="2"/>
      </rPr>
      <t>~~ </t>
    </r>
    <r>
      <rPr>
        <b/>
        <u/>
        <sz val="10"/>
        <color rgb="FF3E3E3E"/>
        <rFont val="Tahoma"/>
        <family val="2"/>
      </rPr>
      <t>SECTION</t>
    </r>
  </si>
  <si>
    <t>8.0 days..........(8.0)............Springer to Georgia Border (7.7 days)</t>
  </si>
  <si>
    <t>7.9 days.........(15.9)...........Georgia Border to Fontana (7.7 days)</t>
  </si>
  <si>
    <t>24.4 days.......(40.3)...........Fontana to Damascus (24 days)</t>
  </si>
  <si>
    <t>28.7 days.......(69.0)...........Damascus to Waynesboro (28 days)</t>
  </si>
  <si>
    <t>11.2 days.......(80.2)...........Waynesboro to Harpers Ferry (11 days)</t>
  </si>
  <si>
    <t>19.2 days.......(99.3)...........Harpers Ferry to DWG (19 days)</t>
  </si>
  <si>
    <t>12.6 days......(111.9)...........DWG to Kent (12 days)</t>
  </si>
  <si>
    <t>23.5 days......(135.4)...........Kent to Glencliff (23.2 days)</t>
  </si>
  <si>
    <t>9.7 days........(145.1)..........Glencliff to Gorham (10 days)</t>
  </si>
  <si>
    <t>9.9 days........(155.0)..........Gorham to Stratton (9.85 days)</t>
  </si>
  <si>
    <t>13.7 days...... (168.8)..........Stratton to Katahdin (13.6 days)</t>
  </si>
  <si>
    <t>TABLE 2 -- Miles Per Day and Miles Per Hiking Day</t>
  </si>
  <si>
    <r>
      <t>MPD </t>
    </r>
    <r>
      <rPr>
        <sz val="10"/>
        <color rgb="FF3E3E3E"/>
        <rFont val="Tahoma"/>
        <family val="2"/>
      </rPr>
      <t>~~~~~~~ </t>
    </r>
    <r>
      <rPr>
        <b/>
        <u/>
        <sz val="10"/>
        <color rgb="FF3E3E3E"/>
        <rFont val="Tahoma"/>
        <family val="2"/>
      </rPr>
      <t>MPHD </t>
    </r>
    <r>
      <rPr>
        <sz val="10"/>
        <color rgb="FF3E3E3E"/>
        <rFont val="Tahoma"/>
        <family val="2"/>
      </rPr>
      <t>~~~~~~ </t>
    </r>
    <r>
      <rPr>
        <b/>
        <u/>
        <sz val="10"/>
        <color rgb="FF3E3E3E"/>
        <rFont val="Tahoma"/>
        <family val="2"/>
      </rPr>
      <t>SECTION</t>
    </r>
  </si>
  <si>
    <t>9.4 miles..........(10.1 miles).........Springer to Georgia Border (75.6 miles)</t>
  </si>
  <si>
    <t>11.2 miles........(12.0 miles).........Georgia Border to Fontana (87.5 miles)</t>
  </si>
  <si>
    <t>12.2 miles........(14.0 miles).........Fontana to Damascus (297.1 miles)</t>
  </si>
  <si>
    <t>13.4 miles........(15.9 miles).........Damascus to Waynesboro (388.6 miles)</t>
  </si>
  <si>
    <t>14.4 miles........(16.8 miles).........Waynesboro to Harpers Ferry (161.1 miles)</t>
  </si>
  <si>
    <t>13.9 miles........(16.8 miles).........Harpers Ferry to DWG (270.3 miles)</t>
  </si>
  <si>
    <t>13.9 miles........(16.1 miles).........DWG to Kent (172.4 miles)</t>
  </si>
  <si>
    <t>14.0 miles........(15.5 miles).........Kent to Glencliff (323.8 miles)</t>
  </si>
  <si>
    <t>10.5 miles........(11.4 miles).........Glencliff to Gorham (100.6 miles)</t>
  </si>
  <si>
    <t>11.1 miles........(12.5 miles).........Gorham to Stratton (110.1 miles)</t>
  </si>
  <si>
    <t>13.6 miles........(14.7 miles).........Stratton to Katahdin (187.9 miles)</t>
  </si>
  <si>
    <t>12.9 miles........(14.7 miles).........The entire AT (2175.0 miles)</t>
  </si>
  <si>
    <t>-----------------------------&gt;</t>
  </si>
  <si>
    <t>0 miles from trail</t>
  </si>
  <si>
    <t>2-5 miles</t>
  </si>
  <si>
    <t>PO Count by mile range</t>
  </si>
  <si>
    <t>Appalachian Trail Shelters by Mileage | AppalachianTrailTravelGuide.com</t>
  </si>
  <si>
    <t>Shelters by Mileage</t>
  </si>
  <si>
    <t>GA</t>
  </si>
  <si>
    <t>NC</t>
  </si>
  <si>
    <t>Silver Bald Shelter</t>
  </si>
  <si>
    <t>TN</t>
  </si>
  <si>
    <t>VA</t>
  </si>
  <si>
    <t>Johns Spring Shelter</t>
  </si>
  <si>
    <t>Bears Den Hostel</t>
  </si>
  <si>
    <t>MD</t>
  </si>
  <si>
    <t>PA</t>
  </si>
  <si>
    <t>Birch Run Shelters</t>
  </si>
  <si>
    <t>NJ</t>
  </si>
  <si>
    <t>NY</t>
  </si>
  <si>
    <t>CT</t>
  </si>
  <si>
    <t>MA</t>
  </si>
  <si>
    <t>VT</t>
  </si>
  <si>
    <t>NH</t>
  </si>
  <si>
    <t>Madison Springs Hut</t>
  </si>
  <si>
    <t>ME</t>
  </si>
  <si>
    <t>Poplar Ridge Lean-to</t>
  </si>
  <si>
    <t>Springer Mountain, GA</t>
  </si>
  <si>
    <t>Buy in Atlanta or before you start</t>
  </si>
  <si>
    <t>Neels Gap, GA</t>
  </si>
  <si>
    <t>Mail to Mountain Crossings</t>
  </si>
  <si>
    <t>Mail to Post Office,  M–F 9–12:30 &amp; 1:30-4, Sa 9-12 or buy at  Betty’s Country Store, Su-Th 7-8, F-Sa 7-9</t>
  </si>
  <si>
    <t>Mail to Post Office, M-F 8:30-5, Sa 8:30-12 or buy or shop Ingles</t>
  </si>
  <si>
    <t>Dicks Creek Gap, GA</t>
  </si>
  <si>
    <t>Mail to Top of Georgia Hostel</t>
  </si>
  <si>
    <t xml:space="preserve"> </t>
  </si>
  <si>
    <t>Winding Stair Gap, GA</t>
  </si>
  <si>
    <t>Mail to to Post Office, M-F 8:30-5, Sa 9-12 or buy at several grocery stores</t>
  </si>
  <si>
    <t xml:space="preserve">Nantahala Outdoor Center, </t>
  </si>
  <si>
    <t>Mail to NOC Outfitters</t>
  </si>
  <si>
    <t>1-2 to Fantana Village</t>
  </si>
  <si>
    <t>Mail to Post Office, M-F: 11:30-3:45 or buy at General Store,  Mar 10 thru Thanksgiving</t>
  </si>
  <si>
    <t>2-3 Newfound Gap</t>
  </si>
  <si>
    <t>Newfound Gap. Gatlinburg, TN to the west</t>
  </si>
  <si>
    <t xml:space="preserve"> Mail to NOC Great Outpost, Open 7 days 10-9, (Jan-May 10-6) or buy at Old Dad’s General Store</t>
  </si>
  <si>
    <t>2 to Standing Bear Farm</t>
  </si>
  <si>
    <t>Standing Bear Farm, TN</t>
  </si>
  <si>
    <t>Mail to Standing Bear Farm or small resupply choices available</t>
  </si>
  <si>
    <t>Mail to Post Office, M-F 9-11:30 &amp; 1-4, Sa 9-10:30 or buy at Hillbilly Market or Bluff Mountain Outfitters, daily 9-5</t>
  </si>
  <si>
    <t>Hemlock Hallow</t>
  </si>
  <si>
    <t xml:space="preserve">Mail to Hemmlock Hollow Under new ownership. </t>
  </si>
  <si>
    <t>There is $5 fee is you don’t spend the night.</t>
  </si>
  <si>
    <t>Mail to Uncle Johnny’s Nolichucky Hostel</t>
  </si>
  <si>
    <t>Dennis Cove Rd Black Bear Resort</t>
  </si>
  <si>
    <t>Mail to Kincora Hiking Hostel Mail to Black Bear Resort</t>
  </si>
  <si>
    <t>Boots Off Hostel &amp; Campground</t>
  </si>
  <si>
    <t>Mail to Boots Off Hostel &amp; Campground</t>
  </si>
  <si>
    <t>Mail to Post Office, M-F 8:30-1 &amp; 2-4:30, Sa 9-11 or buy at Food City,  7 days</t>
  </si>
  <si>
    <t>Mail to Relax Inn. There is $5 fee is you don’t spend the night.</t>
  </si>
  <si>
    <t>Mail to Post Office, M-F 8:30-11:30 &amp; 12-4, Sa 9 -11 or buy at Grants Supermarket,  M-Sa 8-8, Su 10-6</t>
  </si>
  <si>
    <t>Trents Grocery</t>
  </si>
  <si>
    <t>Mail to Trents Grocery</t>
  </si>
  <si>
    <t>Wood Hole Hostel Sugar Run Gap, VA</t>
  </si>
  <si>
    <t xml:space="preserve">Mail to Woods Hole Hostel </t>
  </si>
  <si>
    <t>Mail to Post Office, M-F 9-4:30, Sa 10-12 or buy at Food Lion, 7-11</t>
  </si>
  <si>
    <t>Buy at Catawba Grocery</t>
  </si>
  <si>
    <t>Buy at Kroger Grocery, 24 hr</t>
  </si>
  <si>
    <t>3-4 to Glasgow</t>
  </si>
  <si>
    <t>Buy at Glasgow Grocery Express, M-Sa 6-11:30pm, Su 8-1130pm</t>
  </si>
  <si>
    <t>5 to Waynesboro</t>
  </si>
  <si>
    <t>Buy at Martin’s, Wal-mat, Target</t>
  </si>
  <si>
    <t>1-2 to Loft Mountain</t>
  </si>
  <si>
    <t>Loft Mountain Campground, VA</t>
  </si>
  <si>
    <t>Buy at Campstore, Open May 4-Oct 30</t>
  </si>
  <si>
    <t>Big Meadows, VA</t>
  </si>
  <si>
    <t>Buy small resupplies at Big Meadows Wayside, Open Mar 25 - Nov 13</t>
  </si>
  <si>
    <t>NoBo Mile</t>
  </si>
  <si>
    <t>Dist from Trail</t>
  </si>
  <si>
    <t>Town or Business</t>
  </si>
  <si>
    <t>Mail drop or where to buy</t>
  </si>
  <si>
    <t>Next town days away</t>
  </si>
  <si>
    <t>Options +1 mile from trail</t>
  </si>
  <si>
    <t>Front Royal</t>
  </si>
  <si>
    <t>Mail to Mountain Home or go into Front Royal (3.5W) to Martin’s.</t>
  </si>
  <si>
    <t>Bears Den</t>
  </si>
  <si>
    <t xml:space="preserve">Mail to Bears Den. </t>
  </si>
  <si>
    <t xml:space="preserve">Don’t open the store until 5pm so you can’t technically pick them up until 5. A lot of times we are on site all day so if that person let’s us know that they have a drop we will open up and let them get it early. </t>
  </si>
  <si>
    <t>We stock the basics, tuna, pasta sides, instant potatoes, oatmeal, crackers, snickers, cliff bars etc</t>
  </si>
  <si>
    <t>Keys Gap</t>
  </si>
  <si>
    <t>Mail to or buy at  Sweet Springs Country Store, M-Sa 4am-11pm, Su 7am-11pm</t>
  </si>
  <si>
    <t>6 miles</t>
  </si>
  <si>
    <t>Buy at General Store or The Outfitter</t>
  </si>
  <si>
    <t>Buy at Food Lion, daily 7-11</t>
  </si>
  <si>
    <t>Waynesboro, PA</t>
  </si>
  <si>
    <t>Buy at Wal-mart and others</t>
  </si>
  <si>
    <t>Buy at Karn’s Quality Foods,  Daily 7–10</t>
  </si>
  <si>
    <t>Mechanicsburg, PA</t>
  </si>
  <si>
    <t>But at Wal-mart 4.6E, Gaint Food 4.3E, Wegmans 5.4E</t>
  </si>
  <si>
    <t>Buy at Mutzabaugh’s Market,  open 7 days 6am-10pm</t>
  </si>
  <si>
    <t>Mail to Post Office, M-F 12:30-4:30, Sa 8-11</t>
  </si>
  <si>
    <t>Hamburg, PA</t>
  </si>
  <si>
    <t>Walmart Superstore, 24 hours</t>
  </si>
  <si>
    <t>Buy at Country Harvest,  8am-9pm 7 days</t>
  </si>
  <si>
    <t>Wind Gap, PA</t>
  </si>
  <si>
    <t>Buy at K-Mart, Gaint Food Store  24hr</t>
  </si>
  <si>
    <t>Mail via FedEx/UPS to Edge of the Woods Outfitters, Open 7 days</t>
  </si>
  <si>
    <t>High Point State Park, NJ</t>
  </si>
  <si>
    <t>Mail to High Point State Park Headquarters, open M-Sa 8-8</t>
  </si>
  <si>
    <t>Buy at Horler’s Store, M–Sa 6–8, Su 7–7</t>
  </si>
  <si>
    <t>3-4 to Fort Montgomery</t>
  </si>
  <si>
    <t>Fort Montgomery, NY</t>
  </si>
  <si>
    <t>Mail to Post Office, M-F 8-1 &amp; 2:30-5, Sa 9-12</t>
  </si>
  <si>
    <t>3 to AT Station</t>
  </si>
  <si>
    <t>Appalachian Trail Railroad Station, NY</t>
  </si>
  <si>
    <t>Mail to Native Landscapes &amp; Garden Center, Open daily 9-5</t>
  </si>
  <si>
    <t>Kent CT</t>
  </si>
  <si>
    <t>Buy at Davis IGA, M-Sa 8-7 Su 8-5</t>
  </si>
  <si>
    <t>Carmwall Bridge, CT</t>
  </si>
  <si>
    <t>Mail to Post Office, M-F 8:30am-1pm &amp; 2pm-5pm, Sa 9am-12pm</t>
  </si>
  <si>
    <t>Falls Village, CT</t>
  </si>
  <si>
    <t>Maile to Post Office, M-F 8:20-1pm &amp; 2pm-5pm, Sa 8:30am-12pm</t>
  </si>
  <si>
    <t>Buy at La Bonne Epicure Market, M–Sa 8–7, Su 8-6pm</t>
  </si>
  <si>
    <t>Lee, MA</t>
  </si>
  <si>
    <t>Buy at Price Chopper Supermarket</t>
  </si>
  <si>
    <t xml:space="preserve">Mail to Post Office, M-F 7:30-1 </t>
  </si>
  <si>
    <t xml:space="preserve">&amp; 2-4:30, </t>
  </si>
  <si>
    <t>Sa 8:30-11:30</t>
  </si>
  <si>
    <t>Buy at Stop &amp; Shop</t>
  </si>
  <si>
    <t>1-2 to Bennington</t>
  </si>
  <si>
    <t>Buy at Wal-mart, Price Chopper, Aldi</t>
  </si>
  <si>
    <t>2-3 to Manchester</t>
  </si>
  <si>
    <t>Manchester, VT</t>
  </si>
  <si>
    <t>3-4 to Killington</t>
  </si>
  <si>
    <t>Killington, VT</t>
  </si>
  <si>
    <t>Mail to Mountain Meadows Lodge</t>
  </si>
  <si>
    <t>South Pomfret, VT</t>
  </si>
  <si>
    <t>Mail to Post Office, M-F 10am-2pm, Sa 8:30am-11:30am</t>
  </si>
  <si>
    <t>Buy at Hanover Food Co-op, 8am-8pm, 7 days</t>
  </si>
  <si>
    <t>Warren, NH</t>
  </si>
  <si>
    <t>Mail to Post Office,  M-F 7:30-9:30 &amp; 3-5, Sa 7:30-12 or buy at Tedeschi Food Shop,  Open daily 5-11</t>
  </si>
  <si>
    <t>Mail to Glencliff Post Office, M-F 12-2, Sa 7-1</t>
  </si>
  <si>
    <t>Franconia Notch, NH</t>
  </si>
  <si>
    <t>Mail to Flume Visitor Center</t>
  </si>
  <si>
    <t>Buy at Wayne’s Market, daily 5-10</t>
  </si>
  <si>
    <t xml:space="preserve">Rattle River Lodge &amp; Hostel </t>
  </si>
  <si>
    <t>or go into Gorham, NH (3.6W)</t>
  </si>
  <si>
    <t xml:space="preserve">Mail to White Mountains Lodge and Hostel, no requirement to stay but this is a great place. </t>
  </si>
  <si>
    <t>Or Mail to Post Office in Gorham or buy at Wal-mart which is 2.1 mile beyound Gorham, NH.</t>
  </si>
  <si>
    <t xml:space="preserve">2-3 to Andover </t>
  </si>
  <si>
    <t>5-6 to Rangeley</t>
  </si>
  <si>
    <t xml:space="preserve">Andover, ME, East B Hill </t>
  </si>
  <si>
    <t>Rd</t>
  </si>
  <si>
    <t>Mail to Post Office, M-F 9:15-12 &amp; 1-4:15, Sa 9-12 or buy at Andover General Store, M-Sa 5-8, Su 6-8</t>
  </si>
  <si>
    <t xml:space="preserve">2-3 to Rangeley </t>
  </si>
  <si>
    <t>4-5 to Stratton</t>
  </si>
  <si>
    <t>Rangeley, ME, route 4</t>
  </si>
  <si>
    <t>Buy at IGA Supermarket,  7 days 7-8</t>
  </si>
  <si>
    <t>2 to Stratton</t>
  </si>
  <si>
    <t>Buy at Fotter’s Market, M-Th 8-7, F-Sa 8-8, Su 9-5</t>
  </si>
  <si>
    <t>4-5 Monson</t>
  </si>
  <si>
    <t>Mail toPost Office, M-F 9:15-12:15 &amp; 1:15-4:15 Sa 7:30-11</t>
  </si>
  <si>
    <t>6-7 to Abol Bridge</t>
  </si>
  <si>
    <t>Buy at campstore, Store open May 15-Oct 15, hours 7-7.</t>
  </si>
  <si>
    <t>Buy here for Katahdin hike</t>
  </si>
  <si>
    <t>Update: Destination &amp; Location</t>
  </si>
  <si>
    <t>Update Mail Drop locations and address</t>
  </si>
  <si>
    <t>2-3</t>
  </si>
  <si>
    <t>1-2</t>
  </si>
  <si>
    <t>4-5</t>
  </si>
  <si>
    <t>5-6</t>
  </si>
  <si>
    <t>10-11</t>
  </si>
  <si>
    <t>7-8</t>
  </si>
  <si>
    <t>7-6</t>
  </si>
  <si>
    <t>This chart is based off a few things.</t>
  </si>
  <si>
    <t>1. This is based off 15 mile hiking days.</t>
  </si>
  <si>
    <t>2. Trail towns that are within 1.0 miles from AT trail heads (highlighted in yellow).</t>
  </si>
  <si>
    <t>3. How many days to the next town that is within 1.0 miles from the AT.</t>
  </si>
  <si>
    <t>4. I tried to keep it so that only five days’ worth of food or less would need to be carried,</t>
  </si>
  <si>
    <t xml:space="preserve"> but this was not always possible.</t>
  </si>
  <si>
    <t>Stover Creek Shelter (pic)</t>
  </si>
  <si>
    <t>at-resupply.pdf</t>
  </si>
  <si>
    <t>Hawk Mt Shelter at 7.8mi. Gooch Mt Shelter 15.1</t>
  </si>
  <si>
    <t>Blood Mt Shelter 28.3mi</t>
  </si>
  <si>
    <t>https://www.postholer.com/planner/Appalachian-Trail/3</t>
  </si>
  <si>
    <t>Shelter or Town Name</t>
  </si>
  <si>
    <t>Water?</t>
  </si>
  <si>
    <t>Miles Since
Last Shelter</t>
  </si>
  <si>
    <t>Miles from
Springer</t>
  </si>
  <si>
    <t>Miles from
Katahdin</t>
  </si>
  <si>
    <t>Amicalola Falls State Park Shelter</t>
  </si>
  <si>
    <t>Y</t>
  </si>
  <si>
    <t>Springer Mountain Terminus</t>
  </si>
  <si>
    <t>N</t>
  </si>
  <si>
    <t>Suches, Georgia</t>
  </si>
  <si>
    <t>Neels Gap &amp; US 19/129 &amp; Walasi-Yi</t>
  </si>
  <si>
    <t>Helen, Georgia</t>
  </si>
  <si>
    <t>Hiawassee, Georgia</t>
  </si>
  <si>
    <t>Plumorchard Gap Shelter</t>
  </si>
  <si>
    <t>NC-TN</t>
  </si>
  <si>
    <t>NC-GA Line</t>
  </si>
  <si>
    <t>Carter Gap Shelter</t>
  </si>
  <si>
    <t>Big Spring Shelter</t>
  </si>
  <si>
    <t>Franklin, North Carolina</t>
  </si>
  <si>
    <t>A. Rufus Morgan Shelter</t>
  </si>
  <si>
    <t>Brown Fork Shelter</t>
  </si>
  <si>
    <t>Fontana Dam, North Carolina</t>
  </si>
  <si>
    <t>Siler’s Bald Shelter</t>
  </si>
  <si>
    <t>Hot Springs, North Carolina</t>
  </si>
  <si>
    <t>Jerry Cabin Shelter</t>
  </si>
  <si>
    <t>Erwin, Tennessee</t>
  </si>
  <si>
    <t>Elk Park, North Carolina</t>
  </si>
  <si>
    <t>Apple House Shelter</t>
  </si>
  <si>
    <t>Roan Mountain, Tennessee</t>
  </si>
  <si>
    <t>Dennis Cove Road</t>
  </si>
  <si>
    <t>Hampton, Tennessee</t>
  </si>
  <si>
    <t>Watagua Lake Shelter</t>
  </si>
  <si>
    <t>Shady Valley, Tennessee</t>
  </si>
  <si>
    <t>TN-VA State Line</t>
  </si>
  <si>
    <t>Damascus, Virginia</t>
  </si>
  <si>
    <t>Troutdale, Virginia</t>
  </si>
  <si>
    <t>Raccoon Branch Shelter</t>
  </si>
  <si>
    <t>Sugar Grove Shelter</t>
  </si>
  <si>
    <t>Atkins, Virginia</t>
  </si>
  <si>
    <t>Davis Path Shelter</t>
  </si>
  <si>
    <t>Ceres, Virginia</t>
  </si>
  <si>
    <t>Bastian Virginia</t>
  </si>
  <si>
    <t>Bland, Virginia</t>
  </si>
  <si>
    <t>Doc’s Knob Shelter</t>
  </si>
  <si>
    <t>Pearisburg, Virginia</t>
  </si>
  <si>
    <t>Pine Swap Shelter</t>
  </si>
  <si>
    <t>Pickel Branch Shelter</t>
  </si>
  <si>
    <t>Catawba, Virginia</t>
  </si>
  <si>
    <t>Cloverdale, Virginia</t>
  </si>
  <si>
    <t>Daleville, Virginia</t>
  </si>
  <si>
    <t>Troutville, Virginia</t>
  </si>
  <si>
    <t>WilsonCreek Shelter</t>
  </si>
  <si>
    <t>Buchanan, Virginia</t>
  </si>
  <si>
    <t>Cow Camp Gap Shelter</t>
  </si>
  <si>
    <t>Big Island, Virginia</t>
  </si>
  <si>
    <t>Glasgow, Virginia</t>
  </si>
  <si>
    <t>Buena Vista, Virginia</t>
  </si>
  <si>
    <t>Montebello, Virginia</t>
  </si>
  <si>
    <t>Paul C. Wolfe Memorial</t>
  </si>
  <si>
    <t>Waynesboro, Virginia</t>
  </si>
  <si>
    <t>Tom Floyd Wayside</t>
  </si>
  <si>
    <t>Front Royal, Virginia</t>
  </si>
  <si>
    <t>Jim &amp; Molly Denton Shelter</t>
  </si>
  <si>
    <t>Linden, Virginia</t>
  </si>
  <si>
    <t>Dicks Dome Shelter</t>
  </si>
  <si>
    <t>Sky Meadows State Park Side Trail</t>
  </si>
  <si>
    <t>Bluemont, Virgina</t>
  </si>
  <si>
    <t>VA-WV State Line</t>
  </si>
  <si>
    <t>WV</t>
  </si>
  <si>
    <t>Blackburn A.T. Center</t>
  </si>
  <si>
    <t>David Lesser Memorial Shelter</t>
  </si>
  <si>
    <t>Harpers Ferry, West Virginia</t>
  </si>
  <si>
    <t>WV-MD State Line</t>
  </si>
  <si>
    <t>Burkitsville, MD</t>
  </si>
  <si>
    <t>Boonsboro, Maryland</t>
  </si>
  <si>
    <t>Smithsburg, Maryland</t>
  </si>
  <si>
    <t>Ensign Cowall, Shelter</t>
  </si>
  <si>
    <t>Cascade, Maryland</t>
  </si>
  <si>
    <t>MD-PA State Line</t>
  </si>
  <si>
    <t>Deer Lick Shelter</t>
  </si>
  <si>
    <t>Tumbling Run Shelter</t>
  </si>
  <si>
    <t>Fayetteville, Pennsylvania</t>
  </si>
  <si>
    <t>Tagg Run Shelters</t>
  </si>
  <si>
    <t>Gardners, Pennsylvania</t>
  </si>
  <si>
    <t>Mt. Holly Springs, Pennsylvania</t>
  </si>
  <si>
    <t>Boiling Springs, Pennsylvania</t>
  </si>
  <si>
    <t>Cove Mountain</t>
  </si>
  <si>
    <t>Duncannon, Pennsylvania</t>
  </si>
  <si>
    <t>Pine Grove, Pennsylvania</t>
  </si>
  <si>
    <t>Shartlesville, Pennsylvania</t>
  </si>
  <si>
    <t>Port Clinton, Pennsylvania</t>
  </si>
  <si>
    <t>Blue Rocks Campground</t>
  </si>
  <si>
    <t>Allentown Hiking Club Shelter</t>
  </si>
  <si>
    <t>Ashfield, Pennsylvania</t>
  </si>
  <si>
    <t>Slatington, Pennsylvania</t>
  </si>
  <si>
    <t>Palmerton, Pennsylvania</t>
  </si>
  <si>
    <t>Danielsville, Pennsylvania</t>
  </si>
  <si>
    <t>Wind Gap, Pennsylvania</t>
  </si>
  <si>
    <t>PA-NJ State Line</t>
  </si>
  <si>
    <t>Delaware Water Gap, Pennsylvania</t>
  </si>
  <si>
    <t>Branchville, New Jersey</t>
  </si>
  <si>
    <t>Unionville, New York</t>
  </si>
  <si>
    <t>Glenwood, New Jersey</t>
  </si>
  <si>
    <t>Vernon, New Jersey</t>
  </si>
  <si>
    <t>New Milford, New York</t>
  </si>
  <si>
    <t>Hewitt, NJ</t>
  </si>
  <si>
    <t>NJ-NY State Line</t>
  </si>
  <si>
    <t>Bellvale, New York</t>
  </si>
  <si>
    <t>Greenwood Lake, New York</t>
  </si>
  <si>
    <t>Arden, New York</t>
  </si>
  <si>
    <t>Southfields, New York</t>
  </si>
  <si>
    <t>Bear Mountain, New York</t>
  </si>
  <si>
    <t>Fort Montgomery, New York</t>
  </si>
  <si>
    <t>Peekskill, New York</t>
  </si>
  <si>
    <t>Stormville, New York</t>
  </si>
  <si>
    <t>Morgan Stewart Shelter</t>
  </si>
  <si>
    <t>Poughquag, New York</t>
  </si>
  <si>
    <t>Pawling, New York</t>
  </si>
  <si>
    <t>NY-CT State Line</t>
  </si>
  <si>
    <t>Wingdale, New York</t>
  </si>
  <si>
    <t>Kent, Connecticut</t>
  </si>
  <si>
    <t>Cornwall Bridge, Connecticut</t>
  </si>
  <si>
    <t>West Cornwall, Connecticut</t>
  </si>
  <si>
    <t>Falls Village, Connecticut</t>
  </si>
  <si>
    <t>Salisbury, Connecticut</t>
  </si>
  <si>
    <t>CT-MA State Line</t>
  </si>
  <si>
    <t>The Hemlocks Lean-To</t>
  </si>
  <si>
    <t>South Egremont, Massachusetts</t>
  </si>
  <si>
    <t>Sheffield, Massachusetts</t>
  </si>
  <si>
    <t>Great Barrington, Massachusetts</t>
  </si>
  <si>
    <t>Mt. Wilcox Lean-to</t>
  </si>
  <si>
    <t>Tyringham, Massachusetts</t>
  </si>
  <si>
    <t>Lee, Massachusetts</t>
  </si>
  <si>
    <t>Becket, Massachusetts</t>
  </si>
  <si>
    <t>Dalton, Massachusetts</t>
  </si>
  <si>
    <t>Chesire, Massachusetts</t>
  </si>
  <si>
    <t>Mark Noepel Shelter</t>
  </si>
  <si>
    <t>North Adams/Williamstown, Massachusetts</t>
  </si>
  <si>
    <t>MA-VT State Line</t>
  </si>
  <si>
    <t>Bennington, Vermont</t>
  </si>
  <si>
    <t>Caughnawaga &amp; Kid Gore Shelters</t>
  </si>
  <si>
    <t>Manchester Center, Vermont</t>
  </si>
  <si>
    <t>Peru, Vermont</t>
  </si>
  <si>
    <t>Danby, Vermont</t>
  </si>
  <si>
    <t>Little Rock Pond Shelter(fee)</t>
  </si>
  <si>
    <t>Wallingford, Vermont</t>
  </si>
  <si>
    <t>North Clarendon, Vermont</t>
  </si>
  <si>
    <t>Claredon Shelter</t>
  </si>
  <si>
    <t>Pico Camp</t>
  </si>
  <si>
    <t>Killington, Vermont</t>
  </si>
  <si>
    <t>Tucker-Johnson Shelter (Maine Junction)</t>
  </si>
  <si>
    <t>Woodstock, Vermont</t>
  </si>
  <si>
    <t>South Pomfret, Vermont</t>
  </si>
  <si>
    <t>West Hartford, Vermont</t>
  </si>
  <si>
    <t>VT-NH State Line</t>
  </si>
  <si>
    <t>Norwich, Vermont</t>
  </si>
  <si>
    <t>Etna, New Hampshire</t>
  </si>
  <si>
    <t>Lyme Center, New Hampshire</t>
  </si>
  <si>
    <t>Ranger (Firewarden’s) Cabin</t>
  </si>
  <si>
    <t>Smarts Mtn. Tent-site</t>
  </si>
  <si>
    <t>Wentworth, New Hampshire</t>
  </si>
  <si>
    <t>Ore Hill Shelter</t>
  </si>
  <si>
    <t>Glencliff, New Hampshire</t>
  </si>
  <si>
    <t>Eliza Brook Shelter</t>
  </si>
  <si>
    <t>Kinsman Pond Campsite</t>
  </si>
  <si>
    <t>North Woodstock, New Hampshire</t>
  </si>
  <si>
    <t>Garfield Ridge Campsite and Shelter</t>
  </si>
  <si>
    <t>Guyot Campsite and Shelter</t>
  </si>
  <si>
    <t>Ethan Pond Campsite and Shelter</t>
  </si>
  <si>
    <t>Mizpah Spring Hut/Naumann Tentsite</t>
  </si>
  <si>
    <t>Lakes of the Clouds Hut</t>
  </si>
  <si>
    <t>Mt. Washington, NH</t>
  </si>
  <si>
    <t>Gray Knob Cabin</t>
  </si>
  <si>
    <t>Imp Campsite</t>
  </si>
  <si>
    <t>Gentian Pond Campsite</t>
  </si>
  <si>
    <t>NH-ME State Line</t>
  </si>
  <si>
    <t>Full Goose Shelter and Campsite</t>
  </si>
  <si>
    <t>Speck Pond Shelter and Campsite</t>
  </si>
  <si>
    <t>Andover, Maine</t>
  </si>
  <si>
    <t>Oquossoc, Maine</t>
  </si>
  <si>
    <t>Rangeley, Maine</t>
  </si>
  <si>
    <t>Stratton, Maine</t>
  </si>
  <si>
    <t>Caratunk, Maine</t>
  </si>
  <si>
    <t>Moxie Bald Mountain Lean-to</t>
  </si>
  <si>
    <t>Monson, Maine</t>
  </si>
  <si>
    <t>Sidney Tappan Lean-to</t>
  </si>
  <si>
    <t>East Branh Lean-to</t>
  </si>
  <si>
    <t>Daicey Pond Campground</t>
  </si>
  <si>
    <t>Katahdin Stream Campground(fee)</t>
  </si>
  <si>
    <t>The Birches Campsite(fee)</t>
  </si>
  <si>
    <t>Katahdin Terminus</t>
  </si>
  <si>
    <t>&lt;= 2 miles from the trail</t>
  </si>
  <si>
    <t>Next resupply days</t>
  </si>
  <si>
    <t>https://www.postholer.com/databook/Appalachian-Trail/3</t>
  </si>
  <si>
    <t>X</t>
  </si>
  <si>
    <t>Description</t>
  </si>
  <si>
    <t>Trail</t>
  </si>
  <si>
    <t>Mile</t>
  </si>
  <si>
    <t>  Arrive  </t>
  </si>
  <si>
    <t>(depart)</t>
  </si>
  <si>
    <t>Trip</t>
  </si>
  <si>
    <t>Total</t>
  </si>
  <si>
    <t>Days</t>
  </si>
  <si>
    <t>From</t>
  </si>
  <si>
    <t>Last</t>
  </si>
  <si>
    <t>Section</t>
  </si>
  <si>
    <t>MPD</t>
  </si>
  <si>
    <t>Rating</t>
  </si>
  <si>
    <t>Zeros/</t>
  </si>
  <si>
    <t>Neros</t>
  </si>
  <si>
    <t>1 - Springer MtnNotes</t>
  </si>
  <si>
    <t>Mon, Mar 15</t>
  </si>
  <si>
    <t>-</t>
  </si>
  <si>
    <t>USFS 42 TH</t>
  </si>
  <si>
    <t>Three Forks TH</t>
  </si>
  <si>
    <t>USFS 42 (Hightower Gap) TH</t>
  </si>
  <si>
    <t>Horse Gap TH</t>
  </si>
  <si>
    <t>Cooper Gap (pull-off 2) TH</t>
  </si>
  <si>
    <t>Tue, Mar 16</t>
  </si>
  <si>
    <t>Cooper Gap (pull-off 1) TH</t>
  </si>
  <si>
    <t>Gooch Gap Shelter</t>
  </si>
  <si>
    <t>USFS 42 (Gooch Gap) TH</t>
  </si>
  <si>
    <t>Suches GA 30572/SR 60/Woody Gap TH</t>
  </si>
  <si>
    <t>Wed, Mar 17</t>
  </si>
  <si>
    <t>Reese State Memorial TH</t>
  </si>
  <si>
    <t>SR 11</t>
  </si>
  <si>
    <t>Walasi-yi Center Shelter</t>
  </si>
  <si>
    <t>US 129 &amp; US 19 (Neels Gap) TH</t>
  </si>
  <si>
    <t>Tesnatee Gap TH</t>
  </si>
  <si>
    <t>Thu, Mar 18</t>
  </si>
  <si>
    <t>SR 348</t>
  </si>
  <si>
    <t>GA 348 TH</t>
  </si>
  <si>
    <t>Fri, Mar 19</t>
  </si>
  <si>
    <t>1 - Helen GA 30545/Hiawassee GA 30546/SR 75Notes</t>
  </si>
  <si>
    <t>Sat, Mar 20</t>
  </si>
  <si>
    <t>USFS 283 (Indian Grave Gap) TH</t>
  </si>
  <si>
    <t>USFS 79 (Tray Gap) TH</t>
  </si>
  <si>
    <t>Sun, Mar 21</t>
  </si>
  <si>
    <t>Dicks Creek Gap TH</t>
  </si>
  <si>
    <t>Mon, Mar 22</t>
  </si>
  <si>
    <t>Blue Ridge Gap TH</t>
  </si>
  <si>
    <t>Tue, Mar 23</t>
  </si>
  <si>
    <t>Deep Gap TH</t>
  </si>
  <si>
    <t>Carter Gap (old shelter)</t>
  </si>
  <si>
    <t>Wed, Mar 24</t>
  </si>
  <si>
    <t>Albert Mountain TH</t>
  </si>
  <si>
    <t>Thu, Mar 25</t>
  </si>
  <si>
    <t>Big Spring Gap Shelter</t>
  </si>
  <si>
    <t>USFS 67 (Rock Gap) TH</t>
  </si>
  <si>
    <t>Wallace Gap TH</t>
  </si>
  <si>
    <t>SR 1448</t>
  </si>
  <si>
    <t>Winding Stair Gap TH</t>
  </si>
  <si>
    <t>Fri, Mar 26</t>
  </si>
  <si>
    <t>2 - Franklin NC 28734/Winding Stair Gap TH/US Hwy 64Notes</t>
  </si>
  <si>
    <t>Siler Bald Shelter</t>
  </si>
  <si>
    <t>Sat, Mar 27</t>
  </si>
  <si>
    <t>Wayah Crest TH</t>
  </si>
  <si>
    <t>SR 1310</t>
  </si>
  <si>
    <t>No Official Name Or Unknown TH</t>
  </si>
  <si>
    <t>Wayah Bald parking area TH</t>
  </si>
  <si>
    <t>Wayah Bald Shelter</t>
  </si>
  <si>
    <t>Burningtown Gap TH</t>
  </si>
  <si>
    <t>Sun, Mar 28</t>
  </si>
  <si>
    <t>Tellico Gap TH</t>
  </si>
  <si>
    <t>SR 1365</t>
  </si>
  <si>
    <t>Rufus Morgan Shelter</t>
  </si>
  <si>
    <t>Mon, Mar 29</t>
  </si>
  <si>
    <t>SR 1103</t>
  </si>
  <si>
    <t>2 - US Hwy 74Notes</t>
  </si>
  <si>
    <t>Sasafras Gap Shelter</t>
  </si>
  <si>
    <t>Tue, Mar 30</t>
  </si>
  <si>
    <t>NC 143 (Stecoah Gap) TH</t>
  </si>
  <si>
    <t>Wed, Mar 31</t>
  </si>
  <si>
    <t>SR 143</t>
  </si>
  <si>
    <t>Yellow Creek Gap TH</t>
  </si>
  <si>
    <t>Thu, Apr 01</t>
  </si>
  <si>
    <t>County Rd 1242</t>
  </si>
  <si>
    <t>SR 28</t>
  </si>
  <si>
    <t>2 - Fontana Dam NC 28733/Fontana Village Marina THNotes</t>
  </si>
  <si>
    <t>Fri, Apr 02</t>
  </si>
  <si>
    <t>County Rd 1245</t>
  </si>
  <si>
    <t>Fontana Dam Picnic Area TH</t>
  </si>
  <si>
    <t>Fontana Dam Visitors Center TH</t>
  </si>
  <si>
    <t>Fontana Dam North Trailhead TH</t>
  </si>
  <si>
    <t>Sat, Apr 03</t>
  </si>
  <si>
    <t>Sun, Apr 04</t>
  </si>
  <si>
    <t>Mon, Apr 05</t>
  </si>
  <si>
    <t>Silers Bald Shelter</t>
  </si>
  <si>
    <t>Clingmans Dome TH</t>
  </si>
  <si>
    <t>Tue, Apr 06</t>
  </si>
  <si>
    <t>Mount Collins Shelter</t>
  </si>
  <si>
    <t>Clingman's Dome Road (Indian Gap) TH</t>
  </si>
  <si>
    <t>Gatlinburg TN 37738/US Hwy 441/SR 71</t>
  </si>
  <si>
    <t>Wed, Apr 07</t>
  </si>
  <si>
    <t>US 441 (Newfound Gap) TH</t>
  </si>
  <si>
    <t>Thu, Apr 08</t>
  </si>
  <si>
    <t>Tri-corner Knob Shelter</t>
  </si>
  <si>
    <t>Fri, Apr 09</t>
  </si>
  <si>
    <t>Sat, Apr 10</t>
  </si>
  <si>
    <t>SR 1397</t>
  </si>
  <si>
    <t>I-40</t>
  </si>
  <si>
    <t>3 - Waterville School Road THNotes</t>
  </si>
  <si>
    <t>Sun, Apr 11</t>
  </si>
  <si>
    <t>Mon, Apr 12</t>
  </si>
  <si>
    <t>Brown Gap TH</t>
  </si>
  <si>
    <t>State Road 1182 TH</t>
  </si>
  <si>
    <t>SR 1182</t>
  </si>
  <si>
    <t>NC 1182 (Max Patch) TH</t>
  </si>
  <si>
    <t>Tue, Apr 13</t>
  </si>
  <si>
    <t>Roaring Fork (old shelter location)</t>
  </si>
  <si>
    <t>Lemon Gap TH</t>
  </si>
  <si>
    <t>SR 1173</t>
  </si>
  <si>
    <t>Wed, Apr 14</t>
  </si>
  <si>
    <t>Garenflo Gap TH</t>
  </si>
  <si>
    <t>Deer Park Shelter</t>
  </si>
  <si>
    <t>3 - Trail head parking in Hot Springs THNotes</t>
  </si>
  <si>
    <t>Thu, Apr 15</t>
  </si>
  <si>
    <t>Hot Springs NC 28743</t>
  </si>
  <si>
    <t>SR 209</t>
  </si>
  <si>
    <t>US Hwy 70</t>
  </si>
  <si>
    <t>Fri, Apr 16</t>
  </si>
  <si>
    <t>SR 70</t>
  </si>
  <si>
    <t>Sat, Apr 17</t>
  </si>
  <si>
    <t>TN 70 (Allen Gap) TH</t>
  </si>
  <si>
    <t>Jerry's Cabin Shelter</t>
  </si>
  <si>
    <t>Sun, Apr 18</t>
  </si>
  <si>
    <t>Devil's Fork Gap TH</t>
  </si>
  <si>
    <t>Mon, Apr 19</t>
  </si>
  <si>
    <t>SR 212</t>
  </si>
  <si>
    <t>Hog Back Ridge Shelter</t>
  </si>
  <si>
    <t>SR 81</t>
  </si>
  <si>
    <t>I-26</t>
  </si>
  <si>
    <t>I-26, US 23 (Sams Gap) TH</t>
  </si>
  <si>
    <t>Street Gap TH</t>
  </si>
  <si>
    <t>Tue, Apr 20</t>
  </si>
  <si>
    <t>Spivey Gap TH</t>
  </si>
  <si>
    <t>Wed, Apr 21</t>
  </si>
  <si>
    <t>4 - Erwin TN 37650Notes</t>
  </si>
  <si>
    <t>Thu, Apr 22</t>
  </si>
  <si>
    <t>Curly Maple Gap Shelter</t>
  </si>
  <si>
    <t>Fri, Apr 23</t>
  </si>
  <si>
    <t>SR 197</t>
  </si>
  <si>
    <t>TN 395 (Indian Grave Gap) TH</t>
  </si>
  <si>
    <t>Sat, Apr 24</t>
  </si>
  <si>
    <t>Iron Mountain Gap TH</t>
  </si>
  <si>
    <t>SR 107</t>
  </si>
  <si>
    <t>SR 1331</t>
  </si>
  <si>
    <t>Sun, Apr 25</t>
  </si>
  <si>
    <t>Cove Creek Road TH</t>
  </si>
  <si>
    <t>Cloudlands TH</t>
  </si>
  <si>
    <t>Mon, Apr 26</t>
  </si>
  <si>
    <t>Carvers Gap TH</t>
  </si>
  <si>
    <t>Carvers Gap Overflow TH</t>
  </si>
  <si>
    <t>SR 261</t>
  </si>
  <si>
    <t>Tue, Apr 27</t>
  </si>
  <si>
    <t>US 19e TH</t>
  </si>
  <si>
    <t>4 - Roan Mountain TN 37687/Elk Park NC 28622/SR 37Notes</t>
  </si>
  <si>
    <t>Wed, Apr 28</t>
  </si>
  <si>
    <t>Campbell Tract TH</t>
  </si>
  <si>
    <t>Mountaineer Falls Shelter</t>
  </si>
  <si>
    <t>Walnut Mountain Road TH</t>
  </si>
  <si>
    <t>Thu, Apr 29</t>
  </si>
  <si>
    <t>Bitter End Road TH</t>
  </si>
  <si>
    <t>Dennis Cove Road TH</t>
  </si>
  <si>
    <t>Fri, Apr 30</t>
  </si>
  <si>
    <t>SR 67</t>
  </si>
  <si>
    <t>Shook Branch Recreation Area TH</t>
  </si>
  <si>
    <t>US 321 Cherokee National Forest TH</t>
  </si>
  <si>
    <t>5 - Hampton TN 37658Notes</t>
  </si>
  <si>
    <t>Sat, May 01</t>
  </si>
  <si>
    <t>Watauga Lake Shelter</t>
  </si>
  <si>
    <t>Watauga Dam Road TH</t>
  </si>
  <si>
    <t>Sun, May 02</t>
  </si>
  <si>
    <t>TN 91 TH</t>
  </si>
  <si>
    <t>Shady Valley TN 37688/TN 91/Cross Mountain TH</t>
  </si>
  <si>
    <t>SR 91</t>
  </si>
  <si>
    <t>US 421 TH</t>
  </si>
  <si>
    <t>US Hwy 421</t>
  </si>
  <si>
    <t>McQueens Knob (Emergency Shelter)</t>
  </si>
  <si>
    <t>Mon, May 03</t>
  </si>
  <si>
    <t>The Place Shelter</t>
  </si>
  <si>
    <t>5 - Damascus VA 24236Notes</t>
  </si>
  <si>
    <t>Tue, May 04</t>
  </si>
  <si>
    <t>US Hwy 58</t>
  </si>
  <si>
    <t>US 58 TH</t>
  </si>
  <si>
    <t>Wed, May 05</t>
  </si>
  <si>
    <t>Whitetop Laurel Creek TH</t>
  </si>
  <si>
    <t>County Rd 859</t>
  </si>
  <si>
    <t>VA 601 TH</t>
  </si>
  <si>
    <t>Thu, May 06</t>
  </si>
  <si>
    <t>County Rd 601</t>
  </si>
  <si>
    <t>USFS 89 (Whitetop Mountian Road) TH</t>
  </si>
  <si>
    <t>Elk Garden TH</t>
  </si>
  <si>
    <t>County Rd 600</t>
  </si>
  <si>
    <t>Grayson Highlands State Park TH</t>
  </si>
  <si>
    <t>Fri, May 07</t>
  </si>
  <si>
    <t>Grayson Highlands State Park (Massie Gap) TH</t>
  </si>
  <si>
    <t>Scales TH</t>
  </si>
  <si>
    <t>VA 603 (Fox Creek) TH</t>
  </si>
  <si>
    <t>Troutdale VA 24378/SR 603</t>
  </si>
  <si>
    <t>VA 650 TH</t>
  </si>
  <si>
    <t>Sat, May 08</t>
  </si>
  <si>
    <t>County Rd 650</t>
  </si>
  <si>
    <t>Raccoon Branch (old shelter)</t>
  </si>
  <si>
    <t>County Rd 672</t>
  </si>
  <si>
    <t>Sugar Grove VA 24375/VA 670 TH/County Rd 670</t>
  </si>
  <si>
    <t>Sun, May 09</t>
  </si>
  <si>
    <t>VA 16 (Mt Rogers Headquarters) TH</t>
  </si>
  <si>
    <t>County Rd 622</t>
  </si>
  <si>
    <t>USFS 86 TH</t>
  </si>
  <si>
    <t>Chatfield Memorial Shelter</t>
  </si>
  <si>
    <t>Settlers Museum TH</t>
  </si>
  <si>
    <t>County Rd 615</t>
  </si>
  <si>
    <t>County Rd 729</t>
  </si>
  <si>
    <t>Mon, May 10</t>
  </si>
  <si>
    <t>6 - Atkins VA 24311Notes</t>
  </si>
  <si>
    <t>US Hwy 11</t>
  </si>
  <si>
    <t>I-81</t>
  </si>
  <si>
    <t>County Rd 617</t>
  </si>
  <si>
    <t>VA 617 TH</t>
  </si>
  <si>
    <t>Davis Path (old shelter)</t>
  </si>
  <si>
    <t>County Rd 610</t>
  </si>
  <si>
    <t>Tue, May 11</t>
  </si>
  <si>
    <t>SR 742</t>
  </si>
  <si>
    <t>SR 42</t>
  </si>
  <si>
    <t>VA 42 TH</t>
  </si>
  <si>
    <t>Knot Maul Shelter</t>
  </si>
  <si>
    <t>USFS 222 TH</t>
  </si>
  <si>
    <t>SR 625</t>
  </si>
  <si>
    <t>Wed, May 12</t>
  </si>
  <si>
    <t>Walker Gap TH</t>
  </si>
  <si>
    <t>VA 623 TH</t>
  </si>
  <si>
    <t>SR 623</t>
  </si>
  <si>
    <t>Thu, May 13</t>
  </si>
  <si>
    <t>VA 615 TH</t>
  </si>
  <si>
    <t>SR 615</t>
  </si>
  <si>
    <t>US 21 &amp; 52 TH</t>
  </si>
  <si>
    <t>Bastian VA 24314/Bland VA 24315</t>
  </si>
  <si>
    <t>US Hwy 52</t>
  </si>
  <si>
    <t>SR 612</t>
  </si>
  <si>
    <t>I-77</t>
  </si>
  <si>
    <t>VA 612 TH</t>
  </si>
  <si>
    <t>Helvey's Mill Shelter</t>
  </si>
  <si>
    <t>VA 611 TH</t>
  </si>
  <si>
    <t>Fri, May 14</t>
  </si>
  <si>
    <t>SR 611</t>
  </si>
  <si>
    <t>SR 608</t>
  </si>
  <si>
    <t>VA 606 TH</t>
  </si>
  <si>
    <t>Sat, May 15</t>
  </si>
  <si>
    <t>SR 606</t>
  </si>
  <si>
    <t>VA 663 (Sugar Run Gap) TH</t>
  </si>
  <si>
    <t>Sun, May 16</t>
  </si>
  <si>
    <t>Doc's Knob Shelter</t>
  </si>
  <si>
    <t>SR 793</t>
  </si>
  <si>
    <t>7 - Pearisburg VA 24134/SR 100Notes</t>
  </si>
  <si>
    <t>Mon, May 17</t>
  </si>
  <si>
    <t>US Hwy 460</t>
  </si>
  <si>
    <t>SR 641</t>
  </si>
  <si>
    <t>VA 614 TH</t>
  </si>
  <si>
    <t>Pine Swamp Shelter</t>
  </si>
  <si>
    <t>Tue, May 18</t>
  </si>
  <si>
    <t>VA 635 TH</t>
  </si>
  <si>
    <t>SR 635</t>
  </si>
  <si>
    <t>VA 613 TH</t>
  </si>
  <si>
    <t>Wed, May 19</t>
  </si>
  <si>
    <t>Wind Rock TH</t>
  </si>
  <si>
    <t>VA 632 And USFS 156 TH</t>
  </si>
  <si>
    <t>SR 632</t>
  </si>
  <si>
    <t>VA 601 (Rocky Gap) TH</t>
  </si>
  <si>
    <t>Thu, May 20</t>
  </si>
  <si>
    <t>VA 630 TH</t>
  </si>
  <si>
    <t>VA 621 TH</t>
  </si>
  <si>
    <t>SR 621</t>
  </si>
  <si>
    <t>VA 620 TH</t>
  </si>
  <si>
    <t>Fri, May 21</t>
  </si>
  <si>
    <t>SR 620</t>
  </si>
  <si>
    <t>Pickle Branch Shelter</t>
  </si>
  <si>
    <t>VA 311 TH</t>
  </si>
  <si>
    <t>Sat, May 22</t>
  </si>
  <si>
    <t>SR 624</t>
  </si>
  <si>
    <t>Catawba VA 24070</t>
  </si>
  <si>
    <t>SR 785</t>
  </si>
  <si>
    <t>SR 311</t>
  </si>
  <si>
    <t>John's Spring Shelter</t>
  </si>
  <si>
    <t>Catawba Shelter</t>
  </si>
  <si>
    <t>Sun, May 23</t>
  </si>
  <si>
    <t>US 220 Commuter Parking Lot TH</t>
  </si>
  <si>
    <t>US Hwy 220</t>
  </si>
  <si>
    <t>8 - Cloverdale VA 24077/Daleville VA 24083/US Hwy 220Notes</t>
  </si>
  <si>
    <t>Mon, May 24</t>
  </si>
  <si>
    <t>SR 653</t>
  </si>
  <si>
    <t>US 11 TH</t>
  </si>
  <si>
    <t>Troutville VA 24175/US Hwy 11</t>
  </si>
  <si>
    <t>SR 652</t>
  </si>
  <si>
    <t>Wilson Creek Shelter</t>
  </si>
  <si>
    <t>Tue, May 25</t>
  </si>
  <si>
    <t>Blue Ridge Parkway (Black Horse Gap) TH</t>
  </si>
  <si>
    <t>Blue Ridge Parkway (Montvale Overlook) TH</t>
  </si>
  <si>
    <t>Blue Ridge Parkway (Harveys Knob Overlook) TH</t>
  </si>
  <si>
    <t>Bobblet's Gap Shelter</t>
  </si>
  <si>
    <t>Blue Ridge Parkway (Sharptop &amp; Peaks Of Otter Overlook) TH</t>
  </si>
  <si>
    <t>Blue Ridge Parkway (Mills Gap) TH</t>
  </si>
  <si>
    <t>Buchanan VA 24066</t>
  </si>
  <si>
    <t>VA 43 TH</t>
  </si>
  <si>
    <t>SR 43</t>
  </si>
  <si>
    <t>Wed, May 26</t>
  </si>
  <si>
    <t>SR 614</t>
  </si>
  <si>
    <t>Thu, May 27</t>
  </si>
  <si>
    <t>USFS 812 TH</t>
  </si>
  <si>
    <t>County Road 3011 TH</t>
  </si>
  <si>
    <t>Big Island VA 24526/Petites Gap Road (USFS 35) TH/SR 781</t>
  </si>
  <si>
    <t>Matts creek Shelter</t>
  </si>
  <si>
    <t>Fri, May 28</t>
  </si>
  <si>
    <t>8 - Glasgow VA 24555/US 501 THNotes</t>
  </si>
  <si>
    <t>Sat, May 29</t>
  </si>
  <si>
    <t>SR 130</t>
  </si>
  <si>
    <t>Boat Lanch TH</t>
  </si>
  <si>
    <t>SR 812</t>
  </si>
  <si>
    <t>Blue Ridge Parkway (Punchbowl) TH</t>
  </si>
  <si>
    <t>Blue Ridge Parkway (Mile 51.7) TH</t>
  </si>
  <si>
    <t>SR 607</t>
  </si>
  <si>
    <t>USFS 38 TH</t>
  </si>
  <si>
    <t>Sun, May 30</t>
  </si>
  <si>
    <t>Buena Vista VA 24416</t>
  </si>
  <si>
    <t>US Hwy 60</t>
  </si>
  <si>
    <t>US 60 Long Mtn Wayside TH</t>
  </si>
  <si>
    <t>Mon, May 31</t>
  </si>
  <si>
    <t>USFS 48 TH</t>
  </si>
  <si>
    <t>USFS 63 TH</t>
  </si>
  <si>
    <t>SR 634</t>
  </si>
  <si>
    <t>Seeley Woodowrth Shelter</t>
  </si>
  <si>
    <t>SR 826</t>
  </si>
  <si>
    <t>Tue, Jun 01</t>
  </si>
  <si>
    <t>VA 56 TH</t>
  </si>
  <si>
    <t>Montebello VA 24464/SR 56</t>
  </si>
  <si>
    <t>Wed, Jun 02</t>
  </si>
  <si>
    <t>SR 664</t>
  </si>
  <si>
    <t>VA 664 (Reeds Gap) TH</t>
  </si>
  <si>
    <t>Blue Ridge Parkway (3 Ridges Overlook) TH</t>
  </si>
  <si>
    <t>Dripping Rock TH</t>
  </si>
  <si>
    <t>Thu, Jun 03</t>
  </si>
  <si>
    <t>Blue Ridge Parkway (Humpback Picnic Parking) TH</t>
  </si>
  <si>
    <t>Blue Ridge Parkway (Humpback Gap) TH</t>
  </si>
  <si>
    <t>Paul C. Wolfe Shelter</t>
  </si>
  <si>
    <t>US Hwy 250</t>
  </si>
  <si>
    <t>Fri, Jun 04</t>
  </si>
  <si>
    <t>9 - Waynesboro VA 22980/I-64/I-64Notes</t>
  </si>
  <si>
    <t>Skyline Drive (McCormick Gap) TH</t>
  </si>
  <si>
    <t>Skyline Drive (Beagle Gap) TH</t>
  </si>
  <si>
    <t>Sat, Jun 05</t>
  </si>
  <si>
    <t>Skyline Drive (Sawmill Run Overlook) TH</t>
  </si>
  <si>
    <t>Skyline Drive (Turk Gap) TH</t>
  </si>
  <si>
    <t>Skyline Drive (Wildcat Ridge) TH</t>
  </si>
  <si>
    <t>Skyline Drive (Riprap) TH</t>
  </si>
  <si>
    <t>Skyline Drive (Black Rock Gap) TH</t>
  </si>
  <si>
    <t>Sun, Jun 06</t>
  </si>
  <si>
    <t>Blackrock Hut Shelter</t>
  </si>
  <si>
    <t>Skyline Drive (Black Rock) TH</t>
  </si>
  <si>
    <t>Skyline Drive (Jones Run) TH</t>
  </si>
  <si>
    <t>Skyline Drive (Browns Gap) TH</t>
  </si>
  <si>
    <t>Skyline Drive (Doyles River Overlook) TH</t>
  </si>
  <si>
    <t>Skyline Drive (Doyles River Trailhead) TH</t>
  </si>
  <si>
    <t>Skyline Drive (Ivy Creek Overlook) TH</t>
  </si>
  <si>
    <t>Pinefield Hut Shelter</t>
  </si>
  <si>
    <t>Mon, Jun 07</t>
  </si>
  <si>
    <t>Skyline Drive (Simmons Gap) TH</t>
  </si>
  <si>
    <t>SR 628</t>
  </si>
  <si>
    <t>Skyline Drive (Smith Roach Gap) TH</t>
  </si>
  <si>
    <t>Hightop Hut Shelter</t>
  </si>
  <si>
    <t>Skyline Drive (Hightop Mountain) TH</t>
  </si>
  <si>
    <t>US Hwy 33</t>
  </si>
  <si>
    <t>Pocosin Cabin Shelter</t>
  </si>
  <si>
    <t>Tue, Jun 08</t>
  </si>
  <si>
    <t>Bearfence Mountain Hut Shelter</t>
  </si>
  <si>
    <t>Bearfence Mountain Hut TH</t>
  </si>
  <si>
    <t>Skyline Drive (Bearfence Mountain) TH</t>
  </si>
  <si>
    <t>Skyline Drive (Bootens Gap) TH</t>
  </si>
  <si>
    <t>Skyline Drive (Milam Gap) TH</t>
  </si>
  <si>
    <t>Skyline Drive (Tanners Ridge overlook) TH</t>
  </si>
  <si>
    <t>Rock Spring Hut Shelter</t>
  </si>
  <si>
    <t>Wed, Jun 09</t>
  </si>
  <si>
    <t>Skyline Drive (Lower Hawksbill lot) TH</t>
  </si>
  <si>
    <t>Skyline Drive (Skyland South) TH</t>
  </si>
  <si>
    <t>Skyline Drive (stables) TH</t>
  </si>
  <si>
    <t>Skyline Drive (Nature Trail Parking) TH</t>
  </si>
  <si>
    <t>Skyline Drive (Little Stony Man) TH</t>
  </si>
  <si>
    <t>Byrds Nest 3 Shelter</t>
  </si>
  <si>
    <t>Thornton Gap TH</t>
  </si>
  <si>
    <t>Thu, Jun 10</t>
  </si>
  <si>
    <t>10 - US Hwy 211Notes</t>
  </si>
  <si>
    <t>US Hwy 211</t>
  </si>
  <si>
    <t>Pass Mountain Hut Shelter</t>
  </si>
  <si>
    <t>Skyline Drive (Beahms Gap) TH</t>
  </si>
  <si>
    <t>Skyline Drive (Elkwallow Wayside) TH</t>
  </si>
  <si>
    <t>Fri, Jun 11</t>
  </si>
  <si>
    <t>Skyline Drive (Hogback Mountain) TH</t>
  </si>
  <si>
    <t>Skyline Drive (Little Hogback Overlook) TH</t>
  </si>
  <si>
    <t>Gravel Springs Hut Shelter</t>
  </si>
  <si>
    <t>Skyline Drive (Gravel Springs Gap) TH</t>
  </si>
  <si>
    <t>Skyline Drive (Marshall) TH</t>
  </si>
  <si>
    <t>Skyline Drive (Compton Gap) TH</t>
  </si>
  <si>
    <t>Sat, Jun 12</t>
  </si>
  <si>
    <t>SR 601</t>
  </si>
  <si>
    <t>Tom Floyd Wayside Shelter</t>
  </si>
  <si>
    <t>SR 602</t>
  </si>
  <si>
    <t>VA 522 (Chester Gap) TH</t>
  </si>
  <si>
    <t>US Hwy 522</t>
  </si>
  <si>
    <t>VA 638 (Fiery Run Road) TH</t>
  </si>
  <si>
    <t>VA 638 TH</t>
  </si>
  <si>
    <t>Linden VA 22642/Front Royal VA 22630/VA 55 (Manassas Gap) TH</t>
  </si>
  <si>
    <t>I-66</t>
  </si>
  <si>
    <t>VA 725 TH</t>
  </si>
  <si>
    <t>County Rd 725</t>
  </si>
  <si>
    <t>Sun, Jun 13</t>
  </si>
  <si>
    <t>Manassass Gap Shelter</t>
  </si>
  <si>
    <t>Upper Ted Lake Parking Area TH</t>
  </si>
  <si>
    <t>Dick's Dome Shelter</t>
  </si>
  <si>
    <t>US Hwy 17</t>
  </si>
  <si>
    <t>US Hwy 50</t>
  </si>
  <si>
    <t>SR 605</t>
  </si>
  <si>
    <t>Mon, Jun 14</t>
  </si>
  <si>
    <t>Bears Den Hostel Shelter</t>
  </si>
  <si>
    <t>Bluemont VA 20135</t>
  </si>
  <si>
    <t>SR 679</t>
  </si>
  <si>
    <t>SR 7</t>
  </si>
  <si>
    <t>Rt. 679 / Snickers Gap north side TH</t>
  </si>
  <si>
    <t>Blackburn Trail Center Shelter</t>
  </si>
  <si>
    <t>Tue, Jun 15</t>
  </si>
  <si>
    <t>VA 9 (Keys Gap) TH</t>
  </si>
  <si>
    <t>SR 9</t>
  </si>
  <si>
    <t>County Rd 32</t>
  </si>
  <si>
    <t>SR 340</t>
  </si>
  <si>
    <t>Shenandoah Street TH</t>
  </si>
  <si>
    <t>ATC Headquarters - Harpers Ferry Shelter</t>
  </si>
  <si>
    <t>11 - Harpers Ferry WV 25425Notes</t>
  </si>
  <si>
    <t>Wed, Jun 16</t>
  </si>
  <si>
    <t>US Hwy 340</t>
  </si>
  <si>
    <t>Keep Tryst Road TH</t>
  </si>
  <si>
    <t>Weverton Road TH</t>
  </si>
  <si>
    <t>Gathland State Park (south parking area) TH</t>
  </si>
  <si>
    <t>Gathland State Park (north parking area) TH</t>
  </si>
  <si>
    <t>Thu, Jun 17</t>
  </si>
  <si>
    <t>Reno Monument Road (Fox Gap) TH</t>
  </si>
  <si>
    <t>US Alt. 40 (Turners Gap) TH</t>
  </si>
  <si>
    <t>US Hwy 40</t>
  </si>
  <si>
    <t>Dahlgren Chapel TH</t>
  </si>
  <si>
    <t>Washington Monument Road (Hiker Parking) TH</t>
  </si>
  <si>
    <t>Washington Monument Road (Main Parking) TH</t>
  </si>
  <si>
    <t>Boonsboro Mountain Road TH</t>
  </si>
  <si>
    <t>I-70</t>
  </si>
  <si>
    <t>US 40 (Annapolis Rock) TH</t>
  </si>
  <si>
    <t>MD 17 (Wolfsville Road) TH</t>
  </si>
  <si>
    <t>Fri, Jun 18</t>
  </si>
  <si>
    <t>Ensign Cowall Shelter</t>
  </si>
  <si>
    <t>Smithsburg MD 21783/SR 77</t>
  </si>
  <si>
    <t>Warner Gap Rd TH</t>
  </si>
  <si>
    <t>SR 491</t>
  </si>
  <si>
    <t>Devil's Racecourse (old shelter)</t>
  </si>
  <si>
    <t>High Rock Road TH</t>
  </si>
  <si>
    <t>Cascade MD 21719/Pen Mar Road TH</t>
  </si>
  <si>
    <t>PA 16 TH</t>
  </si>
  <si>
    <t>SR 16</t>
  </si>
  <si>
    <t>Mentzer Gap Road TH</t>
  </si>
  <si>
    <t>Rattlesnake Run Road (Pipeline) TH</t>
  </si>
  <si>
    <t>Rattlesnake Run Road TH</t>
  </si>
  <si>
    <t>Sat, Jun 19</t>
  </si>
  <si>
    <t>Tumbling Run Road (Old Forge Road) TH</t>
  </si>
  <si>
    <t>Snowy Mountain Road TH</t>
  </si>
  <si>
    <t>South Mountain PA 17261</t>
  </si>
  <si>
    <t>PA 233 TH</t>
  </si>
  <si>
    <t>Rocky Mountain Shelter</t>
  </si>
  <si>
    <t>12 - Fayetteville PA 17222/US Hwy 30Notes</t>
  </si>
  <si>
    <t>Sun, Jun 20</t>
  </si>
  <si>
    <t>US 30 (Caledonia State Park) TH</t>
  </si>
  <si>
    <t>Caledonia State Park TH</t>
  </si>
  <si>
    <t>Quarry Gap Shelter</t>
  </si>
  <si>
    <t>Milesburn Cabin Shelter</t>
  </si>
  <si>
    <t>Birch Run Shelter</t>
  </si>
  <si>
    <t>Shippensburg-Arendtsville Road (Big Flat) TH</t>
  </si>
  <si>
    <t>Dead Woman's Hollow TH</t>
  </si>
  <si>
    <t>Tom's Run Shelter</t>
  </si>
  <si>
    <t>Old Shippensburg Road TH</t>
  </si>
  <si>
    <t>Mon, Jun 21</t>
  </si>
  <si>
    <t>SR 233</t>
  </si>
  <si>
    <t>Ironmasters Mansion Shelter</t>
  </si>
  <si>
    <t>Pine Grove Furnace State Park TH</t>
  </si>
  <si>
    <t>Pine Grove Furnace State Park (Old Railroad Bed Road 2) TH</t>
  </si>
  <si>
    <t>James Fry at Tagg Run Shelter</t>
  </si>
  <si>
    <t>Green Mountain Road (Tagg Run) TH</t>
  </si>
  <si>
    <t>PA 34 (Hunter's Run) TH</t>
  </si>
  <si>
    <t>SR 34</t>
  </si>
  <si>
    <t>Appalachian Trail Road TH</t>
  </si>
  <si>
    <t>12 - Mt. Holly Springs PA 17065/SR 94Notes</t>
  </si>
  <si>
    <t>Sheet Iron Roof Road TH</t>
  </si>
  <si>
    <t>Whiskey Springs Road TH</t>
  </si>
  <si>
    <t>No Official Name or Unknown TH</t>
  </si>
  <si>
    <t>Leidigh Road (south side only) TH</t>
  </si>
  <si>
    <t>Tue, Jun 22</t>
  </si>
  <si>
    <t>Fishing Parking Lot TH</t>
  </si>
  <si>
    <t>ATC Mid-Atlantic Office Shelter</t>
  </si>
  <si>
    <t>Boiling Springs PA 17007/SR 174</t>
  </si>
  <si>
    <t>PA 74 (York Road - north side only) TH</t>
  </si>
  <si>
    <t>Lisburn Road TH</t>
  </si>
  <si>
    <t>PA 641 (Trindle Road) TH</t>
  </si>
  <si>
    <t>I-76</t>
  </si>
  <si>
    <t>Scott Farm Shelter</t>
  </si>
  <si>
    <t>Sherwood Drive TH</t>
  </si>
  <si>
    <t>SR 944</t>
  </si>
  <si>
    <t>PA 850 TH</t>
  </si>
  <si>
    <t>SR 850</t>
  </si>
  <si>
    <t>Wed, Jun 23</t>
  </si>
  <si>
    <t>US Hwy 15</t>
  </si>
  <si>
    <t>13 - Duncannon PA 17020Notes</t>
  </si>
  <si>
    <t>SR 849</t>
  </si>
  <si>
    <t>US Hwy 22</t>
  </si>
  <si>
    <t>SR 147</t>
  </si>
  <si>
    <t>Clark's Ferry Shelter</t>
  </si>
  <si>
    <t>Thu, Jun 24</t>
  </si>
  <si>
    <t>SR 225</t>
  </si>
  <si>
    <t>PA 225 TH</t>
  </si>
  <si>
    <t>SR 325</t>
  </si>
  <si>
    <t>PA 325 TH</t>
  </si>
  <si>
    <t>Fri, Jun 25</t>
  </si>
  <si>
    <t>Rausch Gap TH</t>
  </si>
  <si>
    <t>SR 443</t>
  </si>
  <si>
    <t>PA 443 (Swatara State Park) TH</t>
  </si>
  <si>
    <t>PA 72 (Swatara State Park) TH</t>
  </si>
  <si>
    <t>SR 72</t>
  </si>
  <si>
    <t>PA 645 TH</t>
  </si>
  <si>
    <t>Sat, Jun 26</t>
  </si>
  <si>
    <t>SR 645</t>
  </si>
  <si>
    <t>PA 501 Shelter</t>
  </si>
  <si>
    <t>Pine Grove PA 17963/PA 501 TH</t>
  </si>
  <si>
    <t>SR 501</t>
  </si>
  <si>
    <t>PA 183 (south) TH</t>
  </si>
  <si>
    <t>SR 183</t>
  </si>
  <si>
    <t>PA 183 (north) TH</t>
  </si>
  <si>
    <t>PA 61 TH</t>
  </si>
  <si>
    <t>Sun, Jun 27</t>
  </si>
  <si>
    <t>SR 61</t>
  </si>
  <si>
    <t>13 - Port Clinton PA 19549/Port Clinton Ave THNotes</t>
  </si>
  <si>
    <t>Hamburg Watershed TH</t>
  </si>
  <si>
    <t>Mon, Jun 28</t>
  </si>
  <si>
    <t>Hawk Mountain Road TH</t>
  </si>
  <si>
    <t>Allentown Shelter</t>
  </si>
  <si>
    <t>Fort Franklin Road (Blue Mountainhouse Road) TH</t>
  </si>
  <si>
    <t>SR 309</t>
  </si>
  <si>
    <t>PA 309 TH</t>
  </si>
  <si>
    <t>Bake Oven Knob Road (west side) TH</t>
  </si>
  <si>
    <t>Tue, Jun 29</t>
  </si>
  <si>
    <t>Bake Oven Knob Road (east side) TH</t>
  </si>
  <si>
    <t>Ashfield Road (Lehigh Furnace Gap) TH</t>
  </si>
  <si>
    <t>I-476</t>
  </si>
  <si>
    <t>Lehigh Gap West TH</t>
  </si>
  <si>
    <t>Slatington PA 18080/SR 873</t>
  </si>
  <si>
    <t>SR 145</t>
  </si>
  <si>
    <t>SR 248</t>
  </si>
  <si>
    <t>Lehigh Gap East TH</t>
  </si>
  <si>
    <t>Blue Mountain Drive (Little Gap) TH</t>
  </si>
  <si>
    <t>Danielsville PA 18038</t>
  </si>
  <si>
    <t>Smith Gap TH</t>
  </si>
  <si>
    <t>Wed, Jun 30</t>
  </si>
  <si>
    <t>SR 33</t>
  </si>
  <si>
    <t>PA 115 (Wind Gap) TH</t>
  </si>
  <si>
    <t>Wind Gap PA 18091/SR 115</t>
  </si>
  <si>
    <t>PA 191 (Fox Gap) TH</t>
  </si>
  <si>
    <t>SR 191</t>
  </si>
  <si>
    <t>Delaware Water Gap (Lake Lenape) TH</t>
  </si>
  <si>
    <t>Thu, Jul 01</t>
  </si>
  <si>
    <t>14 - Delaware Water Gap PA 18327Notes</t>
  </si>
  <si>
    <t>AT Overflow Parking TH</t>
  </si>
  <si>
    <t>I-80</t>
  </si>
  <si>
    <t>I-80 TH</t>
  </si>
  <si>
    <t>Dunnfield Creek Natural Area TH</t>
  </si>
  <si>
    <t>Mohican Outdoor Center (Camp Road) TH</t>
  </si>
  <si>
    <t>Fri, Jul 02</t>
  </si>
  <si>
    <t>Fire Road Entrance TH</t>
  </si>
  <si>
    <t>Blairstown Road TH</t>
  </si>
  <si>
    <t>Blue Mountain Lakes Road TH</t>
  </si>
  <si>
    <t>County Rd 624</t>
  </si>
  <si>
    <t>Sat, Jul 03</t>
  </si>
  <si>
    <t>Branchville NJ 07826</t>
  </si>
  <si>
    <t>US Hwy 206</t>
  </si>
  <si>
    <t>County Rd 636</t>
  </si>
  <si>
    <t>Culvers Gap TH</t>
  </si>
  <si>
    <t>Sunrise Mountain Picnic Shelter</t>
  </si>
  <si>
    <t>Sunrise Mountain Pavilion TH</t>
  </si>
  <si>
    <t>Mashipicong Shelter</t>
  </si>
  <si>
    <t>Deckertown Turnpike TH</t>
  </si>
  <si>
    <t>NJ 23 (High Point State Park) TH</t>
  </si>
  <si>
    <t>SR 23</t>
  </si>
  <si>
    <t>County Road 519 TH</t>
  </si>
  <si>
    <t>Sun, Jul 04</t>
  </si>
  <si>
    <t>County Rd 519</t>
  </si>
  <si>
    <t>Goldsmith Lane TH</t>
  </si>
  <si>
    <t>Unionville Road TH</t>
  </si>
  <si>
    <t>County Rd 651</t>
  </si>
  <si>
    <t>Unionville NY 10988/Quarry Road TH</t>
  </si>
  <si>
    <t>Lott Road TH</t>
  </si>
  <si>
    <t>NJ 284 TH</t>
  </si>
  <si>
    <t>County Rd 667</t>
  </si>
  <si>
    <t>Louemma TH</t>
  </si>
  <si>
    <t>NJ 565 TH</t>
  </si>
  <si>
    <t>County Rd 565</t>
  </si>
  <si>
    <t>Glenwood NJ 07418/County Rd 517</t>
  </si>
  <si>
    <t>Canal Road TH</t>
  </si>
  <si>
    <t>15 - Vernon NJ 07462/NJ 94 (Annex) TH/County Rd 515Notes</t>
  </si>
  <si>
    <t>Mon, Jul 05</t>
  </si>
  <si>
    <t>Barrett Road TH</t>
  </si>
  <si>
    <t>Warwick Turnpike TH</t>
  </si>
  <si>
    <t>Longhouse Drive (Brady Road) TH</t>
  </si>
  <si>
    <t>NY 17A TH</t>
  </si>
  <si>
    <t>Tue, Jul 06</t>
  </si>
  <si>
    <t>Bellvale NY 10912/Greenwood Lake NY 10925</t>
  </si>
  <si>
    <t>Lakes Road TH</t>
  </si>
  <si>
    <t>County Rd 5</t>
  </si>
  <si>
    <t>West Mombasha Road TH</t>
  </si>
  <si>
    <t>County Rd 91</t>
  </si>
  <si>
    <t>East Mombasha Road TH</t>
  </si>
  <si>
    <t>Southfields NY 10975</t>
  </si>
  <si>
    <t>County Rd 19</t>
  </si>
  <si>
    <t>SR 17</t>
  </si>
  <si>
    <t>I-87</t>
  </si>
  <si>
    <t>Elk Pen TH</t>
  </si>
  <si>
    <t>Arden NY 10910</t>
  </si>
  <si>
    <t>Wed, Jul 07</t>
  </si>
  <si>
    <t>Bear Mountain TH</t>
  </si>
  <si>
    <t>US Hwy 202</t>
  </si>
  <si>
    <t>Fort Montgomery NY 10922</t>
  </si>
  <si>
    <t>15 - Bear Mountain NY 10911/Peekskill NY 10566Notes</t>
  </si>
  <si>
    <t>Thu, Jul 08</t>
  </si>
  <si>
    <t>NY 9D TH</t>
  </si>
  <si>
    <t>South Mountain Pass TH</t>
  </si>
  <si>
    <t>SR 403</t>
  </si>
  <si>
    <t>US Hwy 9</t>
  </si>
  <si>
    <t>South Highland Road TH</t>
  </si>
  <si>
    <t>Fri, Jul 09</t>
  </si>
  <si>
    <t>Dennytown Road TH</t>
  </si>
  <si>
    <t>SR 301</t>
  </si>
  <si>
    <t>NY 301 TH</t>
  </si>
  <si>
    <t>Long Hill Road TH</t>
  </si>
  <si>
    <t>Hosner Mountain Road TH</t>
  </si>
  <si>
    <t>Sat, Jul 10</t>
  </si>
  <si>
    <t>SR 52</t>
  </si>
  <si>
    <t>Stormville NY 12582/Route 52 TH</t>
  </si>
  <si>
    <t>Stormville Mountain Road TH</t>
  </si>
  <si>
    <t>I-84</t>
  </si>
  <si>
    <t>Depot Hill Road TH</t>
  </si>
  <si>
    <t>Old NY 55 TH</t>
  </si>
  <si>
    <t>Old NY 55 (Nuclear Lake) TH</t>
  </si>
  <si>
    <t>Poughquag NY 12570/Pawling NY 12564/SR 55</t>
  </si>
  <si>
    <t>NY 55 TH</t>
  </si>
  <si>
    <t>County Route 20 TH</t>
  </si>
  <si>
    <t>County Rd 20</t>
  </si>
  <si>
    <t>NY 22 TH</t>
  </si>
  <si>
    <t>SR 55</t>
  </si>
  <si>
    <t>Sun, Jul 11</t>
  </si>
  <si>
    <t>Duell Hollow Road TH</t>
  </si>
  <si>
    <t>Hoyt Road TH</t>
  </si>
  <si>
    <t>CT 55 TH</t>
  </si>
  <si>
    <t>Windgdale NY 12594</t>
  </si>
  <si>
    <t>Bulls Bridge Road TH</t>
  </si>
  <si>
    <t>Schaghticoke Road TH</t>
  </si>
  <si>
    <t>Mount Algo Lean-to</t>
  </si>
  <si>
    <t>16 - Kent CT 06757Notes</t>
  </si>
  <si>
    <t>Mon, Jul 12</t>
  </si>
  <si>
    <t>CT 341 TH</t>
  </si>
  <si>
    <t>SR 341</t>
  </si>
  <si>
    <t>River Road (south) TH</t>
  </si>
  <si>
    <t>River Road (north) TH</t>
  </si>
  <si>
    <t>Tue, Jul 13</t>
  </si>
  <si>
    <t>Cornwall Bridge CT 06754/SR 4</t>
  </si>
  <si>
    <t>West Cornwall Road TH</t>
  </si>
  <si>
    <t>West Cornwell CT 06796</t>
  </si>
  <si>
    <t>US Hwy 7</t>
  </si>
  <si>
    <t>US 7 &amp; CT 112 TH</t>
  </si>
  <si>
    <t>Falls Village CT 06031</t>
  </si>
  <si>
    <t>Falls Village Handicap Accessible Trailhead TH</t>
  </si>
  <si>
    <t>Housatanic River pull-off TH</t>
  </si>
  <si>
    <t>Great Falls Parking, Falls Village TH</t>
  </si>
  <si>
    <t>Wed, Jul 14</t>
  </si>
  <si>
    <t>US Hwy 44</t>
  </si>
  <si>
    <t>16 - Salisbury CT 06068Notes</t>
  </si>
  <si>
    <t>SR 41</t>
  </si>
  <si>
    <t>CT 41 TH</t>
  </si>
  <si>
    <t>Bunker Hill Road (Lion's Head Trailhead) TH</t>
  </si>
  <si>
    <t>Brassie Brook Shelter</t>
  </si>
  <si>
    <t>Thu, Jul 15</t>
  </si>
  <si>
    <t>Mount Everett Shelter</t>
  </si>
  <si>
    <t>Guilder Pond Picnic Area TH</t>
  </si>
  <si>
    <t>The Hemlocks Lean-to</t>
  </si>
  <si>
    <t>Jug End Road TH</t>
  </si>
  <si>
    <t>South Egremont MA 01258/SR 41</t>
  </si>
  <si>
    <t>Sheffield Road Parking TH</t>
  </si>
  <si>
    <t>Great Barrington MA 01230/SR 7</t>
  </si>
  <si>
    <t>Fri, Jul 16</t>
  </si>
  <si>
    <t>Housatonic River Canoe Launch/Trailhead Parking TH</t>
  </si>
  <si>
    <t>Sheffield MA 01157</t>
  </si>
  <si>
    <t>Homes Road TH</t>
  </si>
  <si>
    <t>Lake Buel Road TH</t>
  </si>
  <si>
    <t>Monterey MA 01245/SR 23/SR 183</t>
  </si>
  <si>
    <t>MA 23 TH</t>
  </si>
  <si>
    <t>Blue Hill Road TH</t>
  </si>
  <si>
    <t>Mount Wilcox South Lean-to</t>
  </si>
  <si>
    <t>Mount Wilcox North Lean-to</t>
  </si>
  <si>
    <t>Fernside/Jerusalem Road TH</t>
  </si>
  <si>
    <t>Jerusalem Road Pull-off TH</t>
  </si>
  <si>
    <t>Sat, Jul 17</t>
  </si>
  <si>
    <t>Tyringham MA 01264</t>
  </si>
  <si>
    <t>Tyringham Main Road TH</t>
  </si>
  <si>
    <t>Webster Road TH</t>
  </si>
  <si>
    <t>Goose Pond Road (MA) TH</t>
  </si>
  <si>
    <t>Upper Goose Pond Cabin Shelter</t>
  </si>
  <si>
    <t>I-90</t>
  </si>
  <si>
    <t>US 20 TH</t>
  </si>
  <si>
    <t>US Hwy 20</t>
  </si>
  <si>
    <t>Lee MA 01238</t>
  </si>
  <si>
    <t>Becket MA 01223/tyne rd pullover TH</t>
  </si>
  <si>
    <t>County Road TH</t>
  </si>
  <si>
    <t>Sun, Jul 18</t>
  </si>
  <si>
    <t>West Branch Road TH</t>
  </si>
  <si>
    <t>Pittsfield Road TH</t>
  </si>
  <si>
    <t>Blotz Road TH</t>
  </si>
  <si>
    <t>Grange Hall Road TH</t>
  </si>
  <si>
    <t>SR 8</t>
  </si>
  <si>
    <t>Dalton MA 01226</t>
  </si>
  <si>
    <t>Gulf Road TH</t>
  </si>
  <si>
    <t>Chesire MA 01225</t>
  </si>
  <si>
    <t>Mon, Jul 19</t>
  </si>
  <si>
    <t>Mark Noepel Lean-to</t>
  </si>
  <si>
    <t>Greylock Day Use Parking TH</t>
  </si>
  <si>
    <t>Pecks Brook Lean-to</t>
  </si>
  <si>
    <t>Gould Trail Day Use Parking TH</t>
  </si>
  <si>
    <t>Bascom Lodge Shelter</t>
  </si>
  <si>
    <t>Greylock Summit TH</t>
  </si>
  <si>
    <t>Bellow's Pipe Lean-to</t>
  </si>
  <si>
    <t>Notch Road TH</t>
  </si>
  <si>
    <t>Pattison Road TH</t>
  </si>
  <si>
    <t>Tue, Jul 20</t>
  </si>
  <si>
    <t>17 - North Adams MA 01247/Williamstown MA 01267/SR 2Notes</t>
  </si>
  <si>
    <t>Wed, Jul 21</t>
  </si>
  <si>
    <t>Bennington VT 05201/SR 9</t>
  </si>
  <si>
    <t>VT 9 TH</t>
  </si>
  <si>
    <t>Thu, Jul 22</t>
  </si>
  <si>
    <t>Kid Gore Shelter</t>
  </si>
  <si>
    <t>Caughnawaga (old shelter)</t>
  </si>
  <si>
    <t>road sholder TH</t>
  </si>
  <si>
    <t>Fri, Jul 23</t>
  </si>
  <si>
    <t>Stratton-Arlington Road TH</t>
  </si>
  <si>
    <t>Gmc Caretaker Hut Shelter</t>
  </si>
  <si>
    <t>18 - Manchester Center VT 05255Notes</t>
  </si>
  <si>
    <t>Sat, Jul 24</t>
  </si>
  <si>
    <t>SR 30</t>
  </si>
  <si>
    <t>VT 11 &amp; 30 TH</t>
  </si>
  <si>
    <t>USFS 21 TH</t>
  </si>
  <si>
    <t>Sun, Jul 25</t>
  </si>
  <si>
    <t>Danby-Landgrove Rd, USFS 10 TH</t>
  </si>
  <si>
    <t>Danby VT 05739/Danby-Landgrove Rd, USFS 10 TH</t>
  </si>
  <si>
    <t>Little Rock Pond Shelter</t>
  </si>
  <si>
    <t>Mon, Jul 26</t>
  </si>
  <si>
    <t>Wallingford VT 05773</t>
  </si>
  <si>
    <t>VT 140 TH</t>
  </si>
  <si>
    <t>SR 140</t>
  </si>
  <si>
    <t>VT 103 TH</t>
  </si>
  <si>
    <t>SR 103</t>
  </si>
  <si>
    <t>Clarendon Shelter</t>
  </si>
  <si>
    <t>Tue, Jul 27</t>
  </si>
  <si>
    <t>Lower Cold River Road TH</t>
  </si>
  <si>
    <t>Cooper Lodge Shelter</t>
  </si>
  <si>
    <t>Pico Camp Shelter</t>
  </si>
  <si>
    <t>Churchhill Scott Shelter</t>
  </si>
  <si>
    <t>US Rte 4 TH</t>
  </si>
  <si>
    <t>US Hwy 4</t>
  </si>
  <si>
    <t>Tucker Johnson (old shelter)</t>
  </si>
  <si>
    <t>Gifford Woods State Park Shelter</t>
  </si>
  <si>
    <t>Wed, Jul 28</t>
  </si>
  <si>
    <t>SR 100</t>
  </si>
  <si>
    <t>18 - Killington VT 05751Notes</t>
  </si>
  <si>
    <t>Thunder Falls Parking TH</t>
  </si>
  <si>
    <t>Thu, Jul 29</t>
  </si>
  <si>
    <t>Stony Brook Road TH</t>
  </si>
  <si>
    <t>No Official Name or Unknown Shelter</t>
  </si>
  <si>
    <t>Winturri Shelter</t>
  </si>
  <si>
    <t>VT 12 TH</t>
  </si>
  <si>
    <t>Fri, Jul 30</t>
  </si>
  <si>
    <t>Woodstock VT 05091/SR 12</t>
  </si>
  <si>
    <t>South Pomfret VT 05067/Stage Road TH</t>
  </si>
  <si>
    <t>Pomfret TH</t>
  </si>
  <si>
    <t>Cloudland TH</t>
  </si>
  <si>
    <t>Cloudland Shelter</t>
  </si>
  <si>
    <t>Joe Ranger Road TH</t>
  </si>
  <si>
    <t>West Hartford VT 05084/SR 14</t>
  </si>
  <si>
    <t>Sat, Jul 31</t>
  </si>
  <si>
    <t>I-89</t>
  </si>
  <si>
    <t>Podunk Road TH</t>
  </si>
  <si>
    <t>Elm Street TH</t>
  </si>
  <si>
    <t>Norwich VT 05055</t>
  </si>
  <si>
    <t>US Hwy 5</t>
  </si>
  <si>
    <t>I-91</t>
  </si>
  <si>
    <t>19 - Hanover NH 03755Notes</t>
  </si>
  <si>
    <t>Sun, Aug 01</t>
  </si>
  <si>
    <t>SR 120</t>
  </si>
  <si>
    <t>Trescot Road TH</t>
  </si>
  <si>
    <t>Etna Hanover Center Road TH</t>
  </si>
  <si>
    <t>Mon, Aug 02</t>
  </si>
  <si>
    <t>Three Mile Road TH</t>
  </si>
  <si>
    <t>Old Moose Mountain (old shelter)</t>
  </si>
  <si>
    <t>Goose Pond Road (NH) TH</t>
  </si>
  <si>
    <t>Tue, Aug 03</t>
  </si>
  <si>
    <t>Lyme NH 03768</t>
  </si>
  <si>
    <t>Dartmouth Skiway TH</t>
  </si>
  <si>
    <t>Dorchester Road TH</t>
  </si>
  <si>
    <t>Fire Warden's Cabin Shelter</t>
  </si>
  <si>
    <t>Wed, Aug 04</t>
  </si>
  <si>
    <t>NH 25A trailhead TH</t>
  </si>
  <si>
    <t>Wentworth NH 03282</t>
  </si>
  <si>
    <t>Ore Hill (old shelter)</t>
  </si>
  <si>
    <t>NH 25 C TH</t>
  </si>
  <si>
    <t>Warren HH 03279</t>
  </si>
  <si>
    <t>Glencliff NH 03238</t>
  </si>
  <si>
    <t>Thu, Aug 05</t>
  </si>
  <si>
    <t>NH 25 TH</t>
  </si>
  <si>
    <t>SR 25</t>
  </si>
  <si>
    <t>Jeffers Brook Road TH</t>
  </si>
  <si>
    <t>Sanitarium Road TH</t>
  </si>
  <si>
    <t>NH 112 TH</t>
  </si>
  <si>
    <t>Fri, Aug 06</t>
  </si>
  <si>
    <t>20 - North Woodstock NH 03262/SR 112Notes</t>
  </si>
  <si>
    <t>Sat, Aug 07</t>
  </si>
  <si>
    <t>Kinsman Pond Shelter</t>
  </si>
  <si>
    <t>Lonesome Lake Hut Shelter</t>
  </si>
  <si>
    <t>I-93</t>
  </si>
  <si>
    <t>Sun, Aug 08</t>
  </si>
  <si>
    <t>NH 3 TH</t>
  </si>
  <si>
    <t>Garfield Ridge Shelter</t>
  </si>
  <si>
    <t>Mon, Aug 09</t>
  </si>
  <si>
    <t>Galehead Hut Shelter</t>
  </si>
  <si>
    <t>Guyot Shelter</t>
  </si>
  <si>
    <t>Zealand Falls Hut Shelter</t>
  </si>
  <si>
    <t>Ethan Pond Shelter</t>
  </si>
  <si>
    <t>Tue, Aug 10</t>
  </si>
  <si>
    <t>Ethan Pond Trailhead TH</t>
  </si>
  <si>
    <t>US 302 TH</t>
  </si>
  <si>
    <t>US Hwy 302</t>
  </si>
  <si>
    <t>Mizpah Spring Hut Shelter</t>
  </si>
  <si>
    <t>Wed, Aug 11</t>
  </si>
  <si>
    <t>Lake of the Clouds Hut Shelter</t>
  </si>
  <si>
    <t>Mt. Washington NH 03589</t>
  </si>
  <si>
    <t>Madison Spring Hut Shelter</t>
  </si>
  <si>
    <t>Thu, Aug 12</t>
  </si>
  <si>
    <t>Pinkham Notch TH</t>
  </si>
  <si>
    <t>Fri, Aug 13</t>
  </si>
  <si>
    <t>Carter Notch Hut Shelter</t>
  </si>
  <si>
    <t>Imp Campsite Shelter</t>
  </si>
  <si>
    <t>Sat, Aug 14</t>
  </si>
  <si>
    <t>US 2 Rattle River TH</t>
  </si>
  <si>
    <t>Sun, Aug 15</t>
  </si>
  <si>
    <t>US Hwy 2</t>
  </si>
  <si>
    <t>21 - Gorham NH 03581Notes</t>
  </si>
  <si>
    <t>Gentian Pond Shelter</t>
  </si>
  <si>
    <t>Tue, Aug 17</t>
  </si>
  <si>
    <t>Full Goose Shelter</t>
  </si>
  <si>
    <t>Wed, Aug 18</t>
  </si>
  <si>
    <t>Speck Pond Shelter</t>
  </si>
  <si>
    <t>NH 26 (Grafton Notch) TH</t>
  </si>
  <si>
    <t>Thu, Aug 19</t>
  </si>
  <si>
    <t>SR 26</t>
  </si>
  <si>
    <t>Fri, Aug 20</t>
  </si>
  <si>
    <t>East B Hill Road TH</t>
  </si>
  <si>
    <t>21 - Andover ME 04216Notes</t>
  </si>
  <si>
    <t>Sat, Aug 21</t>
  </si>
  <si>
    <t>Sun, Aug 22</t>
  </si>
  <si>
    <t>Mon, Aug 23</t>
  </si>
  <si>
    <t>ME 4 TH</t>
  </si>
  <si>
    <t>Rangely ME 04970/Oquossoc ME 04964/SR 4</t>
  </si>
  <si>
    <t>Tue, Aug 24</t>
  </si>
  <si>
    <t>Wed, Aug 25</t>
  </si>
  <si>
    <t>Caribou Valley Road (pull-off 1) TH</t>
  </si>
  <si>
    <t>Caribou Valley Road (pull-off 2) TH</t>
  </si>
  <si>
    <t>ME 27 TH</t>
  </si>
  <si>
    <t>Thu, Aug 26</t>
  </si>
  <si>
    <t>22 - Stratton ME 04982/SR 16/SR 27Notes</t>
  </si>
  <si>
    <t>Fri, Aug 27</t>
  </si>
  <si>
    <t>Horns Pond Day Use Shelter</t>
  </si>
  <si>
    <t>Horns Pond Lean-to (east)</t>
  </si>
  <si>
    <t>Avery Col Shelter</t>
  </si>
  <si>
    <t>Bog Brook Road TH</t>
  </si>
  <si>
    <t>Sat, Aug 28</t>
  </si>
  <si>
    <t>Caratunk ME 04925</t>
  </si>
  <si>
    <t>Sun, Aug 29</t>
  </si>
  <si>
    <t>US Hwy 201</t>
  </si>
  <si>
    <t>ME 201 TH</t>
  </si>
  <si>
    <t>Pleasant Pond Road TH</t>
  </si>
  <si>
    <t>Mon, Aug 30</t>
  </si>
  <si>
    <t>Moxie Bald Lean-to</t>
  </si>
  <si>
    <t>Shirley-Blanchard Road TH</t>
  </si>
  <si>
    <t>Tue, Aug 31</t>
  </si>
  <si>
    <t>Pleasant Road TH</t>
  </si>
  <si>
    <t>22 - Monson ME 04464Notes</t>
  </si>
  <si>
    <t>ME 15 TH</t>
  </si>
  <si>
    <t>SR 6</t>
  </si>
  <si>
    <t>Wed, Sep 01</t>
  </si>
  <si>
    <t>Long Pond Lean-to</t>
  </si>
  <si>
    <t>Thu, Sep 02</t>
  </si>
  <si>
    <t>West Branch Pleasant River TH</t>
  </si>
  <si>
    <t>Fri, Sep 03</t>
  </si>
  <si>
    <t>East Branch Lean-to</t>
  </si>
  <si>
    <t>Kokadjo B Pond Road TH</t>
  </si>
  <si>
    <t>Jo Mary Road TH</t>
  </si>
  <si>
    <t>Sat, Sep 04</t>
  </si>
  <si>
    <t>logging rd n of nesuntabunt mt TH</t>
  </si>
  <si>
    <t>Sun, Sep 05</t>
  </si>
  <si>
    <t>Pollywog Stream TH</t>
  </si>
  <si>
    <t>Golden Road TH</t>
  </si>
  <si>
    <t>Mon, Sep 06</t>
  </si>
  <si>
    <t>Abol Bridge Campground Store TH</t>
  </si>
  <si>
    <t>Millinocket ME 04462</t>
  </si>
  <si>
    <t>Daicy Pond Campground Day Use Parking TH</t>
  </si>
  <si>
    <t>Grassy Pond TH</t>
  </si>
  <si>
    <t>Katahdin Stream Cg Shelter No.7</t>
  </si>
  <si>
    <t>The Birches Lean-to No. 1</t>
  </si>
  <si>
    <t>The Birches Lean-to No. 2</t>
  </si>
  <si>
    <t>Katahdin Stream Campground Day Use Parking Lot TH</t>
  </si>
  <si>
    <t>23 - Mt KatahdinNotes</t>
  </si>
  <si>
    <t>PostHoler AT Plan with details</t>
  </si>
  <si>
    <t>Shelters</t>
  </si>
  <si>
    <t>.1 - 2 miles from trail</t>
  </si>
  <si>
    <t>2.1-5 miles from trail</t>
  </si>
  <si>
    <t>Miles off
of AT</t>
  </si>
  <si>
    <t>E</t>
  </si>
  <si>
    <t>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</si>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</sst>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d\,\ mmm\ dd"/>
    <numFmt numFmtId="165" formatCode="0.0"/>
  </numFmts>
  <fonts count="3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indexed="53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theme="4"/>
      <name val="Arial"/>
      <family val="2"/>
    </font>
    <font>
      <u/>
      <sz val="10"/>
      <color theme="10"/>
      <name val="Arial"/>
      <family val="2"/>
    </font>
    <font>
      <sz val="10"/>
      <color theme="9" tint="-0.249977111117893"/>
      <name val="Arial"/>
      <family val="2"/>
    </font>
    <font>
      <sz val="12"/>
      <color rgb="FF373737"/>
      <name val="Open Sans"/>
      <family val="2"/>
    </font>
    <font>
      <b/>
      <sz val="18"/>
      <color rgb="FF333333"/>
      <name val="Open Sans"/>
      <family val="2"/>
    </font>
    <font>
      <b/>
      <sz val="12"/>
      <color rgb="FF373737"/>
      <name val="Open Sans"/>
      <family val="2"/>
    </font>
    <font>
      <sz val="12"/>
      <color rgb="FF008BAE"/>
      <name val="Open Sans"/>
      <family val="2"/>
    </font>
    <font>
      <sz val="12"/>
      <color rgb="FF666666"/>
      <name val="Open Sans"/>
      <family val="2"/>
    </font>
    <font>
      <b/>
      <sz val="12"/>
      <color rgb="FF008BAE"/>
      <name val="Open Sans"/>
      <family val="2"/>
    </font>
    <font>
      <b/>
      <sz val="13"/>
      <color rgb="FF14691D"/>
      <name val="Georgia"/>
      <family val="1"/>
    </font>
    <font>
      <b/>
      <sz val="12"/>
      <color rgb="FF000000"/>
      <name val="Verdana"/>
      <family val="2"/>
    </font>
    <font>
      <sz val="10"/>
      <color rgb="FF3E3E3E"/>
      <name val="Tahoma"/>
      <family val="2"/>
    </font>
    <font>
      <b/>
      <u/>
      <sz val="10"/>
      <color rgb="FF3E3E3E"/>
      <name val="Tahoma"/>
      <family val="2"/>
    </font>
    <font>
      <sz val="10"/>
      <color theme="1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Georgia"/>
      <family val="1"/>
    </font>
    <font>
      <sz val="10"/>
      <color rgb="FF333333"/>
      <name val="Georgia"/>
      <family val="1"/>
    </font>
    <font>
      <b/>
      <sz val="11"/>
      <name val="Arial"/>
      <family val="2"/>
    </font>
    <font>
      <b/>
      <sz val="8"/>
      <color rgb="FF000000"/>
      <name val="Courier New"/>
      <family val="3"/>
    </font>
    <font>
      <b/>
      <sz val="12"/>
      <color rgb="FF000000"/>
      <name val="Courier New"/>
      <family val="3"/>
    </font>
    <font>
      <sz val="8"/>
      <color rgb="FF000000"/>
      <name val="Courier New"/>
      <family val="3"/>
    </font>
    <font>
      <i/>
      <sz val="8"/>
      <color rgb="FFCC0000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663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9F363"/>
        <bgColor indexed="64"/>
      </patternFill>
    </fill>
    <fill>
      <patternFill patternType="solid">
        <fgColor rgb="FFF7F28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EEEEE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/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07">
    <xf numFmtId="0" fontId="0" fillId="0" borderId="0" xfId="0"/>
    <xf numFmtId="1" fontId="1" fillId="0" borderId="1" xfId="0" applyNumberFormat="1" applyFont="1" applyBorder="1" applyAlignment="1">
      <alignment horizontal="center" textRotation="135"/>
    </xf>
    <xf numFmtId="164" fontId="0" fillId="0" borderId="1" xfId="0" applyNumberFormat="1" applyBorder="1" applyAlignment="1">
      <alignment horizontal="center" textRotation="135"/>
    </xf>
    <xf numFmtId="0" fontId="0" fillId="0" borderId="1" xfId="0" applyBorder="1" applyAlignment="1">
      <alignment horizontal="center" vertical="center" textRotation="135"/>
    </xf>
    <xf numFmtId="165" fontId="0" fillId="0" borderId="1" xfId="0" applyNumberFormat="1" applyBorder="1" applyAlignment="1">
      <alignment horizontal="center" textRotation="135"/>
    </xf>
    <xf numFmtId="165" fontId="0" fillId="0" borderId="2" xfId="0" applyNumberFormat="1" applyBorder="1" applyAlignment="1">
      <alignment horizontal="center" textRotation="135"/>
    </xf>
    <xf numFmtId="165" fontId="0" fillId="0" borderId="0" xfId="0" applyNumberForma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" fontId="0" fillId="0" borderId="1" xfId="0" applyNumberFormat="1" applyBorder="1" applyAlignment="1">
      <alignment horizontal="center" textRotation="135"/>
    </xf>
    <xf numFmtId="1" fontId="0" fillId="0" borderId="0" xfId="0" applyNumberFormat="1"/>
    <xf numFmtId="0" fontId="0" fillId="0" borderId="0" xfId="0" applyAlignment="1">
      <alignment wrapText="1"/>
    </xf>
    <xf numFmtId="0" fontId="0" fillId="0" borderId="3" xfId="0" applyBorder="1" applyAlignment="1">
      <alignment horizontal="center" textRotation="135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1" fontId="0" fillId="0" borderId="0" xfId="0" quotePrefix="1" applyNumberFormat="1" applyAlignment="1">
      <alignment horizontal="right" vertical="top"/>
    </xf>
    <xf numFmtId="1" fontId="1" fillId="0" borderId="0" xfId="0" applyNumberFormat="1" applyFont="1" applyAlignment="1">
      <alignment vertical="top"/>
    </xf>
    <xf numFmtId="1" fontId="1" fillId="0" borderId="0" xfId="0" quotePrefix="1" applyNumberFormat="1" applyFont="1" applyAlignment="1">
      <alignment horizontal="right" vertical="top"/>
    </xf>
    <xf numFmtId="0" fontId="0" fillId="0" borderId="0" xfId="0" applyFill="1"/>
    <xf numFmtId="164" fontId="0" fillId="0" borderId="0" xfId="0" applyNumberFormat="1" applyFill="1" applyAlignment="1">
      <alignment vertical="top"/>
    </xf>
    <xf numFmtId="0" fontId="1" fillId="0" borderId="0" xfId="0" applyFont="1" applyFill="1" applyAlignment="1">
      <alignment vertical="top"/>
    </xf>
    <xf numFmtId="165" fontId="0" fillId="0" borderId="0" xfId="0" applyNumberFormat="1" applyFill="1" applyAlignment="1">
      <alignment vertical="top"/>
    </xf>
    <xf numFmtId="1" fontId="0" fillId="0" borderId="0" xfId="0" applyNumberFormat="1" applyFill="1" applyAlignment="1">
      <alignment vertical="top"/>
    </xf>
    <xf numFmtId="0" fontId="0" fillId="0" borderId="0" xfId="0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/>
    <xf numFmtId="0" fontId="6" fillId="0" borderId="0" xfId="0" applyFont="1"/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0" fillId="2" borderId="0" xfId="0" applyFill="1"/>
    <xf numFmtId="164" fontId="0" fillId="2" borderId="0" xfId="0" applyNumberFormat="1" applyFill="1" applyAlignment="1">
      <alignment vertical="top"/>
    </xf>
    <xf numFmtId="0" fontId="1" fillId="2" borderId="0" xfId="0" applyFont="1" applyFill="1" applyAlignment="1">
      <alignment vertical="top"/>
    </xf>
    <xf numFmtId="165" fontId="0" fillId="2" borderId="0" xfId="0" applyNumberFormat="1" applyFill="1" applyAlignment="1">
      <alignment vertical="top"/>
    </xf>
    <xf numFmtId="1" fontId="0" fillId="2" borderId="0" xfId="0" applyNumberFormat="1" applyFill="1" applyAlignment="1">
      <alignment vertical="top"/>
    </xf>
    <xf numFmtId="0" fontId="12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13" fillId="2" borderId="0" xfId="0" applyFont="1" applyFill="1" applyAlignment="1">
      <alignment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7" fillId="0" borderId="0" xfId="0" applyFont="1" applyAlignment="1">
      <alignment wrapText="1"/>
    </xf>
    <xf numFmtId="0" fontId="9" fillId="0" borderId="0" xfId="1" applyAlignment="1" applyProtection="1"/>
    <xf numFmtId="0" fontId="14" fillId="0" borderId="0" xfId="1" applyFont="1" applyAlignment="1" applyProtection="1"/>
    <xf numFmtId="0" fontId="15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5" fillId="0" borderId="0" xfId="0" applyFont="1"/>
    <xf numFmtId="0" fontId="15" fillId="0" borderId="0" xfId="0" applyFont="1" applyFill="1" applyAlignment="1">
      <alignment vertical="top" wrapText="1"/>
    </xf>
    <xf numFmtId="0" fontId="1" fillId="0" borderId="0" xfId="0" applyFont="1" applyFill="1"/>
    <xf numFmtId="0" fontId="15" fillId="0" borderId="0" xfId="0" applyFont="1" applyFill="1" applyAlignment="1">
      <alignment wrapText="1"/>
    </xf>
    <xf numFmtId="0" fontId="3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15" fontId="6" fillId="0" borderId="4" xfId="0" applyNumberFormat="1" applyFont="1" applyBorder="1" applyAlignment="1">
      <alignment horizontal="left" vertical="top" wrapText="1"/>
    </xf>
    <xf numFmtId="0" fontId="0" fillId="0" borderId="4" xfId="0" applyNumberFormat="1" applyBorder="1" applyAlignment="1">
      <alignment vertical="top" wrapText="1"/>
    </xf>
    <xf numFmtId="0" fontId="6" fillId="0" borderId="0" xfId="0" applyFont="1" applyAlignment="1">
      <alignment horizontal="center" vertical="top"/>
    </xf>
    <xf numFmtId="0" fontId="6" fillId="0" borderId="4" xfId="0" applyFont="1" applyBorder="1" applyAlignment="1">
      <alignment wrapText="1"/>
    </xf>
    <xf numFmtId="0" fontId="6" fillId="0" borderId="0" xfId="0" quotePrefix="1" applyFont="1"/>
    <xf numFmtId="0" fontId="0" fillId="0" borderId="0" xfId="0" applyAlignment="1">
      <alignment horizontal="center" vertical="center" wrapText="1"/>
    </xf>
    <xf numFmtId="0" fontId="9" fillId="0" borderId="0" xfId="1" applyAlignment="1" applyProtection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vertical="center" wrapText="1"/>
    </xf>
    <xf numFmtId="0" fontId="9" fillId="3" borderId="8" xfId="1" applyFill="1" applyBorder="1" applyAlignment="1" applyProtection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4" fontId="16" fillId="3" borderId="8" xfId="0" applyNumberFormat="1" applyFont="1" applyFill="1" applyBorder="1" applyAlignment="1">
      <alignment vertical="center" wrapText="1"/>
    </xf>
    <xf numFmtId="0" fontId="20" fillId="3" borderId="8" xfId="0" applyFont="1" applyFill="1" applyBorder="1" applyAlignment="1">
      <alignment vertical="center" wrapText="1"/>
    </xf>
    <xf numFmtId="0" fontId="9" fillId="3" borderId="8" xfId="1" applyFill="1" applyBorder="1" applyAlignment="1" applyProtection="1">
      <alignment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4" fontId="16" fillId="3" borderId="8" xfId="0" applyNumberFormat="1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9" fillId="5" borderId="8" xfId="1" applyFill="1" applyBorder="1" applyAlignment="1" applyProtection="1">
      <alignment vertical="center" wrapText="1"/>
    </xf>
    <xf numFmtId="0" fontId="9" fillId="6" borderId="8" xfId="1" applyFill="1" applyBorder="1" applyAlignment="1" applyProtection="1">
      <alignment vertical="center" wrapText="1"/>
    </xf>
    <xf numFmtId="0" fontId="16" fillId="6" borderId="8" xfId="0" applyFont="1" applyFill="1" applyBorder="1" applyAlignment="1">
      <alignment horizontal="center" vertical="center" wrapText="1"/>
    </xf>
    <xf numFmtId="4" fontId="16" fillId="6" borderId="8" xfId="0" applyNumberFormat="1" applyFont="1" applyFill="1" applyBorder="1" applyAlignment="1">
      <alignment horizontal="center" vertical="center" wrapText="1"/>
    </xf>
    <xf numFmtId="0" fontId="9" fillId="7" borderId="8" xfId="1" applyFill="1" applyBorder="1" applyAlignment="1" applyProtection="1">
      <alignment vertical="center" wrapText="1"/>
    </xf>
    <xf numFmtId="4" fontId="16" fillId="7" borderId="8" xfId="0" applyNumberFormat="1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vertical="center" wrapText="1"/>
    </xf>
    <xf numFmtId="4" fontId="16" fillId="4" borderId="8" xfId="0" applyNumberFormat="1" applyFont="1" applyFill="1" applyBorder="1" applyAlignment="1">
      <alignment horizontal="center" vertical="center" wrapText="1"/>
    </xf>
    <xf numFmtId="0" fontId="9" fillId="4" borderId="8" xfId="1" applyFill="1" applyBorder="1" applyAlignment="1" applyProtection="1">
      <alignment vertical="center" wrapText="1"/>
    </xf>
    <xf numFmtId="0" fontId="22" fillId="3" borderId="13" xfId="0" applyFont="1" applyFill="1" applyBorder="1" applyAlignment="1">
      <alignment horizontal="left" vertical="center" wrapText="1"/>
    </xf>
    <xf numFmtId="0" fontId="18" fillId="3" borderId="17" xfId="0" applyFont="1" applyFill="1" applyBorder="1" applyAlignment="1">
      <alignment horizontal="left" vertical="center" wrapText="1"/>
    </xf>
    <xf numFmtId="0" fontId="18" fillId="3" borderId="18" xfId="0" applyFont="1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top" wrapText="1"/>
    </xf>
    <xf numFmtId="0" fontId="18" fillId="3" borderId="18" xfId="0" applyFont="1" applyFill="1" applyBorder="1" applyAlignment="1">
      <alignment horizontal="left" vertical="center" wrapText="1" indent="1"/>
    </xf>
    <xf numFmtId="0" fontId="18" fillId="3" borderId="18" xfId="0" applyFont="1" applyFill="1" applyBorder="1" applyAlignment="1">
      <alignment horizontal="center" vertical="top" wrapText="1"/>
    </xf>
    <xf numFmtId="0" fontId="18" fillId="3" borderId="19" xfId="0" applyFont="1" applyFill="1" applyBorder="1" applyAlignment="1">
      <alignment horizontal="center" vertical="top" wrapText="1"/>
    </xf>
    <xf numFmtId="0" fontId="22" fillId="3" borderId="17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23" fillId="0" borderId="0" xfId="0" applyFont="1"/>
    <xf numFmtId="0" fontId="0" fillId="0" borderId="0" xfId="0" applyAlignment="1">
      <alignment horizontal="left" vertical="center" wrapText="1" indent="2"/>
    </xf>
    <xf numFmtId="0" fontId="23" fillId="0" borderId="0" xfId="0" applyFont="1" applyAlignment="1">
      <alignment horizontal="left" vertical="center" wrapText="1" indent="3"/>
    </xf>
    <xf numFmtId="0" fontId="24" fillId="0" borderId="0" xfId="0" applyFont="1"/>
    <xf numFmtId="0" fontId="25" fillId="0" borderId="0" xfId="0" applyFont="1"/>
    <xf numFmtId="0" fontId="9" fillId="0" borderId="0" xfId="1" applyAlignment="1" applyProtection="1">
      <alignment horizontal="left" vertical="center"/>
    </xf>
    <xf numFmtId="0" fontId="22" fillId="3" borderId="20" xfId="0" applyFont="1" applyFill="1" applyBorder="1" applyAlignment="1">
      <alignment horizontal="left" vertical="center"/>
    </xf>
    <xf numFmtId="0" fontId="18" fillId="3" borderId="13" xfId="0" applyFont="1" applyFill="1" applyBorder="1" applyAlignment="1">
      <alignment horizontal="left" vertical="center"/>
    </xf>
    <xf numFmtId="0" fontId="18" fillId="3" borderId="21" xfId="0" applyFont="1" applyFill="1" applyBorder="1" applyAlignment="1">
      <alignment horizontal="left" vertical="center"/>
    </xf>
    <xf numFmtId="0" fontId="18" fillId="3" borderId="21" xfId="0" applyFont="1" applyFill="1" applyBorder="1" applyAlignment="1">
      <alignment horizontal="center" vertical="top"/>
    </xf>
    <xf numFmtId="0" fontId="18" fillId="3" borderId="15" xfId="0" applyFont="1" applyFill="1" applyBorder="1" applyAlignment="1">
      <alignment horizontal="center" vertical="top"/>
    </xf>
    <xf numFmtId="0" fontId="22" fillId="3" borderId="13" xfId="0" applyFont="1" applyFill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0" xfId="1" quotePrefix="1" applyFont="1" applyAlignment="1" applyProtection="1"/>
    <xf numFmtId="0" fontId="26" fillId="0" borderId="0" xfId="1" quotePrefix="1" applyFont="1" applyAlignment="1" applyProtection="1"/>
    <xf numFmtId="0" fontId="26" fillId="0" borderId="0" xfId="1" applyFont="1" applyAlignment="1" applyProtection="1"/>
    <xf numFmtId="0" fontId="9" fillId="8" borderId="8" xfId="1" applyFill="1" applyBorder="1" applyAlignment="1" applyProtection="1">
      <alignment vertical="center" wrapText="1"/>
    </xf>
    <xf numFmtId="0" fontId="9" fillId="9" borderId="8" xfId="1" applyFill="1" applyBorder="1" applyAlignment="1" applyProtection="1">
      <alignment vertical="center" wrapText="1"/>
    </xf>
    <xf numFmtId="0" fontId="1" fillId="10" borderId="0" xfId="0" applyFont="1" applyFill="1"/>
    <xf numFmtId="0" fontId="28" fillId="0" borderId="26" xfId="0" applyFont="1" applyBorder="1" applyAlignment="1">
      <alignment vertical="center" wrapText="1"/>
    </xf>
    <xf numFmtId="0" fontId="28" fillId="0" borderId="28" xfId="0" applyFont="1" applyBorder="1" applyAlignment="1">
      <alignment vertical="center" wrapText="1"/>
    </xf>
    <xf numFmtId="0" fontId="29" fillId="0" borderId="28" xfId="0" applyFont="1" applyBorder="1" applyAlignment="1">
      <alignment vertical="center" wrapText="1"/>
    </xf>
    <xf numFmtId="0" fontId="29" fillId="11" borderId="30" xfId="0" applyFont="1" applyFill="1" applyBorder="1" applyAlignment="1">
      <alignment vertical="center" wrapText="1"/>
    </xf>
    <xf numFmtId="0" fontId="29" fillId="11" borderId="28" xfId="0" applyFont="1" applyFill="1" applyBorder="1" applyAlignment="1">
      <alignment vertical="center" wrapText="1"/>
    </xf>
    <xf numFmtId="0" fontId="31" fillId="0" borderId="0" xfId="0" applyFont="1" applyAlignment="1">
      <alignment wrapText="1"/>
    </xf>
    <xf numFmtId="0" fontId="29" fillId="0" borderId="26" xfId="0" applyFont="1" applyBorder="1" applyAlignment="1">
      <alignment vertical="center" wrapText="1"/>
    </xf>
    <xf numFmtId="0" fontId="28" fillId="3" borderId="28" xfId="0" applyFont="1" applyFill="1" applyBorder="1" applyAlignment="1">
      <alignment vertical="center" wrapText="1"/>
    </xf>
    <xf numFmtId="0" fontId="29" fillId="11" borderId="32" xfId="0" applyFont="1" applyFill="1" applyBorder="1" applyAlignment="1">
      <alignment vertical="center" wrapText="1"/>
    </xf>
    <xf numFmtId="0" fontId="1" fillId="12" borderId="0" xfId="0" applyFont="1" applyFill="1" applyAlignment="1">
      <alignment vertical="top"/>
    </xf>
    <xf numFmtId="0" fontId="0" fillId="12" borderId="0" xfId="0" applyFill="1"/>
    <xf numFmtId="0" fontId="7" fillId="12" borderId="0" xfId="0" applyFont="1" applyFill="1"/>
    <xf numFmtId="165" fontId="0" fillId="12" borderId="0" xfId="0" applyNumberFormat="1" applyFill="1" applyAlignment="1">
      <alignment vertical="top"/>
    </xf>
    <xf numFmtId="0" fontId="1" fillId="12" borderId="0" xfId="0" applyFont="1" applyFill="1"/>
    <xf numFmtId="165" fontId="0" fillId="12" borderId="0" xfId="0" applyNumberFormat="1" applyFill="1"/>
    <xf numFmtId="0" fontId="31" fillId="0" borderId="0" xfId="0" applyFont="1"/>
    <xf numFmtId="0" fontId="31" fillId="13" borderId="0" xfId="0" applyFont="1" applyFill="1"/>
    <xf numFmtId="0" fontId="0" fillId="13" borderId="0" xfId="0" applyFill="1"/>
    <xf numFmtId="0" fontId="9" fillId="3" borderId="0" xfId="1" applyFill="1" applyBorder="1" applyAlignment="1" applyProtection="1">
      <alignment vertical="center" wrapText="1"/>
    </xf>
    <xf numFmtId="0" fontId="9" fillId="3" borderId="0" xfId="1" applyFill="1" applyBorder="1" applyAlignment="1" applyProtection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vertical="center" wrapText="1"/>
    </xf>
    <xf numFmtId="4" fontId="16" fillId="3" borderId="0" xfId="0" applyNumberFormat="1" applyFont="1" applyFill="1" applyBorder="1" applyAlignment="1">
      <alignment vertical="center" wrapText="1"/>
    </xf>
    <xf numFmtId="0" fontId="9" fillId="0" borderId="0" xfId="1" applyFill="1" applyBorder="1" applyAlignment="1" applyProtection="1">
      <alignment vertical="center" wrapText="1"/>
    </xf>
    <xf numFmtId="0" fontId="10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0" xfId="0" quotePrefix="1" applyFont="1" applyAlignment="1">
      <alignment vertical="center" wrapText="1"/>
    </xf>
    <xf numFmtId="0" fontId="1" fillId="0" borderId="0" xfId="0" quotePrefix="1" applyFont="1"/>
    <xf numFmtId="0" fontId="1" fillId="14" borderId="0" xfId="0" applyFont="1" applyFill="1"/>
    <xf numFmtId="0" fontId="1" fillId="15" borderId="0" xfId="0" applyFont="1" applyFill="1"/>
    <xf numFmtId="0" fontId="9" fillId="14" borderId="8" xfId="1" applyFill="1" applyBorder="1" applyAlignment="1" applyProtection="1">
      <alignment vertical="center" wrapText="1"/>
    </xf>
    <xf numFmtId="0" fontId="9" fillId="15" borderId="8" xfId="1" applyFill="1" applyBorder="1" applyAlignment="1" applyProtection="1">
      <alignment vertical="center" wrapText="1"/>
    </xf>
    <xf numFmtId="0" fontId="7" fillId="0" borderId="0" xfId="0" applyFont="1"/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9" fillId="6" borderId="9" xfId="1" applyFill="1" applyBorder="1" applyAlignment="1" applyProtection="1">
      <alignment horizontal="center" vertical="center" wrapText="1"/>
    </xf>
    <xf numFmtId="0" fontId="9" fillId="6" borderId="10" xfId="1" applyFill="1" applyBorder="1" applyAlignment="1" applyProtection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9" fillId="4" borderId="9" xfId="1" applyFill="1" applyBorder="1" applyAlignment="1" applyProtection="1">
      <alignment horizontal="center" vertical="center" wrapText="1"/>
    </xf>
    <xf numFmtId="0" fontId="9" fillId="4" borderId="10" xfId="1" applyFill="1" applyBorder="1" applyAlignment="1" applyProtection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9" fillId="7" borderId="9" xfId="1" applyFill="1" applyBorder="1" applyAlignment="1" applyProtection="1">
      <alignment horizontal="center" vertical="center" wrapText="1"/>
    </xf>
    <xf numFmtId="0" fontId="9" fillId="7" borderId="10" xfId="1" applyFill="1" applyBorder="1" applyAlignment="1" applyProtection="1">
      <alignment horizontal="center" vertical="center" wrapText="1"/>
    </xf>
    <xf numFmtId="0" fontId="29" fillId="0" borderId="31" xfId="0" applyFont="1" applyBorder="1" applyAlignment="1">
      <alignment vertical="center" wrapText="1"/>
    </xf>
    <xf numFmtId="0" fontId="29" fillId="0" borderId="27" xfId="0" applyFont="1" applyBorder="1" applyAlignment="1">
      <alignment vertical="center" wrapText="1"/>
    </xf>
    <xf numFmtId="0" fontId="29" fillId="11" borderId="31" xfId="0" applyFont="1" applyFill="1" applyBorder="1" applyAlignment="1">
      <alignment vertical="center" wrapText="1"/>
    </xf>
    <xf numFmtId="0" fontId="29" fillId="11" borderId="27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right" vertical="center" wrapText="1"/>
    </xf>
    <xf numFmtId="0" fontId="29" fillId="5" borderId="29" xfId="0" applyFont="1" applyFill="1" applyBorder="1" applyAlignment="1">
      <alignment horizontal="right" vertical="center" wrapText="1"/>
    </xf>
    <xf numFmtId="0" fontId="29" fillId="5" borderId="27" xfId="0" applyFont="1" applyFill="1" applyBorder="1" applyAlignment="1">
      <alignment horizontal="right" vertical="center" wrapText="1"/>
    </xf>
    <xf numFmtId="0" fontId="29" fillId="0" borderId="29" xfId="0" applyFont="1" applyBorder="1" applyAlignment="1">
      <alignment vertical="center" wrapText="1"/>
    </xf>
    <xf numFmtId="0" fontId="29" fillId="3" borderId="31" xfId="0" applyFont="1" applyFill="1" applyBorder="1" applyAlignment="1">
      <alignment vertical="center" wrapText="1"/>
    </xf>
    <xf numFmtId="0" fontId="29" fillId="3" borderId="29" xfId="0" applyFont="1" applyFill="1" applyBorder="1" applyAlignment="1">
      <alignment vertical="center" wrapText="1"/>
    </xf>
    <xf numFmtId="0" fontId="29" fillId="3" borderId="27" xfId="0" applyFont="1" applyFill="1" applyBorder="1" applyAlignment="1">
      <alignment vertical="center" wrapText="1"/>
    </xf>
    <xf numFmtId="0" fontId="29" fillId="3" borderId="31" xfId="0" applyFont="1" applyFill="1" applyBorder="1" applyAlignment="1">
      <alignment horizontal="right" vertical="center" wrapText="1"/>
    </xf>
    <xf numFmtId="0" fontId="29" fillId="3" borderId="27" xfId="0" applyFont="1" applyFill="1" applyBorder="1" applyAlignment="1">
      <alignment horizontal="right" vertical="center" wrapText="1"/>
    </xf>
    <xf numFmtId="0" fontId="32" fillId="3" borderId="0" xfId="0" applyFont="1" applyFill="1" applyAlignment="1">
      <alignment horizontal="right" vertical="center" wrapText="1"/>
    </xf>
    <xf numFmtId="0" fontId="34" fillId="3" borderId="0" xfId="0" applyFont="1" applyFill="1" applyAlignment="1">
      <alignment vertical="center" wrapText="1"/>
    </xf>
    <xf numFmtId="0" fontId="9" fillId="3" borderId="0" xfId="1" applyFill="1" applyAlignment="1" applyProtection="1">
      <alignment vertical="center" wrapText="1"/>
    </xf>
    <xf numFmtId="0" fontId="34" fillId="3" borderId="0" xfId="0" applyFont="1" applyFill="1" applyAlignment="1">
      <alignment horizontal="right" vertical="center" wrapText="1"/>
    </xf>
    <xf numFmtId="0" fontId="34" fillId="16" borderId="0" xfId="0" applyFont="1" applyFill="1" applyAlignment="1">
      <alignment vertical="center" wrapText="1"/>
    </xf>
    <xf numFmtId="0" fontId="34" fillId="16" borderId="0" xfId="0" applyFont="1" applyFill="1" applyAlignment="1">
      <alignment horizontal="left" vertical="center" wrapText="1" indent="2"/>
    </xf>
    <xf numFmtId="0" fontId="34" fillId="16" borderId="0" xfId="0" applyFont="1" applyFill="1" applyAlignment="1">
      <alignment horizontal="right" vertical="center" wrapText="1"/>
    </xf>
    <xf numFmtId="0" fontId="34" fillId="3" borderId="0" xfId="0" applyFont="1" applyFill="1" applyAlignment="1">
      <alignment horizontal="left" vertical="center" wrapText="1" indent="2"/>
    </xf>
    <xf numFmtId="0" fontId="9" fillId="16" borderId="0" xfId="1" applyFill="1" applyAlignment="1" applyProtection="1">
      <alignment vertical="center" wrapText="1"/>
    </xf>
    <xf numFmtId="0" fontId="33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0" fontId="34" fillId="16" borderId="0" xfId="0" applyFont="1" applyFill="1" applyAlignment="1">
      <alignment vertical="center" wrapText="1"/>
    </xf>
    <xf numFmtId="0" fontId="9" fillId="16" borderId="0" xfId="1" applyFill="1" applyAlignment="1" applyProtection="1">
      <alignment vertical="center" wrapText="1"/>
    </xf>
    <xf numFmtId="0" fontId="34" fillId="16" borderId="0" xfId="0" applyFont="1" applyFill="1" applyAlignment="1">
      <alignment horizontal="right" vertical="center" wrapText="1"/>
    </xf>
    <xf numFmtId="0" fontId="34" fillId="3" borderId="0" xfId="0" applyFont="1" applyFill="1" applyAlignment="1">
      <alignment vertical="center" wrapText="1"/>
    </xf>
    <xf numFmtId="0" fontId="9" fillId="3" borderId="0" xfId="1" applyFill="1" applyAlignment="1" applyProtection="1">
      <alignment vertical="center" wrapText="1"/>
    </xf>
    <xf numFmtId="0" fontId="34" fillId="3" borderId="0" xfId="0" applyFont="1" applyFill="1" applyAlignment="1">
      <alignment horizontal="right" vertical="center" wrapText="1"/>
    </xf>
    <xf numFmtId="0" fontId="35" fillId="16" borderId="0" xfId="0" applyFont="1" applyFill="1" applyAlignment="1">
      <alignment horizontal="right" vertical="center" wrapText="1"/>
    </xf>
    <xf numFmtId="0" fontId="35" fillId="3" borderId="0" xfId="0" applyFont="1" applyFill="1" applyAlignment="1">
      <alignment horizontal="right" vertical="center" wrapText="1"/>
    </xf>
    <xf numFmtId="0" fontId="0" fillId="5" borderId="0" xfId="0" applyFill="1"/>
    <xf numFmtId="0" fontId="0" fillId="8" borderId="0" xfId="0" applyFill="1"/>
    <xf numFmtId="0" fontId="0" fillId="15" borderId="0" xfId="0" applyFill="1"/>
    <xf numFmtId="0" fontId="28" fillId="0" borderId="26" xfId="0" applyFont="1" applyBorder="1" applyAlignment="1">
      <alignment horizontal="right" vertical="center" wrapText="1"/>
    </xf>
    <xf numFmtId="0" fontId="29" fillId="5" borderId="28" xfId="0" applyFont="1" applyFill="1" applyBorder="1" applyAlignment="1">
      <alignment horizontal="right" vertical="center" wrapText="1"/>
    </xf>
    <xf numFmtId="0" fontId="29" fillId="0" borderId="28" xfId="0" applyFont="1" applyBorder="1" applyAlignment="1">
      <alignment horizontal="right" vertical="center" wrapText="1"/>
    </xf>
    <xf numFmtId="0" fontId="29" fillId="5" borderId="30" xfId="0" applyFont="1" applyFill="1" applyBorder="1" applyAlignment="1">
      <alignment horizontal="right" vertical="center" wrapText="1"/>
    </xf>
    <xf numFmtId="0" fontId="29" fillId="3" borderId="28" xfId="0" applyFont="1" applyFill="1" applyBorder="1" applyAlignment="1">
      <alignment horizontal="right" vertical="center" wrapText="1"/>
    </xf>
    <xf numFmtId="0" fontId="0" fillId="0" borderId="27" xfId="0" applyBorder="1" applyAlignment="1">
      <alignment horizontal="left" vertical="center" wrapText="1"/>
    </xf>
    <xf numFmtId="0" fontId="31" fillId="0" borderId="0" xfId="0" applyFont="1" applyFill="1" applyAlignment="1">
      <alignment wrapText="1"/>
    </xf>
    <xf numFmtId="0" fontId="28" fillId="0" borderId="26" xfId="0" applyFont="1" applyFill="1" applyBorder="1" applyAlignment="1">
      <alignment vertical="center" wrapText="1"/>
    </xf>
    <xf numFmtId="0" fontId="29" fillId="0" borderId="28" xfId="0" applyFont="1" applyFill="1" applyBorder="1" applyAlignment="1">
      <alignment horizontal="center" vertical="center" wrapText="1"/>
    </xf>
    <xf numFmtId="0" fontId="29" fillId="0" borderId="28" xfId="0" applyFont="1" applyFill="1" applyBorder="1" applyAlignment="1">
      <alignment vertical="center" wrapText="1"/>
    </xf>
    <xf numFmtId="0" fontId="29" fillId="0" borderId="28" xfId="0" applyFont="1" applyFill="1" applyBorder="1" applyAlignment="1">
      <alignment horizontal="left" vertical="center" wrapText="1" indent="1"/>
    </xf>
    <xf numFmtId="0" fontId="29" fillId="0" borderId="30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horizontal="left" vertical="center" wrapText="1" indent="1"/>
    </xf>
    <xf numFmtId="0" fontId="29" fillId="0" borderId="31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32" xfId="0" applyFont="1" applyFill="1" applyBorder="1" applyAlignment="1">
      <alignment horizontal="center" vertical="center" wrapText="1"/>
    </xf>
    <xf numFmtId="0" fontId="6" fillId="0" borderId="0" xfId="0" applyFont="1" applyFill="1"/>
    <xf numFmtId="0" fontId="29" fillId="0" borderId="28" xfId="0" applyFont="1" applyFill="1" applyBorder="1" applyAlignment="1">
      <alignment horizontal="left" vertical="center" wrapText="1"/>
    </xf>
    <xf numFmtId="0" fontId="29" fillId="0" borderId="30" xfId="0" applyFont="1" applyFill="1" applyBorder="1" applyAlignment="1">
      <alignment horizontal="left" vertical="center" wrapText="1"/>
    </xf>
    <xf numFmtId="0" fontId="29" fillId="0" borderId="31" xfId="0" applyFont="1" applyFill="1" applyBorder="1" applyAlignment="1">
      <alignment horizontal="right" vertical="center" wrapText="1"/>
    </xf>
    <xf numFmtId="0" fontId="29" fillId="0" borderId="31" xfId="0" applyFont="1" applyFill="1" applyBorder="1" applyAlignment="1">
      <alignment horizontal="left" vertical="center" wrapText="1"/>
    </xf>
    <xf numFmtId="0" fontId="29" fillId="0" borderId="31" xfId="0" applyFont="1" applyFill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3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29" fillId="5" borderId="26" xfId="0" applyFont="1" applyFill="1" applyBorder="1" applyAlignment="1">
      <alignment horizontal="right" vertical="center" wrapText="1"/>
    </xf>
    <xf numFmtId="165" fontId="31" fillId="0" borderId="0" xfId="0" applyNumberFormat="1" applyFont="1" applyFill="1" applyAlignment="1">
      <alignment wrapText="1"/>
    </xf>
    <xf numFmtId="165" fontId="29" fillId="0" borderId="25" xfId="0" applyNumberFormat="1" applyFont="1" applyFill="1" applyBorder="1" applyAlignment="1">
      <alignment horizontal="right" vertical="center" wrapText="1"/>
    </xf>
    <xf numFmtId="165" fontId="29" fillId="0" borderId="27" xfId="0" applyNumberFormat="1" applyFont="1" applyFill="1" applyBorder="1" applyAlignment="1">
      <alignment horizontal="right" vertical="center" wrapText="1"/>
    </xf>
    <xf numFmtId="165" fontId="29" fillId="0" borderId="31" xfId="0" applyNumberFormat="1" applyFont="1" applyFill="1" applyBorder="1" applyAlignment="1">
      <alignment horizontal="right" vertical="center" wrapText="1"/>
    </xf>
    <xf numFmtId="165" fontId="29" fillId="0" borderId="27" xfId="0" applyNumberFormat="1" applyFont="1" applyFill="1" applyBorder="1" applyAlignment="1">
      <alignment horizontal="right" vertical="center" wrapText="1"/>
    </xf>
    <xf numFmtId="0" fontId="29" fillId="0" borderId="25" xfId="0" applyFont="1" applyFill="1" applyBorder="1" applyAlignment="1">
      <alignment horizontal="right" vertical="center" wrapText="1"/>
    </xf>
    <xf numFmtId="0" fontId="29" fillId="0" borderId="29" xfId="0" applyFont="1" applyFill="1" applyBorder="1" applyAlignment="1">
      <alignment horizontal="right" vertical="center" wrapText="1"/>
    </xf>
    <xf numFmtId="0" fontId="29" fillId="0" borderId="27" xfId="0" applyFont="1" applyFill="1" applyBorder="1" applyAlignment="1">
      <alignment horizontal="right" vertical="center" wrapText="1"/>
    </xf>
    <xf numFmtId="0" fontId="29" fillId="0" borderId="27" xfId="0" applyFont="1" applyFill="1" applyBorder="1" applyAlignment="1">
      <alignment horizontal="right" vertical="center" wrapText="1"/>
    </xf>
    <xf numFmtId="0" fontId="6" fillId="0" borderId="0" xfId="0" applyFont="1" applyFill="1" applyAlignment="1"/>
    <xf numFmtId="165" fontId="0" fillId="0" borderId="0" xfId="0" applyNumberFormat="1" applyFill="1"/>
    <xf numFmtId="165" fontId="1" fillId="0" borderId="0" xfId="0" applyNumberFormat="1" applyFont="1" applyFill="1"/>
    <xf numFmtId="0" fontId="30" fillId="0" borderId="26" xfId="0" applyFont="1" applyFill="1" applyBorder="1" applyAlignment="1">
      <alignment vertical="center" wrapText="1"/>
    </xf>
    <xf numFmtId="0" fontId="30" fillId="0" borderId="28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horizontal="justify" vertical="center" wrapText="1"/>
    </xf>
    <xf numFmtId="0" fontId="30" fillId="0" borderId="31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29" xfId="0" applyFont="1" applyFill="1" applyBorder="1" applyAlignment="1">
      <alignment vertical="center" wrapText="1"/>
    </xf>
    <xf numFmtId="0" fontId="30" fillId="0" borderId="32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30" fillId="0" borderId="26" xfId="0" applyFont="1" applyFill="1" applyBorder="1" applyAlignment="1">
      <alignment horizontal="center" vertical="center" wrapText="1"/>
    </xf>
    <xf numFmtId="0" fontId="30" fillId="0" borderId="28" xfId="0" applyFont="1" applyFill="1" applyBorder="1" applyAlignment="1">
      <alignment horizontal="center" vertical="center" wrapText="1"/>
    </xf>
    <xf numFmtId="0" fontId="28" fillId="0" borderId="28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" fontId="30" fillId="0" borderId="28" xfId="0" quotePrefix="1" applyNumberFormat="1" applyFont="1" applyFill="1" applyBorder="1" applyAlignment="1">
      <alignment horizontal="center" vertical="center" wrapText="1"/>
    </xf>
    <xf numFmtId="1" fontId="30" fillId="0" borderId="31" xfId="0" quotePrefix="1" applyNumberFormat="1" applyFont="1" applyFill="1" applyBorder="1" applyAlignment="1">
      <alignment horizontal="center" vertical="center" wrapText="1"/>
    </xf>
    <xf numFmtId="1" fontId="30" fillId="0" borderId="27" xfId="0" applyNumberFormat="1" applyFont="1" applyFill="1" applyBorder="1" applyAlignment="1">
      <alignment horizontal="center" vertical="center" wrapText="1"/>
    </xf>
    <xf numFmtId="16" fontId="30" fillId="0" borderId="31" xfId="0" quotePrefix="1" applyNumberFormat="1" applyFont="1" applyFill="1" applyBorder="1" applyAlignment="1">
      <alignment horizontal="center" vertical="center" wrapText="1"/>
    </xf>
    <xf numFmtId="16" fontId="30" fillId="0" borderId="27" xfId="0" applyNumberFormat="1" applyFont="1" applyFill="1" applyBorder="1" applyAlignment="1">
      <alignment horizontal="center" vertical="center" wrapText="1"/>
    </xf>
    <xf numFmtId="16" fontId="30" fillId="0" borderId="28" xfId="0" quotePrefix="1" applyNumberFormat="1" applyFont="1" applyFill="1" applyBorder="1" applyAlignment="1">
      <alignment horizontal="center" vertical="center" wrapText="1"/>
    </xf>
    <xf numFmtId="0" fontId="30" fillId="0" borderId="29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vertical="center" wrapText="1"/>
    </xf>
    <xf numFmtId="0" fontId="16" fillId="14" borderId="8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9" fillId="13" borderId="8" xfId="1" applyFill="1" applyBorder="1" applyAlignment="1" applyProtection="1">
      <alignment vertical="center" wrapText="1"/>
    </xf>
    <xf numFmtId="0" fontId="16" fillId="15" borderId="8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9F363"/>
      <color rgb="FFF7F2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postholer.com/planner/Appalachian-Trail/3" TargetMode="External"/><Relationship Id="rId1" Type="http://schemas.openxmlformats.org/officeDocument/2006/relationships/hyperlink" Target="https://www.postholer.com/databook/Appalachian-Trail/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ostholer.com/planner/hikePlanner.php" TargetMode="External"/><Relationship Id="rId18" Type="http://schemas.openxmlformats.org/officeDocument/2006/relationships/hyperlink" Target="https://www.postholer.com/planner/hikePlanner.php" TargetMode="External"/><Relationship Id="rId26" Type="http://schemas.openxmlformats.org/officeDocument/2006/relationships/hyperlink" Target="https://www.postholer.com/planner/hikePlanner.php" TargetMode="External"/><Relationship Id="rId21" Type="http://schemas.openxmlformats.org/officeDocument/2006/relationships/hyperlink" Target="https://www.postholer.com/planner/hikePlanner.php" TargetMode="External"/><Relationship Id="rId34" Type="http://schemas.openxmlformats.org/officeDocument/2006/relationships/hyperlink" Target="https://www.postholer.com/planner/hikePlanner.php" TargetMode="External"/><Relationship Id="rId7" Type="http://schemas.openxmlformats.org/officeDocument/2006/relationships/hyperlink" Target="https://www.postholer.com/planner/hikePlanner.php" TargetMode="External"/><Relationship Id="rId12" Type="http://schemas.openxmlformats.org/officeDocument/2006/relationships/hyperlink" Target="https://www.postholer.com/planner/hikePlanner.php" TargetMode="External"/><Relationship Id="rId17" Type="http://schemas.openxmlformats.org/officeDocument/2006/relationships/hyperlink" Target="https://www.postholer.com/planner/hikePlanner.php" TargetMode="External"/><Relationship Id="rId25" Type="http://schemas.openxmlformats.org/officeDocument/2006/relationships/hyperlink" Target="https://www.postholer.com/planner/hikePlanner.php" TargetMode="External"/><Relationship Id="rId33" Type="http://schemas.openxmlformats.org/officeDocument/2006/relationships/hyperlink" Target="https://www.postholer.com/planner/hikePlanner.php" TargetMode="External"/><Relationship Id="rId2" Type="http://schemas.openxmlformats.org/officeDocument/2006/relationships/hyperlink" Target="https://www.postholer.com/planner/hikePlanner.php" TargetMode="External"/><Relationship Id="rId16" Type="http://schemas.openxmlformats.org/officeDocument/2006/relationships/hyperlink" Target="https://www.postholer.com/planner/hikePlanner.php" TargetMode="External"/><Relationship Id="rId20" Type="http://schemas.openxmlformats.org/officeDocument/2006/relationships/hyperlink" Target="https://www.postholer.com/planner/hikePlanner.php" TargetMode="External"/><Relationship Id="rId29" Type="http://schemas.openxmlformats.org/officeDocument/2006/relationships/hyperlink" Target="https://www.postholer.com/planner/hikePlanner.php" TargetMode="External"/><Relationship Id="rId1" Type="http://schemas.openxmlformats.org/officeDocument/2006/relationships/hyperlink" Target="https://www.postholer.com/planner/hikePlanner.php" TargetMode="External"/><Relationship Id="rId6" Type="http://schemas.openxmlformats.org/officeDocument/2006/relationships/hyperlink" Target="https://www.postholer.com/planner/hikePlanner.php" TargetMode="External"/><Relationship Id="rId11" Type="http://schemas.openxmlformats.org/officeDocument/2006/relationships/hyperlink" Target="https://www.postholer.com/planner/hikePlanner.php" TargetMode="External"/><Relationship Id="rId24" Type="http://schemas.openxmlformats.org/officeDocument/2006/relationships/hyperlink" Target="https://www.postholer.com/planner/hikePlanner.php" TargetMode="External"/><Relationship Id="rId32" Type="http://schemas.openxmlformats.org/officeDocument/2006/relationships/hyperlink" Target="https://www.postholer.com/planner/hikePlanner.php" TargetMode="External"/><Relationship Id="rId37" Type="http://schemas.openxmlformats.org/officeDocument/2006/relationships/hyperlink" Target="https://www.postholer.com/planner/hikePlanner.php" TargetMode="External"/><Relationship Id="rId5" Type="http://schemas.openxmlformats.org/officeDocument/2006/relationships/hyperlink" Target="https://www.postholer.com/planner/hikePlanner.php" TargetMode="External"/><Relationship Id="rId15" Type="http://schemas.openxmlformats.org/officeDocument/2006/relationships/hyperlink" Target="https://www.postholer.com/planner/hikePlanner.php" TargetMode="External"/><Relationship Id="rId23" Type="http://schemas.openxmlformats.org/officeDocument/2006/relationships/hyperlink" Target="https://www.postholer.com/planner/hikePlanner.php" TargetMode="External"/><Relationship Id="rId28" Type="http://schemas.openxmlformats.org/officeDocument/2006/relationships/hyperlink" Target="https://www.postholer.com/planner/hikePlanner.php" TargetMode="External"/><Relationship Id="rId36" Type="http://schemas.openxmlformats.org/officeDocument/2006/relationships/hyperlink" Target="https://www.postholer.com/planner/hikePlanner.php" TargetMode="External"/><Relationship Id="rId10" Type="http://schemas.openxmlformats.org/officeDocument/2006/relationships/hyperlink" Target="https://www.postholer.com/planner/hikePlanner.php" TargetMode="External"/><Relationship Id="rId19" Type="http://schemas.openxmlformats.org/officeDocument/2006/relationships/hyperlink" Target="https://www.postholer.com/planner/hikePlanner.php" TargetMode="External"/><Relationship Id="rId31" Type="http://schemas.openxmlformats.org/officeDocument/2006/relationships/hyperlink" Target="https://www.postholer.com/planner/hikePlanner.php" TargetMode="External"/><Relationship Id="rId4" Type="http://schemas.openxmlformats.org/officeDocument/2006/relationships/hyperlink" Target="https://www.postholer.com/planner/hikePlanner.php" TargetMode="External"/><Relationship Id="rId9" Type="http://schemas.openxmlformats.org/officeDocument/2006/relationships/hyperlink" Target="https://www.postholer.com/planner/hikePlanner.php" TargetMode="External"/><Relationship Id="rId14" Type="http://schemas.openxmlformats.org/officeDocument/2006/relationships/hyperlink" Target="https://www.postholer.com/planner/hikePlanner.php" TargetMode="External"/><Relationship Id="rId22" Type="http://schemas.openxmlformats.org/officeDocument/2006/relationships/hyperlink" Target="https://www.postholer.com/planner/hikePlanner.php" TargetMode="External"/><Relationship Id="rId27" Type="http://schemas.openxmlformats.org/officeDocument/2006/relationships/hyperlink" Target="https://www.postholer.com/planner/hikePlanner.php" TargetMode="External"/><Relationship Id="rId30" Type="http://schemas.openxmlformats.org/officeDocument/2006/relationships/hyperlink" Target="https://www.postholer.com/planner/hikePlanner.php" TargetMode="External"/><Relationship Id="rId35" Type="http://schemas.openxmlformats.org/officeDocument/2006/relationships/hyperlink" Target="https://www.postholer.com/planner/hikePlanner.php" TargetMode="External"/><Relationship Id="rId8" Type="http://schemas.openxmlformats.org/officeDocument/2006/relationships/hyperlink" Target="https://www.postholer.com/planner/hikePlanner.php" TargetMode="External"/><Relationship Id="rId3" Type="http://schemas.openxmlformats.org/officeDocument/2006/relationships/hyperlink" Target="https://www.postholer.com/planner/hikePlanner.ph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aldha.org/labels/at" TargetMode="External"/><Relationship Id="rId21" Type="http://schemas.openxmlformats.org/officeDocument/2006/relationships/hyperlink" Target="javascript:MailingLabel('8')" TargetMode="External"/><Relationship Id="rId42" Type="http://schemas.openxmlformats.org/officeDocument/2006/relationships/hyperlink" Target="https://aldha.org/labels/at" TargetMode="External"/><Relationship Id="rId63" Type="http://schemas.openxmlformats.org/officeDocument/2006/relationships/hyperlink" Target="javascript:MailingLabel('20')" TargetMode="External"/><Relationship Id="rId84" Type="http://schemas.openxmlformats.org/officeDocument/2006/relationships/hyperlink" Target="http://en.wikipedia.org/wiki/Waynesboro,_Virginia" TargetMode="External"/><Relationship Id="rId138" Type="http://schemas.openxmlformats.org/officeDocument/2006/relationships/hyperlink" Target="http://www.nysparks.com/parks/13/details.aspx" TargetMode="External"/><Relationship Id="rId159" Type="http://schemas.openxmlformats.org/officeDocument/2006/relationships/hyperlink" Target="http://en.wikipedia.org/wiki/Dalton,_Massachusetts" TargetMode="External"/><Relationship Id="rId170" Type="http://schemas.openxmlformats.org/officeDocument/2006/relationships/hyperlink" Target="javascript:MailingLabel('43')" TargetMode="External"/><Relationship Id="rId191" Type="http://schemas.openxmlformats.org/officeDocument/2006/relationships/hyperlink" Target="http://en.wikipedia.org/wiki/Andover,_Maine" TargetMode="External"/><Relationship Id="rId205" Type="http://schemas.openxmlformats.org/officeDocument/2006/relationships/hyperlink" Target="javascript:MailingLabel('52')" TargetMode="External"/><Relationship Id="rId107" Type="http://schemas.openxmlformats.org/officeDocument/2006/relationships/hyperlink" Target="http://tinyurl.com/pc4e7qu" TargetMode="External"/><Relationship Id="rId11" Type="http://schemas.openxmlformats.org/officeDocument/2006/relationships/hyperlink" Target="http://brysoncity.northcarolina.com/" TargetMode="External"/><Relationship Id="rId32" Type="http://schemas.openxmlformats.org/officeDocument/2006/relationships/hyperlink" Target="javascript:MailingLabel('11')" TargetMode="External"/><Relationship Id="rId53" Type="http://schemas.openxmlformats.org/officeDocument/2006/relationships/hyperlink" Target="javascript:MailingLabel('17')" TargetMode="External"/><Relationship Id="rId74" Type="http://schemas.openxmlformats.org/officeDocument/2006/relationships/hyperlink" Target="javascript:MailingLabel('22a')" TargetMode="External"/><Relationship Id="rId128" Type="http://schemas.openxmlformats.org/officeDocument/2006/relationships/hyperlink" Target="javascript:MailingLabel('32')" TargetMode="External"/><Relationship Id="rId149" Type="http://schemas.openxmlformats.org/officeDocument/2006/relationships/hyperlink" Target="http://en.wikipedia.org/wiki/Salisbury,_Connecticut" TargetMode="External"/><Relationship Id="rId5" Type="http://schemas.openxmlformats.org/officeDocument/2006/relationships/hyperlink" Target="http://tinyurl.com/cbbeh8u" TargetMode="External"/><Relationship Id="rId95" Type="http://schemas.openxmlformats.org/officeDocument/2006/relationships/hyperlink" Target="http://tinyurl.com/bnbr8wn" TargetMode="External"/><Relationship Id="rId160" Type="http://schemas.openxmlformats.org/officeDocument/2006/relationships/hyperlink" Target="http://tinyurl.com/b6ua4hp" TargetMode="External"/><Relationship Id="rId181" Type="http://schemas.openxmlformats.org/officeDocument/2006/relationships/hyperlink" Target="https://aldha.org/labels/at" TargetMode="External"/><Relationship Id="rId216" Type="http://schemas.openxmlformats.org/officeDocument/2006/relationships/hyperlink" Target="javascript:MailingLabel('1')" TargetMode="External"/><Relationship Id="rId22" Type="http://schemas.openxmlformats.org/officeDocument/2006/relationships/hyperlink" Target="http://www.hotspringsnc.org/" TargetMode="External"/><Relationship Id="rId43" Type="http://schemas.openxmlformats.org/officeDocument/2006/relationships/hyperlink" Target="https://aldha.org/labels/at" TargetMode="External"/><Relationship Id="rId64" Type="http://schemas.openxmlformats.org/officeDocument/2006/relationships/hyperlink" Target="http://daleville.virginia.com/" TargetMode="External"/><Relationship Id="rId118" Type="http://schemas.openxmlformats.org/officeDocument/2006/relationships/hyperlink" Target="http://tinyurl.com/b9r8eyy" TargetMode="External"/><Relationship Id="rId139" Type="http://schemas.openxmlformats.org/officeDocument/2006/relationships/hyperlink" Target="http://tinyurl.com/av3fqb7" TargetMode="External"/><Relationship Id="rId85" Type="http://schemas.openxmlformats.org/officeDocument/2006/relationships/hyperlink" Target="http://tinyurl.com/cyg5avs" TargetMode="External"/><Relationship Id="rId150" Type="http://schemas.openxmlformats.org/officeDocument/2006/relationships/hyperlink" Target="http://tinyurl.com/b4lybda" TargetMode="External"/><Relationship Id="rId171" Type="http://schemas.openxmlformats.org/officeDocument/2006/relationships/hyperlink" Target="http://en.wikipedia.org/wiki/Manchester_Center,_Vermont" TargetMode="External"/><Relationship Id="rId192" Type="http://schemas.openxmlformats.org/officeDocument/2006/relationships/hyperlink" Target="https://aldha.org/labels/at" TargetMode="External"/><Relationship Id="rId206" Type="http://schemas.openxmlformats.org/officeDocument/2006/relationships/hyperlink" Target="http://en.wikipedia.org/wiki/Monson,_Maine" TargetMode="External"/><Relationship Id="rId12" Type="http://schemas.openxmlformats.org/officeDocument/2006/relationships/hyperlink" Target="https://aldha.org/labels/at" TargetMode="External"/><Relationship Id="rId33" Type="http://schemas.openxmlformats.org/officeDocument/2006/relationships/hyperlink" Target="http://en.wikipedia.org/wiki/Elk_Park,_North_Carolina" TargetMode="External"/><Relationship Id="rId108" Type="http://schemas.openxmlformats.org/officeDocument/2006/relationships/hyperlink" Target="javascript:MailingLabel('26')" TargetMode="External"/><Relationship Id="rId129" Type="http://schemas.openxmlformats.org/officeDocument/2006/relationships/hyperlink" Target="http://www.unionvilleny.org/" TargetMode="External"/><Relationship Id="rId54" Type="http://schemas.openxmlformats.org/officeDocument/2006/relationships/hyperlink" Target="https://en.wikipedia.org/wiki/Bland,_Virginia" TargetMode="External"/><Relationship Id="rId75" Type="http://schemas.openxmlformats.org/officeDocument/2006/relationships/hyperlink" Target="http://en.wikipedia.org/wiki/Glasgow,_Virginia" TargetMode="External"/><Relationship Id="rId96" Type="http://schemas.openxmlformats.org/officeDocument/2006/relationships/hyperlink" Target="javascript:MailingLabel('25')" TargetMode="External"/><Relationship Id="rId140" Type="http://schemas.openxmlformats.org/officeDocument/2006/relationships/hyperlink" Target="javascript:MailingLabel('35')" TargetMode="External"/><Relationship Id="rId161" Type="http://schemas.openxmlformats.org/officeDocument/2006/relationships/hyperlink" Target="javascript:MailingLabel('41')" TargetMode="External"/><Relationship Id="rId182" Type="http://schemas.openxmlformats.org/officeDocument/2006/relationships/hyperlink" Target="http://tinyurl.com/d2mqedd" TargetMode="External"/><Relationship Id="rId217" Type="http://schemas.openxmlformats.org/officeDocument/2006/relationships/hyperlink" Target="http://www.suches.org/" TargetMode="External"/><Relationship Id="rId6" Type="http://schemas.openxmlformats.org/officeDocument/2006/relationships/hyperlink" Target="javascript:MailingLabel('4')" TargetMode="External"/><Relationship Id="rId23" Type="http://schemas.openxmlformats.org/officeDocument/2006/relationships/hyperlink" Target="http://tinyurl.com/d9plbbd" TargetMode="External"/><Relationship Id="rId119" Type="http://schemas.openxmlformats.org/officeDocument/2006/relationships/hyperlink" Target="javascript:MailingLabel('29')" TargetMode="External"/><Relationship Id="rId44" Type="http://schemas.openxmlformats.org/officeDocument/2006/relationships/hyperlink" Target="javascript:MailingLabel('14')" TargetMode="External"/><Relationship Id="rId65" Type="http://schemas.openxmlformats.org/officeDocument/2006/relationships/hyperlink" Target="https://aldha.org/labels/at" TargetMode="External"/><Relationship Id="rId86" Type="http://schemas.openxmlformats.org/officeDocument/2006/relationships/hyperlink" Target="javascript:MailingLabel('23a')" TargetMode="External"/><Relationship Id="rId130" Type="http://schemas.openxmlformats.org/officeDocument/2006/relationships/hyperlink" Target="http://tinyurl.com/byob8np" TargetMode="External"/><Relationship Id="rId151" Type="http://schemas.openxmlformats.org/officeDocument/2006/relationships/hyperlink" Target="javascript:MailingLabel('38')" TargetMode="External"/><Relationship Id="rId172" Type="http://schemas.openxmlformats.org/officeDocument/2006/relationships/hyperlink" Target="http://tinyurl.com/bzch4y8" TargetMode="External"/><Relationship Id="rId193" Type="http://schemas.openxmlformats.org/officeDocument/2006/relationships/hyperlink" Target="http://tinyurl.com/apoocdr" TargetMode="External"/><Relationship Id="rId207" Type="http://schemas.openxmlformats.org/officeDocument/2006/relationships/hyperlink" Target="https://aldha.org/labels/at" TargetMode="External"/><Relationship Id="rId13" Type="http://schemas.openxmlformats.org/officeDocument/2006/relationships/hyperlink" Target="http://tinyurl.com/aw78644" TargetMode="External"/><Relationship Id="rId109" Type="http://schemas.openxmlformats.org/officeDocument/2006/relationships/hyperlink" Target="https://en.wikipedia.org/wiki/South_Mountain,_Pennsylvania" TargetMode="External"/><Relationship Id="rId34" Type="http://schemas.openxmlformats.org/officeDocument/2006/relationships/hyperlink" Target="http://tinyurl.com/ay93jch" TargetMode="External"/><Relationship Id="rId55" Type="http://schemas.openxmlformats.org/officeDocument/2006/relationships/hyperlink" Target="http://tinyurl.com/b2ozmyp" TargetMode="External"/><Relationship Id="rId76" Type="http://schemas.openxmlformats.org/officeDocument/2006/relationships/hyperlink" Target="http://tinyurl.com/aczqc9g" TargetMode="External"/><Relationship Id="rId97" Type="http://schemas.openxmlformats.org/officeDocument/2006/relationships/hyperlink" Target="http://en.wikipedia.org/wiki/Harpers_Ferry,_West_Virginia" TargetMode="External"/><Relationship Id="rId120" Type="http://schemas.openxmlformats.org/officeDocument/2006/relationships/hyperlink" Target="http://en.wikipedia.org/wiki/Port_Clinton,_Pennsylvania" TargetMode="External"/><Relationship Id="rId141" Type="http://schemas.openxmlformats.org/officeDocument/2006/relationships/hyperlink" Target="http://en.wikipedia.org/wiki/Pawling_(town),_New_York" TargetMode="External"/><Relationship Id="rId7" Type="http://schemas.openxmlformats.org/officeDocument/2006/relationships/hyperlink" Target="http://aprilfoolstraildays.com/" TargetMode="External"/><Relationship Id="rId162" Type="http://schemas.openxmlformats.org/officeDocument/2006/relationships/hyperlink" Target="http://en.wikipedia.org/wiki/Cheshire,_Massachusetts" TargetMode="External"/><Relationship Id="rId183" Type="http://schemas.openxmlformats.org/officeDocument/2006/relationships/hyperlink" Target="javascript:MailingLabel('47')" TargetMode="External"/><Relationship Id="rId218" Type="http://schemas.openxmlformats.org/officeDocument/2006/relationships/hyperlink" Target="https://www.whiteblaze.net/forum/articles/2021-post-offices.pdf" TargetMode="External"/><Relationship Id="rId24" Type="http://schemas.openxmlformats.org/officeDocument/2006/relationships/hyperlink" Target="javascript:MailingLabel('9')" TargetMode="External"/><Relationship Id="rId45" Type="http://schemas.openxmlformats.org/officeDocument/2006/relationships/hyperlink" Target="http://www.traildays.us/" TargetMode="External"/><Relationship Id="rId66" Type="http://schemas.openxmlformats.org/officeDocument/2006/relationships/hyperlink" Target="http://tinyurl.com/ckzt3to" TargetMode="External"/><Relationship Id="rId87" Type="http://schemas.openxmlformats.org/officeDocument/2006/relationships/hyperlink" Target="http://www.virginia.org/Cities/Luray/" TargetMode="External"/><Relationship Id="rId110" Type="http://schemas.openxmlformats.org/officeDocument/2006/relationships/hyperlink" Target="http://tinyurl.com/aos5fto" TargetMode="External"/><Relationship Id="rId131" Type="http://schemas.openxmlformats.org/officeDocument/2006/relationships/hyperlink" Target="javascript:MailingLabel('33')" TargetMode="External"/><Relationship Id="rId152" Type="http://schemas.openxmlformats.org/officeDocument/2006/relationships/hyperlink" Target="http://en.wikipedia.org/wiki/Great_Barrington,_Massachusetts" TargetMode="External"/><Relationship Id="rId173" Type="http://schemas.openxmlformats.org/officeDocument/2006/relationships/hyperlink" Target="javascript:MailingLabel('44')" TargetMode="External"/><Relationship Id="rId194" Type="http://schemas.openxmlformats.org/officeDocument/2006/relationships/hyperlink" Target="javascript:MailingLabel('49a')" TargetMode="External"/><Relationship Id="rId208" Type="http://schemas.openxmlformats.org/officeDocument/2006/relationships/hyperlink" Target="http://tinyurl.com/a4b4f2p" TargetMode="External"/><Relationship Id="rId14" Type="http://schemas.openxmlformats.org/officeDocument/2006/relationships/hyperlink" Target="javascript:MailingLabel('6')" TargetMode="External"/><Relationship Id="rId30" Type="http://schemas.openxmlformats.org/officeDocument/2006/relationships/hyperlink" Target="https://aldha.org/labels/at" TargetMode="External"/><Relationship Id="rId35" Type="http://schemas.openxmlformats.org/officeDocument/2006/relationships/hyperlink" Target="javascript:MailingLabel('12')" TargetMode="External"/><Relationship Id="rId56" Type="http://schemas.openxmlformats.org/officeDocument/2006/relationships/hyperlink" Target="javascript:MailingLabel('18')" TargetMode="External"/><Relationship Id="rId77" Type="http://schemas.openxmlformats.org/officeDocument/2006/relationships/hyperlink" Target="javascript:MailingLabel('22b')" TargetMode="External"/><Relationship Id="rId100" Type="http://schemas.openxmlformats.org/officeDocument/2006/relationships/hyperlink" Target="https://aldha.org/labels/at" TargetMode="External"/><Relationship Id="rId105" Type="http://schemas.openxmlformats.org/officeDocument/2006/relationships/hyperlink" Target="javascript:MailingLabel('26b')" TargetMode="External"/><Relationship Id="rId126" Type="http://schemas.openxmlformats.org/officeDocument/2006/relationships/hyperlink" Target="http://en.wikipedia.org/wiki/Delaware_Water_Gap" TargetMode="External"/><Relationship Id="rId147" Type="http://schemas.openxmlformats.org/officeDocument/2006/relationships/hyperlink" Target="http://tinyurl.com/a2zyyta" TargetMode="External"/><Relationship Id="rId168" Type="http://schemas.openxmlformats.org/officeDocument/2006/relationships/hyperlink" Target="http://en.wikipedia.org/wiki/Bennington,_Vermont" TargetMode="External"/><Relationship Id="rId8" Type="http://schemas.openxmlformats.org/officeDocument/2006/relationships/hyperlink" Target="https://aldha.org/labels/at" TargetMode="External"/><Relationship Id="rId51" Type="http://schemas.openxmlformats.org/officeDocument/2006/relationships/hyperlink" Target="http://en.wikipedia.org/wiki/Atkins,_Virginia" TargetMode="External"/><Relationship Id="rId72" Type="http://schemas.openxmlformats.org/officeDocument/2006/relationships/hyperlink" Target="http://www.virginia.org/Cities/BigIsland/" TargetMode="External"/><Relationship Id="rId93" Type="http://schemas.openxmlformats.org/officeDocument/2006/relationships/hyperlink" Target="javascript:MailingLabel('24a')" TargetMode="External"/><Relationship Id="rId98" Type="http://schemas.openxmlformats.org/officeDocument/2006/relationships/hyperlink" Target="https://aldha.org/labels/at" TargetMode="External"/><Relationship Id="rId121" Type="http://schemas.openxmlformats.org/officeDocument/2006/relationships/hyperlink" Target="http://tinyurl.com/ax46bsc" TargetMode="External"/><Relationship Id="rId142" Type="http://schemas.openxmlformats.org/officeDocument/2006/relationships/hyperlink" Target="http://tinyurl.com/bkaxu5r" TargetMode="External"/><Relationship Id="rId163" Type="http://schemas.openxmlformats.org/officeDocument/2006/relationships/hyperlink" Target="http://tinyurl.com/c32oj38" TargetMode="External"/><Relationship Id="rId184" Type="http://schemas.openxmlformats.org/officeDocument/2006/relationships/hyperlink" Target="http://www.lincolnwoodstock.com/" TargetMode="External"/><Relationship Id="rId189" Type="http://schemas.openxmlformats.org/officeDocument/2006/relationships/hyperlink" Target="http://tinyurl.com/b2hs5pf" TargetMode="External"/><Relationship Id="rId219" Type="http://schemas.openxmlformats.org/officeDocument/2006/relationships/hyperlink" Target="https://aldha.org/labels/at" TargetMode="External"/><Relationship Id="rId3" Type="http://schemas.openxmlformats.org/officeDocument/2006/relationships/hyperlink" Target="http://tinyurl.com/axsdpqy" TargetMode="External"/><Relationship Id="rId214" Type="http://schemas.openxmlformats.org/officeDocument/2006/relationships/hyperlink" Target="https://aldha.org/labels/at" TargetMode="External"/><Relationship Id="rId25" Type="http://schemas.openxmlformats.org/officeDocument/2006/relationships/hyperlink" Target="http://en.wikipedia.org/wiki/Erwin,_TN" TargetMode="External"/><Relationship Id="rId46" Type="http://schemas.openxmlformats.org/officeDocument/2006/relationships/hyperlink" Target="http://tinyurl.com/cfjuctz" TargetMode="External"/><Relationship Id="rId67" Type="http://schemas.openxmlformats.org/officeDocument/2006/relationships/hyperlink" Target="javascript:MailingLabel('21')" TargetMode="External"/><Relationship Id="rId116" Type="http://schemas.openxmlformats.org/officeDocument/2006/relationships/hyperlink" Target="http://en.wikipedia.org/wiki/Duncannon,_Pennsylvania" TargetMode="External"/><Relationship Id="rId137" Type="http://schemas.openxmlformats.org/officeDocument/2006/relationships/hyperlink" Target="javascript:MailingLabel('34')" TargetMode="External"/><Relationship Id="rId158" Type="http://schemas.openxmlformats.org/officeDocument/2006/relationships/hyperlink" Target="javascript:MailingLabel('40')" TargetMode="External"/><Relationship Id="rId20" Type="http://schemas.openxmlformats.org/officeDocument/2006/relationships/hyperlink" Target="http://tinyurl.com/ae9esn5" TargetMode="External"/><Relationship Id="rId41" Type="http://schemas.openxmlformats.org/officeDocument/2006/relationships/hyperlink" Target="http://tinyurl.com/apnyg7l" TargetMode="External"/><Relationship Id="rId62" Type="http://schemas.openxmlformats.org/officeDocument/2006/relationships/hyperlink" Target="http://tinyurl.com/avauxmx" TargetMode="External"/><Relationship Id="rId83" Type="http://schemas.openxmlformats.org/officeDocument/2006/relationships/hyperlink" Target="javascript:MailingLabel('23')" TargetMode="External"/><Relationship Id="rId88" Type="http://schemas.openxmlformats.org/officeDocument/2006/relationships/hyperlink" Target="http://tinyurl.com/a9mft6c" TargetMode="External"/><Relationship Id="rId111" Type="http://schemas.openxmlformats.org/officeDocument/2006/relationships/hyperlink" Target="javascript:MailingLabel('27')" TargetMode="External"/><Relationship Id="rId132" Type="http://schemas.openxmlformats.org/officeDocument/2006/relationships/hyperlink" Target="http://en.wikipedia.org/wiki/Vernon_Township,_New_Jersey" TargetMode="External"/><Relationship Id="rId153" Type="http://schemas.openxmlformats.org/officeDocument/2006/relationships/hyperlink" Target="https://aldha.org/labels/at" TargetMode="External"/><Relationship Id="rId174" Type="http://schemas.openxmlformats.org/officeDocument/2006/relationships/hyperlink" Target="http://en.wikipedia.org/wiki/Rutland_(city),_Vermont" TargetMode="External"/><Relationship Id="rId179" Type="http://schemas.openxmlformats.org/officeDocument/2006/relationships/hyperlink" Target="javascript:MailingLabel('46')" TargetMode="External"/><Relationship Id="rId195" Type="http://schemas.openxmlformats.org/officeDocument/2006/relationships/hyperlink" Target="http://en.wikipedia.org/wiki/Rangeley,_Maine" TargetMode="External"/><Relationship Id="rId209" Type="http://schemas.openxmlformats.org/officeDocument/2006/relationships/hyperlink" Target="http://www.baxterstateparkauthority.com/index.htm" TargetMode="External"/><Relationship Id="rId190" Type="http://schemas.openxmlformats.org/officeDocument/2006/relationships/hyperlink" Target="javascript:MailingLabel('49')" TargetMode="External"/><Relationship Id="rId204" Type="http://schemas.openxmlformats.org/officeDocument/2006/relationships/hyperlink" Target="http://tinyurl.com/cbwhvma" TargetMode="External"/><Relationship Id="rId220" Type="http://schemas.openxmlformats.org/officeDocument/2006/relationships/printerSettings" Target="../printerSettings/printerSettings5.bin"/><Relationship Id="rId15" Type="http://schemas.openxmlformats.org/officeDocument/2006/relationships/hyperlink" Target="http://www.fontanavillage.com/" TargetMode="External"/><Relationship Id="rId36" Type="http://schemas.openxmlformats.org/officeDocument/2006/relationships/hyperlink" Target="http://en.wikipedia.org/wiki/Hampton,_Tennessee" TargetMode="External"/><Relationship Id="rId57" Type="http://schemas.openxmlformats.org/officeDocument/2006/relationships/hyperlink" Target="http://www.pearisburg.org/" TargetMode="External"/><Relationship Id="rId106" Type="http://schemas.openxmlformats.org/officeDocument/2006/relationships/hyperlink" Target="http://en.wikipedia.org/wiki/Highfield-Cascade,_Maryland" TargetMode="External"/><Relationship Id="rId127" Type="http://schemas.openxmlformats.org/officeDocument/2006/relationships/hyperlink" Target="http://tinyurl.com/aoowdxw" TargetMode="External"/><Relationship Id="rId10" Type="http://schemas.openxmlformats.org/officeDocument/2006/relationships/hyperlink" Target="javascript:MailingLabel('5')" TargetMode="External"/><Relationship Id="rId31" Type="http://schemas.openxmlformats.org/officeDocument/2006/relationships/hyperlink" Target="http://tinyurl.com/d567j6f" TargetMode="External"/><Relationship Id="rId52" Type="http://schemas.openxmlformats.org/officeDocument/2006/relationships/hyperlink" Target="http://tinyurl.com/byy8rnx" TargetMode="External"/><Relationship Id="rId73" Type="http://schemas.openxmlformats.org/officeDocument/2006/relationships/hyperlink" Target="http://tinyurl.com/ax9qqck" TargetMode="External"/><Relationship Id="rId78" Type="http://schemas.openxmlformats.org/officeDocument/2006/relationships/hyperlink" Target="http://www.virginia.org/Cities/BuenaVista/" TargetMode="External"/><Relationship Id="rId94" Type="http://schemas.openxmlformats.org/officeDocument/2006/relationships/hyperlink" Target="http://en.wikipedia.org/wiki/Linden,_Virginia" TargetMode="External"/><Relationship Id="rId99" Type="http://schemas.openxmlformats.org/officeDocument/2006/relationships/hyperlink" Target="http://tinyurl.com/chux2mk" TargetMode="External"/><Relationship Id="rId101" Type="http://schemas.openxmlformats.org/officeDocument/2006/relationships/hyperlink" Target="https://aldha.org/labels/at" TargetMode="External"/><Relationship Id="rId122" Type="http://schemas.openxmlformats.org/officeDocument/2006/relationships/hyperlink" Target="javascript:MailingLabel('30')" TargetMode="External"/><Relationship Id="rId143" Type="http://schemas.openxmlformats.org/officeDocument/2006/relationships/hyperlink" Target="https://aldha.org/labels/at" TargetMode="External"/><Relationship Id="rId148" Type="http://schemas.openxmlformats.org/officeDocument/2006/relationships/hyperlink" Target="javascript:MailingLabel('37')" TargetMode="External"/><Relationship Id="rId164" Type="http://schemas.openxmlformats.org/officeDocument/2006/relationships/hyperlink" Target="javascript:MailingLabel('41a')" TargetMode="External"/><Relationship Id="rId169" Type="http://schemas.openxmlformats.org/officeDocument/2006/relationships/hyperlink" Target="http://tinyurl.com/b4pbjej" TargetMode="External"/><Relationship Id="rId185" Type="http://schemas.openxmlformats.org/officeDocument/2006/relationships/hyperlink" Target="http://tinyurl.com/a2sqmmp" TargetMode="External"/><Relationship Id="rId4" Type="http://schemas.openxmlformats.org/officeDocument/2006/relationships/hyperlink" Target="https://aldha.org/labels/at" TargetMode="External"/><Relationship Id="rId9" Type="http://schemas.openxmlformats.org/officeDocument/2006/relationships/hyperlink" Target="http://tinyurl.com/cgvfysx" TargetMode="External"/><Relationship Id="rId180" Type="http://schemas.openxmlformats.org/officeDocument/2006/relationships/hyperlink" Target="http://en.wikipedia.org/wiki/Glencliff,_New_Hampshire" TargetMode="External"/><Relationship Id="rId210" Type="http://schemas.openxmlformats.org/officeDocument/2006/relationships/hyperlink" Target="http://www.mountaintopga.com/" TargetMode="External"/><Relationship Id="rId215" Type="http://schemas.openxmlformats.org/officeDocument/2006/relationships/hyperlink" Target="http://en.wikipedia.org/wiki/Springer_Mountain" TargetMode="External"/><Relationship Id="rId26" Type="http://schemas.openxmlformats.org/officeDocument/2006/relationships/hyperlink" Target="https://aldha.org/labels/at" TargetMode="External"/><Relationship Id="rId47" Type="http://schemas.openxmlformats.org/officeDocument/2006/relationships/hyperlink" Target="javascript:MailingLabel('15')" TargetMode="External"/><Relationship Id="rId68" Type="http://schemas.openxmlformats.org/officeDocument/2006/relationships/hyperlink" Target="http://en.wikipedia.org/wiki/Troutville,_Virginia" TargetMode="External"/><Relationship Id="rId89" Type="http://schemas.openxmlformats.org/officeDocument/2006/relationships/hyperlink" Target="javascript:MailingLabel('24')" TargetMode="External"/><Relationship Id="rId112" Type="http://schemas.openxmlformats.org/officeDocument/2006/relationships/hyperlink" Target="http://www.boilingsprings.org/" TargetMode="External"/><Relationship Id="rId133" Type="http://schemas.openxmlformats.org/officeDocument/2006/relationships/hyperlink" Target="http://tinyurl.com/bjqx7og" TargetMode="External"/><Relationship Id="rId154" Type="http://schemas.openxmlformats.org/officeDocument/2006/relationships/hyperlink" Target="http://tinyurl.com/aps78yo" TargetMode="External"/><Relationship Id="rId175" Type="http://schemas.openxmlformats.org/officeDocument/2006/relationships/hyperlink" Target="http://tinyurl.com/cngypn3" TargetMode="External"/><Relationship Id="rId196" Type="http://schemas.openxmlformats.org/officeDocument/2006/relationships/hyperlink" Target="http://tinyurl.com/cz433ey" TargetMode="External"/><Relationship Id="rId200" Type="http://schemas.openxmlformats.org/officeDocument/2006/relationships/hyperlink" Target="http://tinyurl.com/a2us5bh" TargetMode="External"/><Relationship Id="rId16" Type="http://schemas.openxmlformats.org/officeDocument/2006/relationships/hyperlink" Target="http://tinyurl.com/ae9esn5" TargetMode="External"/><Relationship Id="rId37" Type="http://schemas.openxmlformats.org/officeDocument/2006/relationships/hyperlink" Target="https://aldha.org/labels/at" TargetMode="External"/><Relationship Id="rId58" Type="http://schemas.openxmlformats.org/officeDocument/2006/relationships/hyperlink" Target="http://tinyurl.com/aekke5k" TargetMode="External"/><Relationship Id="rId79" Type="http://schemas.openxmlformats.org/officeDocument/2006/relationships/hyperlink" Target="http://tinyurl.com/cy5duaw" TargetMode="External"/><Relationship Id="rId102" Type="http://schemas.openxmlformats.org/officeDocument/2006/relationships/hyperlink" Target="javascript:MailingLabel('26a')" TargetMode="External"/><Relationship Id="rId123" Type="http://schemas.openxmlformats.org/officeDocument/2006/relationships/hyperlink" Target="http://en.wikipedia.org/wiki/Palmerton,_Pennsylvania" TargetMode="External"/><Relationship Id="rId144" Type="http://schemas.openxmlformats.org/officeDocument/2006/relationships/hyperlink" Target="https://aldha.org/labels/at" TargetMode="External"/><Relationship Id="rId90" Type="http://schemas.openxmlformats.org/officeDocument/2006/relationships/hyperlink" Target="http://en.wikipedia.org/wiki/Front_Royal,_Virginia" TargetMode="External"/><Relationship Id="rId165" Type="http://schemas.openxmlformats.org/officeDocument/2006/relationships/hyperlink" Target="http://en.wikipedia.org/wiki/Williamstown,_Massachusetts" TargetMode="External"/><Relationship Id="rId186" Type="http://schemas.openxmlformats.org/officeDocument/2006/relationships/hyperlink" Target="javascript:MailingLabel('48')" TargetMode="External"/><Relationship Id="rId211" Type="http://schemas.openxmlformats.org/officeDocument/2006/relationships/hyperlink" Target="javascript:MailingLabel('3')" TargetMode="External"/><Relationship Id="rId27" Type="http://schemas.openxmlformats.org/officeDocument/2006/relationships/hyperlink" Target="http://tinyurl.com/ajzokcx" TargetMode="External"/><Relationship Id="rId48" Type="http://schemas.openxmlformats.org/officeDocument/2006/relationships/hyperlink" Target="http://en.wikipedia.org/wiki/Troutdale,_Virginia" TargetMode="External"/><Relationship Id="rId69" Type="http://schemas.openxmlformats.org/officeDocument/2006/relationships/hyperlink" Target="https://aldha.org/labels/at" TargetMode="External"/><Relationship Id="rId113" Type="http://schemas.openxmlformats.org/officeDocument/2006/relationships/hyperlink" Target="https://aldha.org/labels/at" TargetMode="External"/><Relationship Id="rId134" Type="http://schemas.openxmlformats.org/officeDocument/2006/relationships/hyperlink" Target="javascript:MailingLabel('34a')" TargetMode="External"/><Relationship Id="rId80" Type="http://schemas.openxmlformats.org/officeDocument/2006/relationships/hyperlink" Target="javascript:MailingLabel('22c')" TargetMode="External"/><Relationship Id="rId155" Type="http://schemas.openxmlformats.org/officeDocument/2006/relationships/hyperlink" Target="javascript:MailingLabel('39')" TargetMode="External"/><Relationship Id="rId176" Type="http://schemas.openxmlformats.org/officeDocument/2006/relationships/hyperlink" Target="javascript:MailingLabel('45')" TargetMode="External"/><Relationship Id="rId197" Type="http://schemas.openxmlformats.org/officeDocument/2006/relationships/hyperlink" Target="javascript:MailingLabel('50')" TargetMode="External"/><Relationship Id="rId201" Type="http://schemas.openxmlformats.org/officeDocument/2006/relationships/hyperlink" Target="javascript:MailingLabel('51')" TargetMode="External"/><Relationship Id="rId17" Type="http://schemas.openxmlformats.org/officeDocument/2006/relationships/hyperlink" Target="javascript:MailingLabel('7')" TargetMode="External"/><Relationship Id="rId38" Type="http://schemas.openxmlformats.org/officeDocument/2006/relationships/hyperlink" Target="http://tinyurl.com/b3xvghp" TargetMode="External"/><Relationship Id="rId59" Type="http://schemas.openxmlformats.org/officeDocument/2006/relationships/hyperlink" Target="javascript:MailingLabel('19')" TargetMode="External"/><Relationship Id="rId103" Type="http://schemas.openxmlformats.org/officeDocument/2006/relationships/hyperlink" Target="http://www.townofsmithsburg.org/" TargetMode="External"/><Relationship Id="rId124" Type="http://schemas.openxmlformats.org/officeDocument/2006/relationships/hyperlink" Target="http://tinyurl.com/jvlqgmp" TargetMode="External"/><Relationship Id="rId70" Type="http://schemas.openxmlformats.org/officeDocument/2006/relationships/hyperlink" Target="http://tinyurl.com/ak9t92o" TargetMode="External"/><Relationship Id="rId91" Type="http://schemas.openxmlformats.org/officeDocument/2006/relationships/hyperlink" Target="https://aldha.org/labels/at" TargetMode="External"/><Relationship Id="rId145" Type="http://schemas.openxmlformats.org/officeDocument/2006/relationships/hyperlink" Target="javascript:MailingLabel('36')" TargetMode="External"/><Relationship Id="rId166" Type="http://schemas.openxmlformats.org/officeDocument/2006/relationships/hyperlink" Target="http://tinyurl.com/yxqa666b" TargetMode="External"/><Relationship Id="rId187" Type="http://schemas.openxmlformats.org/officeDocument/2006/relationships/hyperlink" Target="http://en.wikipedia.org/wiki/Gorham,_New_Hampshire" TargetMode="External"/><Relationship Id="rId1" Type="http://schemas.openxmlformats.org/officeDocument/2006/relationships/hyperlink" Target="https://aldha.org/labels/at" TargetMode="External"/><Relationship Id="rId212" Type="http://schemas.openxmlformats.org/officeDocument/2006/relationships/hyperlink" Target="http://www.helenga.org/" TargetMode="External"/><Relationship Id="rId28" Type="http://schemas.openxmlformats.org/officeDocument/2006/relationships/hyperlink" Target="javascript:MailingLabel('10')" TargetMode="External"/><Relationship Id="rId49" Type="http://schemas.openxmlformats.org/officeDocument/2006/relationships/hyperlink" Target="http://tinyurl.com/alh4b53" TargetMode="External"/><Relationship Id="rId114" Type="http://schemas.openxmlformats.org/officeDocument/2006/relationships/hyperlink" Target="http://tinyurl.com/d88glx5" TargetMode="External"/><Relationship Id="rId60" Type="http://schemas.openxmlformats.org/officeDocument/2006/relationships/hyperlink" Target="http://en.wikipedia.org/wiki/Catawba,_Virginia" TargetMode="External"/><Relationship Id="rId81" Type="http://schemas.openxmlformats.org/officeDocument/2006/relationships/hyperlink" Target="http://www.montebellova.com/" TargetMode="External"/><Relationship Id="rId135" Type="http://schemas.openxmlformats.org/officeDocument/2006/relationships/hyperlink" Target="http://villageofgreenwoodlake.org/" TargetMode="External"/><Relationship Id="rId156" Type="http://schemas.openxmlformats.org/officeDocument/2006/relationships/hyperlink" Target="http://en.wikipedia.org/wiki/Tyringham,_Massachusetts" TargetMode="External"/><Relationship Id="rId177" Type="http://schemas.openxmlformats.org/officeDocument/2006/relationships/hyperlink" Target="http://en.wikipedia.org/wiki/Hanover,_New_Hampshire" TargetMode="External"/><Relationship Id="rId198" Type="http://schemas.openxmlformats.org/officeDocument/2006/relationships/hyperlink" Target="http://www.trails.com/stratton_maine-hotels.html" TargetMode="External"/><Relationship Id="rId202" Type="http://schemas.openxmlformats.org/officeDocument/2006/relationships/hyperlink" Target="http://en.wikipedia.org/wiki/Caratunk,_Maine" TargetMode="External"/><Relationship Id="rId18" Type="http://schemas.openxmlformats.org/officeDocument/2006/relationships/hyperlink" Target="http://www.gatlinburg.com/" TargetMode="External"/><Relationship Id="rId39" Type="http://schemas.openxmlformats.org/officeDocument/2006/relationships/hyperlink" Target="javascript:MailingLabel('13')" TargetMode="External"/><Relationship Id="rId50" Type="http://schemas.openxmlformats.org/officeDocument/2006/relationships/hyperlink" Target="javascript:MailingLabel('16')" TargetMode="External"/><Relationship Id="rId104" Type="http://schemas.openxmlformats.org/officeDocument/2006/relationships/hyperlink" Target="http://tinyurl.com/d654rwg" TargetMode="External"/><Relationship Id="rId125" Type="http://schemas.openxmlformats.org/officeDocument/2006/relationships/hyperlink" Target="javascript:MailingLabel('31')" TargetMode="External"/><Relationship Id="rId146" Type="http://schemas.openxmlformats.org/officeDocument/2006/relationships/hyperlink" Target="http://en.wikipedia.org/wiki/Kent,_Connecticut" TargetMode="External"/><Relationship Id="rId167" Type="http://schemas.openxmlformats.org/officeDocument/2006/relationships/hyperlink" Target="javascript:MailingLabel('42')" TargetMode="External"/><Relationship Id="rId188" Type="http://schemas.openxmlformats.org/officeDocument/2006/relationships/hyperlink" Target="https://aldha.org/labels/at" TargetMode="External"/><Relationship Id="rId71" Type="http://schemas.openxmlformats.org/officeDocument/2006/relationships/hyperlink" Target="javascript:MailingLabel('22')" TargetMode="External"/><Relationship Id="rId92" Type="http://schemas.openxmlformats.org/officeDocument/2006/relationships/hyperlink" Target="http://tinyurl.com/at6z2gm" TargetMode="External"/><Relationship Id="rId213" Type="http://schemas.openxmlformats.org/officeDocument/2006/relationships/hyperlink" Target="javascript:MailingLabel('2')" TargetMode="External"/><Relationship Id="rId2" Type="http://schemas.openxmlformats.org/officeDocument/2006/relationships/hyperlink" Target="http://tinyurl.com/cuoke8r" TargetMode="External"/><Relationship Id="rId29" Type="http://schemas.openxmlformats.org/officeDocument/2006/relationships/hyperlink" Target="http://www.roanmountain.com/" TargetMode="External"/><Relationship Id="rId40" Type="http://schemas.openxmlformats.org/officeDocument/2006/relationships/hyperlink" Target="http://en.wikipedia.org/wiki/Shady_Valley,_Tennessee" TargetMode="External"/><Relationship Id="rId115" Type="http://schemas.openxmlformats.org/officeDocument/2006/relationships/hyperlink" Target="javascript:MailingLabel('28')" TargetMode="External"/><Relationship Id="rId136" Type="http://schemas.openxmlformats.org/officeDocument/2006/relationships/hyperlink" Target="http://tinyurl.com/crsyqbu" TargetMode="External"/><Relationship Id="rId157" Type="http://schemas.openxmlformats.org/officeDocument/2006/relationships/hyperlink" Target="http://tinyurl.com/a2tu4j9" TargetMode="External"/><Relationship Id="rId178" Type="http://schemas.openxmlformats.org/officeDocument/2006/relationships/hyperlink" Target="http://tinyurl.com/a8x7vgv" TargetMode="External"/><Relationship Id="rId61" Type="http://schemas.openxmlformats.org/officeDocument/2006/relationships/hyperlink" Target="https://aldha.org/labels/at" TargetMode="External"/><Relationship Id="rId82" Type="http://schemas.openxmlformats.org/officeDocument/2006/relationships/hyperlink" Target="http://tinyurl.com/akob37s" TargetMode="External"/><Relationship Id="rId199" Type="http://schemas.openxmlformats.org/officeDocument/2006/relationships/hyperlink" Target="https://aldha.org/labels/at" TargetMode="External"/><Relationship Id="rId203" Type="http://schemas.openxmlformats.org/officeDocument/2006/relationships/hyperlink" Target="https://aldha.org/labels/at" TargetMode="External"/><Relationship Id="rId19" Type="http://schemas.openxmlformats.org/officeDocument/2006/relationships/hyperlink" Target="https://aldha.org/labels/at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aldha.org/labels/at" TargetMode="External"/><Relationship Id="rId21" Type="http://schemas.openxmlformats.org/officeDocument/2006/relationships/hyperlink" Target="https://aldha.org/labels/at" TargetMode="External"/><Relationship Id="rId42" Type="http://schemas.openxmlformats.org/officeDocument/2006/relationships/hyperlink" Target="javascript:MailingLabel('63')" TargetMode="External"/><Relationship Id="rId63" Type="http://schemas.openxmlformats.org/officeDocument/2006/relationships/hyperlink" Target="javascript:MailingLabel('68a')" TargetMode="External"/><Relationship Id="rId84" Type="http://schemas.openxmlformats.org/officeDocument/2006/relationships/hyperlink" Target="http://www.comfortinn.com/hotel-troutville-virginia-VA413" TargetMode="External"/><Relationship Id="rId138" Type="http://schemas.openxmlformats.org/officeDocument/2006/relationships/hyperlink" Target="http://www.shawshikerhostel.com/" TargetMode="External"/><Relationship Id="rId107" Type="http://schemas.openxmlformats.org/officeDocument/2006/relationships/hyperlink" Target="http://www.mountaingoat.com/" TargetMode="External"/><Relationship Id="rId11" Type="http://schemas.openxmlformats.org/officeDocument/2006/relationships/hyperlink" Target="javascript:MailingLabel('57c')" TargetMode="External"/><Relationship Id="rId32" Type="http://schemas.openxmlformats.org/officeDocument/2006/relationships/hyperlink" Target="https://www.motel6.com/en/motels.tn.gatlinburg.4767.html" TargetMode="External"/><Relationship Id="rId53" Type="http://schemas.openxmlformats.org/officeDocument/2006/relationships/hyperlink" Target="javascript:MailingLabel('66b')" TargetMode="External"/><Relationship Id="rId74" Type="http://schemas.openxmlformats.org/officeDocument/2006/relationships/hyperlink" Target="https://aldha.org/labels/at" TargetMode="External"/><Relationship Id="rId128" Type="http://schemas.openxmlformats.org/officeDocument/2006/relationships/hyperlink" Target="javascript:MailingLabel('92')" TargetMode="External"/><Relationship Id="rId5" Type="http://schemas.openxmlformats.org/officeDocument/2006/relationships/hyperlink" Target="javascript:MailingLabel('56')" TargetMode="External"/><Relationship Id="rId90" Type="http://schemas.openxmlformats.org/officeDocument/2006/relationships/hyperlink" Target="http://www.appalachiantrail.org/hiking/trail-updates/thru-hikers-companion" TargetMode="External"/><Relationship Id="rId95" Type="http://schemas.openxmlformats.org/officeDocument/2006/relationships/hyperlink" Target="https://aldha.org/labels/at" TargetMode="External"/><Relationship Id="rId22" Type="http://schemas.openxmlformats.org/officeDocument/2006/relationships/hyperlink" Target="javascript:MailingLabel('59a')" TargetMode="External"/><Relationship Id="rId27" Type="http://schemas.openxmlformats.org/officeDocument/2006/relationships/hyperlink" Target="https://aldha.org/labels/at" TargetMode="External"/><Relationship Id="rId43" Type="http://schemas.openxmlformats.org/officeDocument/2006/relationships/hyperlink" Target="https://tinyurl.com/y7el2ra7" TargetMode="External"/><Relationship Id="rId48" Type="http://schemas.openxmlformats.org/officeDocument/2006/relationships/hyperlink" Target="javascript:MailingLabel('65')" TargetMode="External"/><Relationship Id="rId64" Type="http://schemas.openxmlformats.org/officeDocument/2006/relationships/hyperlink" Target="http://mtrogersoutfitters.com/" TargetMode="External"/><Relationship Id="rId69" Type="http://schemas.openxmlformats.org/officeDocument/2006/relationships/hyperlink" Target="https://aldha.org/labels/at" TargetMode="External"/><Relationship Id="rId113" Type="http://schemas.openxmlformats.org/officeDocument/2006/relationships/hyperlink" Target="http://hikershostel.org/hikers/" TargetMode="External"/><Relationship Id="rId118" Type="http://schemas.openxmlformats.org/officeDocument/2006/relationships/hyperlink" Target="javascript:MailingLabel('89')" TargetMode="External"/><Relationship Id="rId134" Type="http://schemas.openxmlformats.org/officeDocument/2006/relationships/hyperlink" Target="javascript:MailingLabel('94')" TargetMode="External"/><Relationship Id="rId139" Type="http://schemas.openxmlformats.org/officeDocument/2006/relationships/hyperlink" Target="https://aldha.org/labels/at" TargetMode="External"/><Relationship Id="rId80" Type="http://schemas.openxmlformats.org/officeDocument/2006/relationships/hyperlink" Target="javascript:MailingLabel('73')" TargetMode="External"/><Relationship Id="rId85" Type="http://schemas.openxmlformats.org/officeDocument/2006/relationships/hyperlink" Target="https://aldha.org/labels/at" TargetMode="External"/><Relationship Id="rId12" Type="http://schemas.openxmlformats.org/officeDocument/2006/relationships/hyperlink" Target="https://aldha.org/labels/at" TargetMode="External"/><Relationship Id="rId17" Type="http://schemas.openxmlformats.org/officeDocument/2006/relationships/hyperlink" Target="http://www.aquonecabins.com/AT.html" TargetMode="External"/><Relationship Id="rId33" Type="http://schemas.openxmlformats.org/officeDocument/2006/relationships/hyperlink" Target="https://aldha.org/labels/at" TargetMode="External"/><Relationship Id="rId38" Type="http://schemas.openxmlformats.org/officeDocument/2006/relationships/hyperlink" Target="https://aldha.org/labels/at" TargetMode="External"/><Relationship Id="rId59" Type="http://schemas.openxmlformats.org/officeDocument/2006/relationships/hyperlink" Target="https://aldha.org/labels/at" TargetMode="External"/><Relationship Id="rId103" Type="http://schemas.openxmlformats.org/officeDocument/2006/relationships/hyperlink" Target="javascript:MailingLabel('83')" TargetMode="External"/><Relationship Id="rId108" Type="http://schemas.openxmlformats.org/officeDocument/2006/relationships/hyperlink" Target="https://aldha.org/labels/at" TargetMode="External"/><Relationship Id="rId124" Type="http://schemas.openxmlformats.org/officeDocument/2006/relationships/hyperlink" Target="https://aldha.org/labels/at" TargetMode="External"/><Relationship Id="rId129" Type="http://schemas.openxmlformats.org/officeDocument/2006/relationships/hyperlink" Target="http://pineellislodging.com/" TargetMode="External"/><Relationship Id="rId54" Type="http://schemas.openxmlformats.org/officeDocument/2006/relationships/hyperlink" Target="https://thestationat19e.com/" TargetMode="External"/><Relationship Id="rId70" Type="http://schemas.openxmlformats.org/officeDocument/2006/relationships/hyperlink" Target="javascript:MailingLabel('70')" TargetMode="External"/><Relationship Id="rId75" Type="http://schemas.openxmlformats.org/officeDocument/2006/relationships/hyperlink" Target="javascript:MailingLabel('71a')" TargetMode="External"/><Relationship Id="rId91" Type="http://schemas.openxmlformats.org/officeDocument/2006/relationships/hyperlink" Target="javascript:MailingLabel('76b')" TargetMode="External"/><Relationship Id="rId96" Type="http://schemas.openxmlformats.org/officeDocument/2006/relationships/hyperlink" Target="javascript:MailingLabel('79a')" TargetMode="External"/><Relationship Id="rId140" Type="http://schemas.openxmlformats.org/officeDocument/2006/relationships/hyperlink" Target="javascript:MailingLabel('96')" TargetMode="External"/><Relationship Id="rId145" Type="http://schemas.openxmlformats.org/officeDocument/2006/relationships/hyperlink" Target="https://aldha.org/labels/at" TargetMode="External"/><Relationship Id="rId1" Type="http://schemas.openxmlformats.org/officeDocument/2006/relationships/hyperlink" Target="https://aldha.org/labels/at" TargetMode="External"/><Relationship Id="rId6" Type="http://schemas.openxmlformats.org/officeDocument/2006/relationships/hyperlink" Target="http://www.mountaincrossings.com/" TargetMode="External"/><Relationship Id="rId23" Type="http://schemas.openxmlformats.org/officeDocument/2006/relationships/hyperlink" Target="http://www.fontanavillage.com/" TargetMode="External"/><Relationship Id="rId28" Type="http://schemas.openxmlformats.org/officeDocument/2006/relationships/hyperlink" Target="javascript:MailingLabel('60c')" TargetMode="External"/><Relationship Id="rId49" Type="http://schemas.openxmlformats.org/officeDocument/2006/relationships/hyperlink" Target="https://aldha.org/labels/at" TargetMode="External"/><Relationship Id="rId114" Type="http://schemas.openxmlformats.org/officeDocument/2006/relationships/hyperlink" Target="https://aldha.org/labels/at" TargetMode="External"/><Relationship Id="rId119" Type="http://schemas.openxmlformats.org/officeDocument/2006/relationships/hyperlink" Target="https://hikerswelcome.com/" TargetMode="External"/><Relationship Id="rId44" Type="http://schemas.openxmlformats.org/officeDocument/2006/relationships/hyperlink" Target="https://aldha.org/labels/at" TargetMode="External"/><Relationship Id="rId60" Type="http://schemas.openxmlformats.org/officeDocument/2006/relationships/hyperlink" Target="javascript:MailingLabel('67a')" TargetMode="External"/><Relationship Id="rId65" Type="http://schemas.openxmlformats.org/officeDocument/2006/relationships/hyperlink" Target="https://aldha.org/labels/at" TargetMode="External"/><Relationship Id="rId81" Type="http://schemas.openxmlformats.org/officeDocument/2006/relationships/hyperlink" Target="http://www.hojo.com/hotels/virginia/daleville/howard-johnson-inn-daleville-roanoke-north/hotel-%20%20%20%20%20%20%20%20overview?hotel_id=14978" TargetMode="External"/><Relationship Id="rId86" Type="http://schemas.openxmlformats.org/officeDocument/2006/relationships/hyperlink" Target="javascript:MailingLabel('75')" TargetMode="External"/><Relationship Id="rId130" Type="http://schemas.openxmlformats.org/officeDocument/2006/relationships/hyperlink" Target="https://aldha.org/labels/at" TargetMode="External"/><Relationship Id="rId135" Type="http://schemas.openxmlformats.org/officeDocument/2006/relationships/hyperlink" Target="http://www.northernoutdoors.com/" TargetMode="External"/><Relationship Id="rId13" Type="http://schemas.openxmlformats.org/officeDocument/2006/relationships/hyperlink" Target="javascript:MailingLabel('57b')" TargetMode="External"/><Relationship Id="rId18" Type="http://schemas.openxmlformats.org/officeDocument/2006/relationships/hyperlink" Target="https://aldha.org/labels/at" TargetMode="External"/><Relationship Id="rId39" Type="http://schemas.openxmlformats.org/officeDocument/2006/relationships/hyperlink" Target="javascript:MailingLabel('62')" TargetMode="External"/><Relationship Id="rId109" Type="http://schemas.openxmlformats.org/officeDocument/2006/relationships/hyperlink" Target="javascript:MailingLabel('86')" TargetMode="External"/><Relationship Id="rId34" Type="http://schemas.openxmlformats.org/officeDocument/2006/relationships/hyperlink" Target="javascript:MailingLabel('61')" TargetMode="External"/><Relationship Id="rId50" Type="http://schemas.openxmlformats.org/officeDocument/2006/relationships/hyperlink" Target="javascript:MailingLabel('66')" TargetMode="External"/><Relationship Id="rId55" Type="http://schemas.openxmlformats.org/officeDocument/2006/relationships/hyperlink" Target="https://aldha.org/labels/at" TargetMode="External"/><Relationship Id="rId76" Type="http://schemas.openxmlformats.org/officeDocument/2006/relationships/hyperlink" Target="https://aldha.org/labels/at" TargetMode="External"/><Relationship Id="rId97" Type="http://schemas.openxmlformats.org/officeDocument/2006/relationships/hyperlink" Target="http://www.microtelinn.com/hotels/pennsylvania/hamburg/microtel-inn-and-suites-hamburg/hotel-%20%20%20%20%20%20%20%20overview" TargetMode="External"/><Relationship Id="rId104" Type="http://schemas.openxmlformats.org/officeDocument/2006/relationships/hyperlink" Target="http://www.willowsmotel.com/" TargetMode="External"/><Relationship Id="rId120" Type="http://schemas.openxmlformats.org/officeDocument/2006/relationships/hyperlink" Target="javascript:MailingLabel('89a')" TargetMode="External"/><Relationship Id="rId125" Type="http://schemas.openxmlformats.org/officeDocument/2006/relationships/hyperlink" Target="javascript:MailingLabel('91')" TargetMode="External"/><Relationship Id="rId141" Type="http://schemas.openxmlformats.org/officeDocument/2006/relationships/hyperlink" Target="http://thelakeshorehouse.com/" TargetMode="External"/><Relationship Id="rId146" Type="http://schemas.openxmlformats.org/officeDocument/2006/relationships/printerSettings" Target="../printerSettings/printerSettings6.bin"/><Relationship Id="rId7" Type="http://schemas.openxmlformats.org/officeDocument/2006/relationships/hyperlink" Target="https://aldha.org/labels/at" TargetMode="External"/><Relationship Id="rId71" Type="http://schemas.openxmlformats.org/officeDocument/2006/relationships/hyperlink" Target="http://www.woodsholehostel.com/" TargetMode="External"/><Relationship Id="rId92" Type="http://schemas.openxmlformats.org/officeDocument/2006/relationships/hyperlink" Target="https://aldha.org/labels/at" TargetMode="External"/><Relationship Id="rId2" Type="http://schemas.openxmlformats.org/officeDocument/2006/relationships/hyperlink" Target="javascript:MailingLabel('78')" TargetMode="External"/><Relationship Id="rId29" Type="http://schemas.openxmlformats.org/officeDocument/2006/relationships/hyperlink" Target="https://www.theappylodge.com/" TargetMode="External"/><Relationship Id="rId24" Type="http://schemas.openxmlformats.org/officeDocument/2006/relationships/hyperlink" Target="https://aldha.org/labels/at" TargetMode="External"/><Relationship Id="rId40" Type="http://schemas.openxmlformats.org/officeDocument/2006/relationships/hyperlink" Target="http://www.sunnybankretreatassociation.org/" TargetMode="External"/><Relationship Id="rId45" Type="http://schemas.openxmlformats.org/officeDocument/2006/relationships/hyperlink" Target="javascript:MailingLabel('64')" TargetMode="External"/><Relationship Id="rId66" Type="http://schemas.openxmlformats.org/officeDocument/2006/relationships/hyperlink" Target="javascript:MailingLabel('68')" TargetMode="External"/><Relationship Id="rId87" Type="http://schemas.openxmlformats.org/officeDocument/2006/relationships/hyperlink" Target="http://bearsdencenter.org/" TargetMode="External"/><Relationship Id="rId110" Type="http://schemas.openxmlformats.org/officeDocument/2006/relationships/hyperlink" Target="http://www.innatlongtrail.com/Home.html" TargetMode="External"/><Relationship Id="rId115" Type="http://schemas.openxmlformats.org/officeDocument/2006/relationships/hyperlink" Target="javascript:MailingLabel('87')" TargetMode="External"/><Relationship Id="rId131" Type="http://schemas.openxmlformats.org/officeDocument/2006/relationships/hyperlink" Target="javascript:MailingLabel('93')" TargetMode="External"/><Relationship Id="rId136" Type="http://schemas.openxmlformats.org/officeDocument/2006/relationships/hyperlink" Target="https://aldha.org/labels/at" TargetMode="External"/><Relationship Id="rId61" Type="http://schemas.openxmlformats.org/officeDocument/2006/relationships/hyperlink" Target="http://blackbearresorttn.com/" TargetMode="External"/><Relationship Id="rId82" Type="http://schemas.openxmlformats.org/officeDocument/2006/relationships/hyperlink" Target="https://aldha.org/labels/at" TargetMode="External"/><Relationship Id="rId19" Type="http://schemas.openxmlformats.org/officeDocument/2006/relationships/hyperlink" Target="javascript:MailingLabel('59')" TargetMode="External"/><Relationship Id="rId14" Type="http://schemas.openxmlformats.org/officeDocument/2006/relationships/hyperlink" Target="http://appalachiantrailservices.net/Havenshikerhostel.htm" TargetMode="External"/><Relationship Id="rId30" Type="http://schemas.openxmlformats.org/officeDocument/2006/relationships/hyperlink" Target="https://aldha.org/labels/at" TargetMode="External"/><Relationship Id="rId35" Type="http://schemas.openxmlformats.org/officeDocument/2006/relationships/hyperlink" Target="https://aldha.org/labels/at" TargetMode="External"/><Relationship Id="rId56" Type="http://schemas.openxmlformats.org/officeDocument/2006/relationships/hyperlink" Target="javascript:MailingLabel('66a')" TargetMode="External"/><Relationship Id="rId77" Type="http://schemas.openxmlformats.org/officeDocument/2006/relationships/hyperlink" Target="javascript:MailingLabel('72')" TargetMode="External"/><Relationship Id="rId100" Type="http://schemas.openxmlformats.org/officeDocument/2006/relationships/hyperlink" Target="javascript:MailingLabel('81')" TargetMode="External"/><Relationship Id="rId105" Type="http://schemas.openxmlformats.org/officeDocument/2006/relationships/hyperlink" Target="https://aldha.org/labels/at" TargetMode="External"/><Relationship Id="rId126" Type="http://schemas.openxmlformats.org/officeDocument/2006/relationships/hyperlink" Target="http://www.libbyhouseinn.webs.com/" TargetMode="External"/><Relationship Id="rId8" Type="http://schemas.openxmlformats.org/officeDocument/2006/relationships/hyperlink" Target="javascript:MailingLabel('57a')" TargetMode="External"/><Relationship Id="rId51" Type="http://schemas.openxmlformats.org/officeDocument/2006/relationships/hyperlink" Target="http://www.mountainharbour.net/" TargetMode="External"/><Relationship Id="rId72" Type="http://schemas.openxmlformats.org/officeDocument/2006/relationships/hyperlink" Target="https://aldha.org/labels/at" TargetMode="External"/><Relationship Id="rId93" Type="http://schemas.openxmlformats.org/officeDocument/2006/relationships/hyperlink" Target="javascript:MailingLabel('79')" TargetMode="External"/><Relationship Id="rId98" Type="http://schemas.openxmlformats.org/officeDocument/2006/relationships/hyperlink" Target="javascript:MailingLabel('80')" TargetMode="External"/><Relationship Id="rId121" Type="http://schemas.openxmlformats.org/officeDocument/2006/relationships/hyperlink" Target="https://aldha.org/labels/at" TargetMode="External"/><Relationship Id="rId142" Type="http://schemas.openxmlformats.org/officeDocument/2006/relationships/hyperlink" Target="https://aldha.org/labels/at" TargetMode="External"/><Relationship Id="rId3" Type="http://schemas.openxmlformats.org/officeDocument/2006/relationships/hyperlink" Target="https://en.wikipedia.org/wiki/Amicalola_Falls_State_Park" TargetMode="External"/><Relationship Id="rId25" Type="http://schemas.openxmlformats.org/officeDocument/2006/relationships/hyperlink" Target="javascript:MailingLabel('60')" TargetMode="External"/><Relationship Id="rId46" Type="http://schemas.openxmlformats.org/officeDocument/2006/relationships/hyperlink" Target="http://www.unclejohnnys.net/" TargetMode="External"/><Relationship Id="rId67" Type="http://schemas.openxmlformats.org/officeDocument/2006/relationships/hyperlink" Target="https://aldha.org/labels/at" TargetMode="External"/><Relationship Id="rId116" Type="http://schemas.openxmlformats.org/officeDocument/2006/relationships/hyperlink" Target="http://basecampvt.com/" TargetMode="External"/><Relationship Id="rId137" Type="http://schemas.openxmlformats.org/officeDocument/2006/relationships/hyperlink" Target="javascript:MailingLabel('95')" TargetMode="External"/><Relationship Id="rId20" Type="http://schemas.openxmlformats.org/officeDocument/2006/relationships/hyperlink" Target="http://www.noc.com/" TargetMode="External"/><Relationship Id="rId41" Type="http://schemas.openxmlformats.org/officeDocument/2006/relationships/hyperlink" Target="https://aldha.org/labels/at" TargetMode="External"/><Relationship Id="rId62" Type="http://schemas.openxmlformats.org/officeDocument/2006/relationships/hyperlink" Target="https://aldha.org/labels/at" TargetMode="External"/><Relationship Id="rId83" Type="http://schemas.openxmlformats.org/officeDocument/2006/relationships/hyperlink" Target="javascript:MailingLabel('74')" TargetMode="External"/><Relationship Id="rId88" Type="http://schemas.openxmlformats.org/officeDocument/2006/relationships/hyperlink" Target="https://aldha.org/labels/at" TargetMode="External"/><Relationship Id="rId111" Type="http://schemas.openxmlformats.org/officeDocument/2006/relationships/hyperlink" Target="https://aldha.org/labels/at" TargetMode="External"/><Relationship Id="rId132" Type="http://schemas.openxmlformats.org/officeDocument/2006/relationships/hyperlink" Target="http://thestrattonmotel.com/" TargetMode="External"/><Relationship Id="rId15" Type="http://schemas.openxmlformats.org/officeDocument/2006/relationships/hyperlink" Target="https://aldha.org/labels/at" TargetMode="External"/><Relationship Id="rId36" Type="http://schemas.openxmlformats.org/officeDocument/2006/relationships/hyperlink" Target="javascript:MailingLabel('62a')" TargetMode="External"/><Relationship Id="rId57" Type="http://schemas.openxmlformats.org/officeDocument/2006/relationships/hyperlink" Target="https://aldha.org/labels/at" TargetMode="External"/><Relationship Id="rId106" Type="http://schemas.openxmlformats.org/officeDocument/2006/relationships/hyperlink" Target="javascript:MailingLabel('85')" TargetMode="External"/><Relationship Id="rId127" Type="http://schemas.openxmlformats.org/officeDocument/2006/relationships/hyperlink" Target="https://aldha.org/labels/at" TargetMode="External"/><Relationship Id="rId10" Type="http://schemas.openxmlformats.org/officeDocument/2006/relationships/hyperlink" Target="https://aldha.org/labels/at" TargetMode="External"/><Relationship Id="rId31" Type="http://schemas.openxmlformats.org/officeDocument/2006/relationships/hyperlink" Target="javascript:MailingLabel('60a')" TargetMode="External"/><Relationship Id="rId52" Type="http://schemas.openxmlformats.org/officeDocument/2006/relationships/hyperlink" Target="https://aldha.org/labels/at" TargetMode="External"/><Relationship Id="rId73" Type="http://schemas.openxmlformats.org/officeDocument/2006/relationships/hyperlink" Target="javascript:MailingLabel('71')" TargetMode="External"/><Relationship Id="rId78" Type="http://schemas.openxmlformats.org/officeDocument/2006/relationships/hyperlink" Target="https://www.facebook.com/pages/Four-Pines-Hostel/215902991760062" TargetMode="External"/><Relationship Id="rId94" Type="http://schemas.openxmlformats.org/officeDocument/2006/relationships/hyperlink" Target="https://www.kindofoutdoorsy.com/" TargetMode="External"/><Relationship Id="rId99" Type="http://schemas.openxmlformats.org/officeDocument/2006/relationships/hyperlink" Target="https://aldha.org/labels/at" TargetMode="External"/><Relationship Id="rId101" Type="http://schemas.openxmlformats.org/officeDocument/2006/relationships/hyperlink" Target="http://eastretreat.org/" TargetMode="External"/><Relationship Id="rId122" Type="http://schemas.openxmlformats.org/officeDocument/2006/relationships/hyperlink" Target="javascript:MailingLabel('90')" TargetMode="External"/><Relationship Id="rId143" Type="http://schemas.openxmlformats.org/officeDocument/2006/relationships/hyperlink" Target="javascript:MailingLabel('97')" TargetMode="External"/><Relationship Id="rId4" Type="http://schemas.openxmlformats.org/officeDocument/2006/relationships/hyperlink" Target="https://aldha.org/labels/at" TargetMode="External"/><Relationship Id="rId9" Type="http://schemas.openxmlformats.org/officeDocument/2006/relationships/hyperlink" Target="http://www.hiawasseebudgetinn.com/" TargetMode="External"/><Relationship Id="rId26" Type="http://schemas.openxmlformats.org/officeDocument/2006/relationships/hyperlink" Target="http://thehikeinn.com/" TargetMode="External"/><Relationship Id="rId47" Type="http://schemas.openxmlformats.org/officeDocument/2006/relationships/hyperlink" Target="https://aldha.org/labels/at" TargetMode="External"/><Relationship Id="rId68" Type="http://schemas.openxmlformats.org/officeDocument/2006/relationships/hyperlink" Target="javascript:MailingLabel('69')" TargetMode="External"/><Relationship Id="rId89" Type="http://schemas.openxmlformats.org/officeDocument/2006/relationships/hyperlink" Target="javascript:MailingLabel('76a')" TargetMode="External"/><Relationship Id="rId112" Type="http://schemas.openxmlformats.org/officeDocument/2006/relationships/hyperlink" Target="javascript:MailingLabel('87a')" TargetMode="External"/><Relationship Id="rId133" Type="http://schemas.openxmlformats.org/officeDocument/2006/relationships/hyperlink" Target="https://aldha.org/labels/at" TargetMode="External"/><Relationship Id="rId16" Type="http://schemas.openxmlformats.org/officeDocument/2006/relationships/hyperlink" Target="javascript:MailingLabel('58')" TargetMode="External"/><Relationship Id="rId37" Type="http://schemas.openxmlformats.org/officeDocument/2006/relationships/hyperlink" Target="http://www.laughingheartlodge.com/index.php/accommodations/hostel/" TargetMode="External"/><Relationship Id="rId58" Type="http://schemas.openxmlformats.org/officeDocument/2006/relationships/hyperlink" Target="javascript:MailingLabel('67')" TargetMode="External"/><Relationship Id="rId79" Type="http://schemas.openxmlformats.org/officeDocument/2006/relationships/hyperlink" Target="https://aldha.org/labels/at" TargetMode="External"/><Relationship Id="rId102" Type="http://schemas.openxmlformats.org/officeDocument/2006/relationships/hyperlink" Target="https://aldha.org/labels/at" TargetMode="External"/><Relationship Id="rId123" Type="http://schemas.openxmlformats.org/officeDocument/2006/relationships/hyperlink" Target="https://rattleriverhostel.com/" TargetMode="External"/><Relationship Id="rId144" Type="http://schemas.openxmlformats.org/officeDocument/2006/relationships/hyperlink" Target="http://www.appalachiantraillodge.com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whiteblaze.net/forum/showthread.php?p=95199&amp;postcount=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ldha.org/planning" TargetMode="External"/><Relationship Id="rId3" Type="http://schemas.openxmlformats.org/officeDocument/2006/relationships/hyperlink" Target="https://www.whiteblaze.net/forum/articles/2021-post-offices.pdf" TargetMode="External"/><Relationship Id="rId7" Type="http://schemas.openxmlformats.org/officeDocument/2006/relationships/hyperlink" Target="https://aldha.org/companion" TargetMode="External"/><Relationship Id="rId2" Type="http://schemas.openxmlformats.org/officeDocument/2006/relationships/hyperlink" Target="https://www.whiteblaze.net/forum/articles/2022-hostels.pdf" TargetMode="External"/><Relationship Id="rId1" Type="http://schemas.openxmlformats.org/officeDocument/2006/relationships/hyperlink" Target="https://www.whiteblazepages.com/store/" TargetMode="External"/><Relationship Id="rId6" Type="http://schemas.openxmlformats.org/officeDocument/2006/relationships/hyperlink" Target="https://whiteblaze.net/forum/content.php/44-AT-Hiking-Rates-Section-by-Section" TargetMode="External"/><Relationship Id="rId11" Type="http://schemas.openxmlformats.org/officeDocument/2006/relationships/printerSettings" Target="../printerSettings/printerSettings8.bin"/><Relationship Id="rId5" Type="http://schemas.openxmlformats.org/officeDocument/2006/relationships/hyperlink" Target="https://www.whiteblaze.net/forum/articles/2022-Shelters.pdf" TargetMode="External"/><Relationship Id="rId10" Type="http://schemas.openxmlformats.org/officeDocument/2006/relationships/hyperlink" Target="http://appalachiantrailtravelguide.com/appalachian-trail-shelters-by-mileage/" TargetMode="External"/><Relationship Id="rId4" Type="http://schemas.openxmlformats.org/officeDocument/2006/relationships/hyperlink" Target="https://whiteblaze.net/forum/articles/at-resupply.pdf" TargetMode="External"/><Relationship Id="rId9" Type="http://schemas.openxmlformats.org/officeDocument/2006/relationships/hyperlink" Target="https://aldha.org/labels/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24"/>
  <sheetViews>
    <sheetView workbookViewId="0">
      <pane ySplit="1" topLeftCell="A2" activePane="bottomLeft" state="frozen"/>
      <selection pane="bottomLeft" activeCell="C2" sqref="C2"/>
    </sheetView>
  </sheetViews>
  <sheetFormatPr defaultRowHeight="12.75" x14ac:dyDescent="0.2"/>
  <cols>
    <col min="1" max="1" width="2.85546875" customWidth="1"/>
    <col min="2" max="2" width="5" customWidth="1"/>
    <col min="3" max="3" width="13.28515625" customWidth="1"/>
    <col min="4" max="4" width="22.28515625" customWidth="1"/>
    <col min="5" max="5" width="7.85546875" style="6" customWidth="1"/>
    <col min="6" max="6" width="7.5703125" style="6" customWidth="1"/>
    <col min="7" max="7" width="7.140625" style="6" customWidth="1"/>
    <col min="8" max="8" width="8" style="6" customWidth="1"/>
    <col min="9" max="9" width="6.85546875" style="6" customWidth="1"/>
    <col min="10" max="10" width="5.85546875" style="10" customWidth="1"/>
    <col min="11" max="11" width="43" style="11" customWidth="1"/>
    <col min="12" max="12" width="9.28515625" customWidth="1"/>
    <col min="13" max="13" width="7.7109375" customWidth="1"/>
    <col min="14" max="14" width="30.7109375" bestFit="1" customWidth="1"/>
  </cols>
  <sheetData>
    <row r="1" spans="2:13" ht="62.25" customHeight="1" thickBot="1" x14ac:dyDescent="0.25">
      <c r="B1" s="1" t="s">
        <v>0</v>
      </c>
      <c r="C1" s="2" t="s">
        <v>6</v>
      </c>
      <c r="D1" s="3" t="s">
        <v>1</v>
      </c>
      <c r="E1" s="4" t="s">
        <v>2</v>
      </c>
      <c r="F1" s="4" t="s">
        <v>3</v>
      </c>
      <c r="G1" s="5" t="s">
        <v>4</v>
      </c>
      <c r="H1" s="4" t="s">
        <v>10</v>
      </c>
      <c r="I1" s="4" t="s">
        <v>5</v>
      </c>
      <c r="J1" s="9" t="s">
        <v>28</v>
      </c>
      <c r="K1" s="12" t="s">
        <v>8</v>
      </c>
      <c r="L1" s="35">
        <v>2027</v>
      </c>
    </row>
    <row r="2" spans="2:13" x14ac:dyDescent="0.2">
      <c r="B2">
        <v>1</v>
      </c>
      <c r="C2" s="14">
        <v>46467</v>
      </c>
      <c r="D2" s="15" t="s">
        <v>7</v>
      </c>
      <c r="E2" s="16">
        <v>-8.8000000000000007</v>
      </c>
      <c r="F2" s="16">
        <v>0</v>
      </c>
      <c r="G2" s="16">
        <v>0</v>
      </c>
      <c r="H2" s="16">
        <v>0</v>
      </c>
      <c r="I2" s="16">
        <f>H2/B2</f>
        <v>0</v>
      </c>
      <c r="J2" s="17">
        <v>5</v>
      </c>
      <c r="K2" s="13"/>
    </row>
    <row r="3" spans="2:13" x14ac:dyDescent="0.2">
      <c r="B3">
        <f t="shared" ref="B3:B13" si="0">B2+1</f>
        <v>2</v>
      </c>
      <c r="C3" s="14">
        <f t="shared" ref="C3:C13" si="1">C2+1</f>
        <v>46468</v>
      </c>
      <c r="D3" s="15" t="s">
        <v>9</v>
      </c>
      <c r="E3" s="16">
        <v>0.2</v>
      </c>
      <c r="F3" s="16">
        <f>E3-E2</f>
        <v>9</v>
      </c>
      <c r="G3" s="16"/>
      <c r="H3" s="16">
        <f>H2+F3+G3</f>
        <v>9</v>
      </c>
      <c r="I3" s="16">
        <f>H3/B3</f>
        <v>4.5</v>
      </c>
      <c r="J3" s="17"/>
      <c r="K3" s="13"/>
    </row>
    <row r="4" spans="2:13" x14ac:dyDescent="0.2">
      <c r="B4">
        <f t="shared" si="0"/>
        <v>3</v>
      </c>
      <c r="C4" s="14">
        <f t="shared" si="1"/>
        <v>46469</v>
      </c>
      <c r="D4" s="18" t="s">
        <v>278</v>
      </c>
      <c r="E4" s="16">
        <v>10.7</v>
      </c>
      <c r="F4" s="16">
        <f>E4-E3</f>
        <v>10.5</v>
      </c>
      <c r="G4" s="16"/>
      <c r="H4" s="16">
        <f>H3+F4+G4</f>
        <v>19.5</v>
      </c>
      <c r="I4" s="16">
        <f>H4/B4</f>
        <v>6.5</v>
      </c>
      <c r="J4" s="17"/>
      <c r="K4" s="19" t="s">
        <v>277</v>
      </c>
    </row>
    <row r="5" spans="2:13" x14ac:dyDescent="0.2">
      <c r="B5">
        <f t="shared" si="0"/>
        <v>4</v>
      </c>
      <c r="C5" s="14">
        <f t="shared" si="1"/>
        <v>46470</v>
      </c>
      <c r="D5" s="18" t="s">
        <v>40</v>
      </c>
      <c r="E5" s="16">
        <v>26.8</v>
      </c>
      <c r="F5" s="16">
        <f t="shared" ref="F5:F71" si="2">E5-E4</f>
        <v>16.100000000000001</v>
      </c>
      <c r="G5" s="16"/>
      <c r="H5" s="16">
        <f t="shared" ref="H5:H13" si="3">H4+F5+G5</f>
        <v>35.6</v>
      </c>
      <c r="I5" s="16">
        <f>H5/B5</f>
        <v>8.9</v>
      </c>
      <c r="J5" s="17"/>
      <c r="K5" s="13" t="s">
        <v>251</v>
      </c>
    </row>
    <row r="6" spans="2:13" ht="25.5" x14ac:dyDescent="0.25">
      <c r="B6" s="49">
        <f t="shared" si="0"/>
        <v>5</v>
      </c>
      <c r="C6" s="50">
        <f t="shared" si="1"/>
        <v>46471</v>
      </c>
      <c r="D6" s="56" t="s">
        <v>29</v>
      </c>
      <c r="E6" s="52">
        <v>30.5</v>
      </c>
      <c r="F6" s="52">
        <f>E6-E5</f>
        <v>3.6999999999999993</v>
      </c>
      <c r="G6" s="52"/>
      <c r="H6" s="52">
        <f>H5+F6+G6</f>
        <v>39.299999999999997</v>
      </c>
      <c r="I6" s="52"/>
      <c r="J6" s="21">
        <v>3</v>
      </c>
      <c r="K6" s="66" t="s">
        <v>382</v>
      </c>
      <c r="L6" s="154" t="s">
        <v>949</v>
      </c>
    </row>
    <row r="7" spans="2:13" x14ac:dyDescent="0.2">
      <c r="B7" s="49">
        <f>B6+0</f>
        <v>5</v>
      </c>
      <c r="C7" s="50">
        <f>C6+0</f>
        <v>46471</v>
      </c>
      <c r="D7" s="51" t="s">
        <v>42</v>
      </c>
      <c r="E7" s="52">
        <v>36.700000000000003</v>
      </c>
      <c r="F7" s="52">
        <f t="shared" si="2"/>
        <v>6.2000000000000028</v>
      </c>
      <c r="G7" s="52"/>
      <c r="H7" s="52">
        <f>H6+F7+G7</f>
        <v>45.5</v>
      </c>
      <c r="I7" s="52">
        <f t="shared" ref="I7:I72" si="4">H7/B7</f>
        <v>9.1</v>
      </c>
      <c r="J7" s="17"/>
      <c r="K7" s="13"/>
    </row>
    <row r="8" spans="2:13" s="24" customFormat="1" x14ac:dyDescent="0.2">
      <c r="B8" s="24">
        <f t="shared" ref="B8:C10" si="5">B7+1</f>
        <v>6</v>
      </c>
      <c r="C8" s="25">
        <f t="shared" si="5"/>
        <v>46472</v>
      </c>
      <c r="D8" s="26" t="s">
        <v>44</v>
      </c>
      <c r="E8" s="27">
        <v>48.3</v>
      </c>
      <c r="F8" s="27">
        <f>E8-E7</f>
        <v>11.599999999999994</v>
      </c>
      <c r="G8" s="27"/>
      <c r="H8" s="27">
        <f>H7+F8+G8</f>
        <v>57.099999999999994</v>
      </c>
      <c r="I8" s="27">
        <f t="shared" si="4"/>
        <v>9.5166666666666657</v>
      </c>
      <c r="J8" s="28"/>
      <c r="K8" s="29"/>
    </row>
    <row r="9" spans="2:13" s="24" customFormat="1" x14ac:dyDescent="0.2">
      <c r="B9" s="24">
        <f t="shared" si="5"/>
        <v>7</v>
      </c>
      <c r="C9" s="25">
        <f t="shared" si="5"/>
        <v>46473</v>
      </c>
      <c r="D9" s="26" t="s">
        <v>46</v>
      </c>
      <c r="E9" s="27">
        <v>63.1</v>
      </c>
      <c r="F9" s="27">
        <f>E9-E8</f>
        <v>14.800000000000004</v>
      </c>
      <c r="G9" s="27"/>
      <c r="H9" s="27">
        <f>H8+F9+G9</f>
        <v>71.900000000000006</v>
      </c>
      <c r="I9" s="27">
        <f t="shared" si="4"/>
        <v>10.271428571428572</v>
      </c>
      <c r="J9" s="28"/>
      <c r="K9" s="29"/>
    </row>
    <row r="10" spans="2:13" s="24" customFormat="1" ht="38.25" x14ac:dyDescent="0.2">
      <c r="B10" s="24">
        <f t="shared" si="5"/>
        <v>8</v>
      </c>
      <c r="C10" s="25">
        <f t="shared" si="5"/>
        <v>46474</v>
      </c>
      <c r="D10" s="57" t="s">
        <v>33</v>
      </c>
      <c r="E10" s="27">
        <v>66.599999999999994</v>
      </c>
      <c r="F10" s="27">
        <f>E10-E9</f>
        <v>3.4999999999999929</v>
      </c>
      <c r="G10" s="27">
        <v>3.5</v>
      </c>
      <c r="H10" s="27">
        <f>H9+F10+G10</f>
        <v>78.900000000000006</v>
      </c>
      <c r="I10" s="27">
        <f t="shared" si="4"/>
        <v>9.8625000000000007</v>
      </c>
      <c r="J10" s="28">
        <v>6</v>
      </c>
      <c r="K10" s="33" t="s">
        <v>386</v>
      </c>
      <c r="L10" s="71" t="s">
        <v>387</v>
      </c>
      <c r="M10" s="70"/>
    </row>
    <row r="11" spans="2:13" x14ac:dyDescent="0.2">
      <c r="B11">
        <f t="shared" si="0"/>
        <v>9</v>
      </c>
      <c r="C11" s="14">
        <f t="shared" si="1"/>
        <v>46475</v>
      </c>
      <c r="D11" s="18" t="s">
        <v>47</v>
      </c>
      <c r="E11" s="16">
        <v>78.2</v>
      </c>
      <c r="F11" s="16">
        <f t="shared" si="2"/>
        <v>11.600000000000009</v>
      </c>
      <c r="G11" s="16"/>
      <c r="H11" s="16">
        <f t="shared" si="3"/>
        <v>90.500000000000014</v>
      </c>
      <c r="I11" s="16">
        <f t="shared" si="4"/>
        <v>10.055555555555557</v>
      </c>
      <c r="J11" s="17"/>
    </row>
    <row r="12" spans="2:13" x14ac:dyDescent="0.2">
      <c r="B12">
        <f t="shared" si="0"/>
        <v>10</v>
      </c>
      <c r="C12" s="14">
        <f t="shared" si="1"/>
        <v>46476</v>
      </c>
      <c r="D12" s="18" t="s">
        <v>276</v>
      </c>
      <c r="E12" s="16">
        <v>90.7</v>
      </c>
      <c r="F12" s="16">
        <f t="shared" si="2"/>
        <v>12.5</v>
      </c>
      <c r="G12" s="16"/>
      <c r="H12" s="16">
        <f t="shared" si="3"/>
        <v>103.00000000000001</v>
      </c>
      <c r="I12" s="16">
        <f t="shared" si="4"/>
        <v>10.3</v>
      </c>
      <c r="J12" s="17"/>
      <c r="K12" s="13"/>
    </row>
    <row r="13" spans="2:13" x14ac:dyDescent="0.2">
      <c r="B13">
        <f t="shared" si="0"/>
        <v>11</v>
      </c>
      <c r="C13" s="14">
        <f t="shared" si="1"/>
        <v>46477</v>
      </c>
      <c r="D13" s="18" t="s">
        <v>49</v>
      </c>
      <c r="E13" s="16">
        <v>102.8</v>
      </c>
      <c r="F13" s="16">
        <f t="shared" si="2"/>
        <v>12.099999999999994</v>
      </c>
      <c r="G13" s="16"/>
      <c r="H13" s="16">
        <f t="shared" si="3"/>
        <v>115.10000000000001</v>
      </c>
      <c r="I13" s="16">
        <f t="shared" si="4"/>
        <v>10.463636363636365</v>
      </c>
      <c r="J13" s="17"/>
      <c r="K13" s="13"/>
    </row>
    <row r="14" spans="2:13" x14ac:dyDescent="0.2">
      <c r="B14">
        <f t="shared" ref="B14:B80" si="6">B13+1</f>
        <v>12</v>
      </c>
      <c r="C14" s="14">
        <f t="shared" ref="C14:C80" si="7">C13+1</f>
        <v>46478</v>
      </c>
      <c r="D14" s="18" t="s">
        <v>279</v>
      </c>
      <c r="E14" s="16">
        <v>114.8</v>
      </c>
      <c r="F14" s="16">
        <f t="shared" si="2"/>
        <v>12</v>
      </c>
      <c r="G14" s="16"/>
      <c r="H14" s="16">
        <f t="shared" ref="H14:H79" si="8">H13+F14+G14</f>
        <v>127.10000000000001</v>
      </c>
      <c r="I14" s="16">
        <f t="shared" si="4"/>
        <v>10.591666666666667</v>
      </c>
      <c r="J14" s="17"/>
      <c r="K14" s="13"/>
    </row>
    <row r="15" spans="2:13" x14ac:dyDescent="0.2">
      <c r="B15">
        <f t="shared" si="6"/>
        <v>13</v>
      </c>
      <c r="C15" s="14">
        <f t="shared" si="7"/>
        <v>46479</v>
      </c>
      <c r="D15" s="18" t="s">
        <v>280</v>
      </c>
      <c r="E15" s="16">
        <v>128.19999999999999</v>
      </c>
      <c r="F15" s="16">
        <f t="shared" si="2"/>
        <v>13.399999999999991</v>
      </c>
      <c r="G15" s="16"/>
      <c r="H15" s="16">
        <f t="shared" si="8"/>
        <v>140.5</v>
      </c>
      <c r="I15" s="16">
        <f t="shared" si="4"/>
        <v>10.807692307692308</v>
      </c>
      <c r="J15" s="17"/>
      <c r="K15" s="13"/>
    </row>
    <row r="16" spans="2:13" s="24" customFormat="1" ht="38.25" x14ac:dyDescent="0.2">
      <c r="B16" s="24">
        <f t="shared" si="6"/>
        <v>14</v>
      </c>
      <c r="C16" s="25">
        <f t="shared" si="7"/>
        <v>46480</v>
      </c>
      <c r="D16" s="57" t="s">
        <v>32</v>
      </c>
      <c r="E16" s="27">
        <v>133.9</v>
      </c>
      <c r="F16" s="27">
        <f t="shared" si="2"/>
        <v>5.7000000000000171</v>
      </c>
      <c r="G16" s="27">
        <v>0</v>
      </c>
      <c r="H16" s="27">
        <f t="shared" si="8"/>
        <v>146.20000000000002</v>
      </c>
      <c r="I16" s="27">
        <f t="shared" si="4"/>
        <v>10.442857142857145</v>
      </c>
      <c r="J16" s="28">
        <v>3</v>
      </c>
      <c r="K16" s="69" t="s">
        <v>381</v>
      </c>
    </row>
    <row r="17" spans="2:14" s="24" customFormat="1" x14ac:dyDescent="0.2">
      <c r="B17" s="24">
        <f t="shared" si="6"/>
        <v>15</v>
      </c>
      <c r="C17" s="25">
        <f t="shared" si="7"/>
        <v>46481</v>
      </c>
      <c r="D17" s="26" t="s">
        <v>53</v>
      </c>
      <c r="E17" s="27">
        <v>149.9</v>
      </c>
      <c r="F17" s="27">
        <f t="shared" si="2"/>
        <v>16</v>
      </c>
      <c r="G17" s="27"/>
      <c r="H17" s="27">
        <f t="shared" si="8"/>
        <v>162.20000000000002</v>
      </c>
      <c r="I17" s="27">
        <f t="shared" si="4"/>
        <v>10.813333333333334</v>
      </c>
      <c r="J17" s="28"/>
      <c r="K17" s="29"/>
    </row>
    <row r="18" spans="2:14" x14ac:dyDescent="0.2">
      <c r="B18">
        <f t="shared" si="6"/>
        <v>16</v>
      </c>
      <c r="C18" s="14">
        <f t="shared" si="7"/>
        <v>46482</v>
      </c>
      <c r="D18" s="58" t="s">
        <v>31</v>
      </c>
      <c r="E18" s="16">
        <v>161.5</v>
      </c>
      <c r="F18" s="16">
        <f t="shared" si="2"/>
        <v>11.599999999999994</v>
      </c>
      <c r="G18" s="16">
        <v>2</v>
      </c>
      <c r="H18" s="27">
        <f t="shared" si="8"/>
        <v>175.8</v>
      </c>
      <c r="I18" s="16">
        <f t="shared" si="4"/>
        <v>10.987500000000001</v>
      </c>
      <c r="J18" s="17"/>
      <c r="K18" s="32" t="s">
        <v>379</v>
      </c>
    </row>
    <row r="19" spans="2:14" x14ac:dyDescent="0.2">
      <c r="B19" s="49">
        <f>B18+0</f>
        <v>16</v>
      </c>
      <c r="C19" s="50">
        <f>C18+1-1</f>
        <v>46482</v>
      </c>
      <c r="D19" s="51" t="s">
        <v>55</v>
      </c>
      <c r="E19" s="52">
        <v>162.6</v>
      </c>
      <c r="F19" s="52">
        <f t="shared" si="2"/>
        <v>1.0999999999999943</v>
      </c>
      <c r="G19" s="52"/>
      <c r="H19" s="52">
        <f t="shared" si="8"/>
        <v>176.9</v>
      </c>
      <c r="I19" s="52">
        <f t="shared" si="4"/>
        <v>11.05625</v>
      </c>
      <c r="J19" s="53">
        <v>7</v>
      </c>
      <c r="K19" s="19" t="s">
        <v>281</v>
      </c>
      <c r="L19" s="149"/>
      <c r="M19" s="149"/>
      <c r="N19" s="150" t="s">
        <v>294</v>
      </c>
    </row>
    <row r="20" spans="2:14" x14ac:dyDescent="0.2">
      <c r="B20" s="49">
        <f>B19</f>
        <v>16</v>
      </c>
      <c r="C20" s="50">
        <f>C19+1</f>
        <v>46483</v>
      </c>
      <c r="D20" s="51"/>
      <c r="E20" s="52">
        <v>162.9</v>
      </c>
      <c r="F20" s="52">
        <f t="shared" si="2"/>
        <v>0.30000000000001137</v>
      </c>
      <c r="G20" s="52"/>
      <c r="H20" s="52">
        <f t="shared" si="8"/>
        <v>177.20000000000002</v>
      </c>
      <c r="I20" s="52"/>
      <c r="J20" s="53"/>
      <c r="K20" s="19" t="s">
        <v>285</v>
      </c>
      <c r="L20" s="149"/>
      <c r="M20" s="151">
        <v>162.9</v>
      </c>
      <c r="N20" s="149"/>
    </row>
    <row r="21" spans="2:14" x14ac:dyDescent="0.2">
      <c r="B21" s="49">
        <f>B20</f>
        <v>16</v>
      </c>
      <c r="C21" s="50">
        <f>C20</f>
        <v>46483</v>
      </c>
      <c r="D21" s="51" t="s">
        <v>297</v>
      </c>
      <c r="E21" s="52">
        <v>179.3</v>
      </c>
      <c r="F21" s="52">
        <f t="shared" si="2"/>
        <v>16.400000000000006</v>
      </c>
      <c r="G21" s="52"/>
      <c r="H21" s="52">
        <f t="shared" si="8"/>
        <v>193.60000000000002</v>
      </c>
      <c r="I21" s="52">
        <f t="shared" si="4"/>
        <v>12.100000000000001</v>
      </c>
      <c r="J21" s="53"/>
      <c r="K21" s="19"/>
      <c r="L21" s="149">
        <f>M21-M20</f>
        <v>11</v>
      </c>
      <c r="M21" s="149">
        <v>173.9</v>
      </c>
      <c r="N21" s="152" t="s">
        <v>56</v>
      </c>
    </row>
    <row r="22" spans="2:14" x14ac:dyDescent="0.2">
      <c r="B22">
        <f>B19+1</f>
        <v>17</v>
      </c>
      <c r="C22" s="14">
        <f t="shared" si="7"/>
        <v>46484</v>
      </c>
      <c r="D22" s="148" t="s">
        <v>295</v>
      </c>
      <c r="E22" s="16">
        <v>195.7</v>
      </c>
      <c r="F22" s="16">
        <f>E22-E21</f>
        <v>16.399999999999977</v>
      </c>
      <c r="G22" s="16"/>
      <c r="H22" s="27">
        <f t="shared" si="8"/>
        <v>210</v>
      </c>
      <c r="I22" s="16">
        <f t="shared" si="4"/>
        <v>12.352941176470589</v>
      </c>
      <c r="J22" s="17"/>
      <c r="L22" s="149">
        <f>M22-M21</f>
        <v>2.5</v>
      </c>
      <c r="M22" s="149">
        <v>176.4</v>
      </c>
      <c r="N22" s="149" t="s">
        <v>286</v>
      </c>
    </row>
    <row r="23" spans="2:14" x14ac:dyDescent="0.2">
      <c r="B23">
        <f t="shared" si="6"/>
        <v>18</v>
      </c>
      <c r="C23" s="14">
        <f t="shared" si="7"/>
        <v>46485</v>
      </c>
      <c r="D23" s="148" t="s">
        <v>296</v>
      </c>
      <c r="E23" s="16">
        <v>214</v>
      </c>
      <c r="F23" s="16">
        <f t="shared" si="2"/>
        <v>18.300000000000011</v>
      </c>
      <c r="G23" s="16"/>
      <c r="H23" s="27">
        <f t="shared" si="8"/>
        <v>228.3</v>
      </c>
      <c r="I23" s="16">
        <f t="shared" si="4"/>
        <v>12.683333333333334</v>
      </c>
      <c r="J23" s="17"/>
      <c r="K23" s="13"/>
      <c r="L23" s="149">
        <f>M23-M22</f>
        <v>2.9000000000000057</v>
      </c>
      <c r="M23" s="149">
        <v>179.3</v>
      </c>
      <c r="N23" s="149" t="s">
        <v>58</v>
      </c>
    </row>
    <row r="24" spans="2:14" x14ac:dyDescent="0.2">
      <c r="B24">
        <f t="shared" si="6"/>
        <v>19</v>
      </c>
      <c r="C24" s="14">
        <f t="shared" si="7"/>
        <v>46486</v>
      </c>
      <c r="D24" s="18"/>
      <c r="E24" s="16">
        <v>226.9</v>
      </c>
      <c r="F24" s="16">
        <f t="shared" si="2"/>
        <v>12.900000000000006</v>
      </c>
      <c r="G24" s="16"/>
      <c r="H24" s="16">
        <f t="shared" si="8"/>
        <v>241.20000000000002</v>
      </c>
      <c r="I24" s="16">
        <f t="shared" si="4"/>
        <v>12.694736842105264</v>
      </c>
      <c r="J24" s="17"/>
      <c r="K24" s="19" t="s">
        <v>378</v>
      </c>
      <c r="L24" s="149">
        <f t="shared" ref="L24:L39" si="9">M24-M23</f>
        <v>6.2999999999999829</v>
      </c>
      <c r="M24" s="149">
        <v>185.6</v>
      </c>
      <c r="N24" s="152" t="s">
        <v>301</v>
      </c>
    </row>
    <row r="25" spans="2:14" ht="12.75" customHeight="1" x14ac:dyDescent="0.2">
      <c r="B25">
        <f t="shared" si="6"/>
        <v>20</v>
      </c>
      <c r="C25" s="14">
        <f t="shared" si="7"/>
        <v>46487</v>
      </c>
      <c r="D25" s="15"/>
      <c r="E25" s="16">
        <v>244.5</v>
      </c>
      <c r="F25" s="16">
        <f t="shared" si="2"/>
        <v>17.599999999999994</v>
      </c>
      <c r="G25" s="16"/>
      <c r="H25" s="16">
        <f t="shared" si="8"/>
        <v>258.8</v>
      </c>
      <c r="I25" s="16">
        <f t="shared" si="4"/>
        <v>12.940000000000001</v>
      </c>
      <c r="J25" s="17"/>
      <c r="K25" s="66" t="s">
        <v>302</v>
      </c>
      <c r="L25" s="149">
        <f t="shared" si="9"/>
        <v>5.5</v>
      </c>
      <c r="M25" s="149">
        <v>191.1</v>
      </c>
      <c r="N25" s="149" t="s">
        <v>287</v>
      </c>
    </row>
    <row r="26" spans="2:14" ht="12.75" customHeight="1" x14ac:dyDescent="0.2">
      <c r="B26">
        <f t="shared" si="6"/>
        <v>21</v>
      </c>
      <c r="C26" s="14">
        <f t="shared" si="7"/>
        <v>46488</v>
      </c>
      <c r="D26" s="15"/>
      <c r="E26" s="16">
        <v>257.60000000000002</v>
      </c>
      <c r="F26" s="16">
        <f t="shared" si="2"/>
        <v>13.100000000000023</v>
      </c>
      <c r="G26" s="16"/>
      <c r="H26" s="16">
        <f t="shared" si="8"/>
        <v>271.90000000000003</v>
      </c>
      <c r="I26" s="16">
        <f t="shared" si="4"/>
        <v>12.94761904761905</v>
      </c>
      <c r="J26" s="17"/>
      <c r="K26" s="13"/>
      <c r="L26" s="149">
        <f t="shared" si="9"/>
        <v>1.7000000000000171</v>
      </c>
      <c r="M26" s="149">
        <v>192.8</v>
      </c>
      <c r="N26" s="149" t="s">
        <v>60</v>
      </c>
    </row>
    <row r="27" spans="2:14" x14ac:dyDescent="0.2">
      <c r="B27">
        <f t="shared" si="6"/>
        <v>22</v>
      </c>
      <c r="C27" s="14">
        <f t="shared" si="7"/>
        <v>46489</v>
      </c>
      <c r="D27" s="58" t="s">
        <v>30</v>
      </c>
      <c r="E27" s="16">
        <v>270.7</v>
      </c>
      <c r="F27" s="16">
        <f t="shared" si="2"/>
        <v>13.099999999999966</v>
      </c>
      <c r="G27" s="16">
        <v>0</v>
      </c>
      <c r="H27" s="16">
        <f t="shared" si="8"/>
        <v>285</v>
      </c>
      <c r="I27" s="16">
        <f t="shared" si="4"/>
        <v>12.954545454545455</v>
      </c>
      <c r="J27" s="17">
        <v>6</v>
      </c>
      <c r="K27" s="32" t="s">
        <v>27</v>
      </c>
      <c r="L27" s="149">
        <f t="shared" si="9"/>
        <v>2.8999999999999773</v>
      </c>
      <c r="M27" s="149">
        <v>195.7</v>
      </c>
      <c r="N27" s="149" t="s">
        <v>288</v>
      </c>
    </row>
    <row r="28" spans="2:14" x14ac:dyDescent="0.2">
      <c r="B28">
        <f>B27+1</f>
        <v>23</v>
      </c>
      <c r="C28" s="14">
        <f>C27+1</f>
        <v>46490</v>
      </c>
      <c r="D28" s="18" t="s">
        <v>299</v>
      </c>
      <c r="E28" s="16">
        <v>270.7</v>
      </c>
      <c r="F28" s="16">
        <f>E28-E27</f>
        <v>0</v>
      </c>
      <c r="G28" s="16"/>
      <c r="H28" s="16">
        <f>H27+F28+G28</f>
        <v>285</v>
      </c>
      <c r="I28" s="16">
        <f t="shared" si="4"/>
        <v>12.391304347826088</v>
      </c>
      <c r="J28" s="17"/>
      <c r="K28" s="67" t="s">
        <v>300</v>
      </c>
      <c r="L28" s="149">
        <f t="shared" si="9"/>
        <v>3.4000000000000057</v>
      </c>
      <c r="M28" s="149">
        <v>199.1</v>
      </c>
      <c r="N28" s="149" t="s">
        <v>289</v>
      </c>
    </row>
    <row r="29" spans="2:14" x14ac:dyDescent="0.2">
      <c r="B29">
        <f t="shared" si="6"/>
        <v>24</v>
      </c>
      <c r="C29" s="14">
        <f t="shared" si="7"/>
        <v>46491</v>
      </c>
      <c r="D29" s="15"/>
      <c r="E29" s="16">
        <v>270.7</v>
      </c>
      <c r="F29" s="16">
        <f t="shared" si="2"/>
        <v>0</v>
      </c>
      <c r="G29" s="16"/>
      <c r="H29" s="16">
        <f t="shared" si="8"/>
        <v>285</v>
      </c>
      <c r="I29" s="16">
        <f t="shared" si="4"/>
        <v>11.875</v>
      </c>
      <c r="J29" s="17"/>
      <c r="K29" s="30" t="s">
        <v>284</v>
      </c>
      <c r="L29" s="149">
        <f t="shared" si="9"/>
        <v>7.5</v>
      </c>
      <c r="M29" s="149">
        <v>206.6</v>
      </c>
      <c r="N29" s="149" t="s">
        <v>62</v>
      </c>
    </row>
    <row r="30" spans="2:14" x14ac:dyDescent="0.2">
      <c r="B30">
        <f t="shared" si="6"/>
        <v>25</v>
      </c>
      <c r="C30" s="14">
        <f t="shared" si="7"/>
        <v>46492</v>
      </c>
      <c r="D30" s="15"/>
      <c r="E30" s="16">
        <v>270.7</v>
      </c>
      <c r="F30" s="16">
        <f t="shared" si="2"/>
        <v>0</v>
      </c>
      <c r="G30" s="16"/>
      <c r="H30" s="16">
        <f t="shared" si="8"/>
        <v>285</v>
      </c>
      <c r="I30" s="16">
        <f t="shared" si="4"/>
        <v>11.4</v>
      </c>
      <c r="J30" s="17"/>
      <c r="K30" s="30" t="s">
        <v>298</v>
      </c>
      <c r="L30" s="149">
        <f t="shared" si="9"/>
        <v>7.4000000000000057</v>
      </c>
      <c r="M30" s="149">
        <v>214</v>
      </c>
      <c r="N30" s="149" t="s">
        <v>63</v>
      </c>
    </row>
    <row r="31" spans="2:14" x14ac:dyDescent="0.2">
      <c r="B31">
        <f t="shared" si="6"/>
        <v>26</v>
      </c>
      <c r="C31" s="14">
        <f t="shared" si="7"/>
        <v>46493</v>
      </c>
      <c r="D31" s="18"/>
      <c r="E31" s="16">
        <v>270.7</v>
      </c>
      <c r="F31" s="16">
        <f t="shared" si="2"/>
        <v>0</v>
      </c>
      <c r="G31" s="16"/>
      <c r="H31" s="16">
        <f t="shared" si="8"/>
        <v>285</v>
      </c>
      <c r="I31" s="16">
        <f t="shared" si="4"/>
        <v>10.961538461538462</v>
      </c>
      <c r="J31" s="17"/>
      <c r="K31" s="31" t="s">
        <v>428</v>
      </c>
      <c r="L31" s="149">
        <f t="shared" si="9"/>
        <v>5.1999999999999886</v>
      </c>
      <c r="M31" s="149">
        <v>219.2</v>
      </c>
      <c r="N31" s="149" t="s">
        <v>290</v>
      </c>
    </row>
    <row r="32" spans="2:14" x14ac:dyDescent="0.2">
      <c r="B32">
        <f t="shared" si="6"/>
        <v>27</v>
      </c>
      <c r="C32" s="14">
        <f t="shared" si="7"/>
        <v>46494</v>
      </c>
      <c r="D32" s="15"/>
      <c r="E32" s="16">
        <v>270.7</v>
      </c>
      <c r="F32" s="16">
        <f t="shared" si="2"/>
        <v>0</v>
      </c>
      <c r="G32" s="16"/>
      <c r="H32" s="16">
        <f t="shared" si="8"/>
        <v>285</v>
      </c>
      <c r="I32" s="16">
        <f t="shared" si="4"/>
        <v>10.555555555555555</v>
      </c>
      <c r="J32" s="17"/>
      <c r="K32" s="13"/>
      <c r="L32" s="149">
        <f t="shared" si="9"/>
        <v>7.7000000000000171</v>
      </c>
      <c r="M32" s="149">
        <v>226.9</v>
      </c>
      <c r="N32" s="149" t="s">
        <v>291</v>
      </c>
    </row>
    <row r="33" spans="2:14" x14ac:dyDescent="0.2">
      <c r="B33">
        <f t="shared" si="6"/>
        <v>28</v>
      </c>
      <c r="C33" s="14">
        <f t="shared" si="7"/>
        <v>46495</v>
      </c>
      <c r="D33" s="58" t="s">
        <v>252</v>
      </c>
      <c r="E33" s="16">
        <v>338.7</v>
      </c>
      <c r="F33" s="16">
        <f t="shared" si="2"/>
        <v>68</v>
      </c>
      <c r="G33" s="16">
        <v>3.8</v>
      </c>
      <c r="H33" s="16">
        <f t="shared" si="8"/>
        <v>356.8</v>
      </c>
      <c r="I33" s="16">
        <f t="shared" si="4"/>
        <v>12.742857142857144</v>
      </c>
      <c r="J33" s="17">
        <v>5</v>
      </c>
      <c r="K33" s="32" t="s">
        <v>380</v>
      </c>
      <c r="L33" s="149">
        <f t="shared" si="9"/>
        <v>2.7999999999999829</v>
      </c>
      <c r="M33" s="149">
        <v>229.7</v>
      </c>
      <c r="N33" s="149" t="s">
        <v>292</v>
      </c>
    </row>
    <row r="34" spans="2:14" x14ac:dyDescent="0.2">
      <c r="B34">
        <f t="shared" si="6"/>
        <v>29</v>
      </c>
      <c r="C34" s="14">
        <f t="shared" si="7"/>
        <v>46496</v>
      </c>
      <c r="D34" s="15"/>
      <c r="E34" s="16">
        <v>338.7</v>
      </c>
      <c r="F34" s="16">
        <f t="shared" si="2"/>
        <v>0</v>
      </c>
      <c r="G34" s="16"/>
      <c r="H34" s="16">
        <f t="shared" si="8"/>
        <v>356.8</v>
      </c>
      <c r="I34" s="16">
        <f t="shared" si="4"/>
        <v>12.303448275862069</v>
      </c>
      <c r="J34" s="17"/>
      <c r="K34" s="13"/>
      <c r="L34" s="149">
        <f t="shared" si="9"/>
        <v>4.3000000000000114</v>
      </c>
      <c r="M34" s="149">
        <v>234</v>
      </c>
      <c r="N34" s="149" t="s">
        <v>65</v>
      </c>
    </row>
    <row r="35" spans="2:14" x14ac:dyDescent="0.2">
      <c r="B35">
        <f t="shared" si="6"/>
        <v>30</v>
      </c>
      <c r="C35" s="14">
        <f t="shared" si="7"/>
        <v>46497</v>
      </c>
      <c r="D35" s="15"/>
      <c r="E35" s="16">
        <v>338.7</v>
      </c>
      <c r="F35" s="16">
        <f t="shared" si="2"/>
        <v>0</v>
      </c>
      <c r="G35" s="16"/>
      <c r="H35" s="16">
        <f t="shared" si="8"/>
        <v>356.8</v>
      </c>
      <c r="I35" s="16">
        <f t="shared" si="4"/>
        <v>11.893333333333334</v>
      </c>
      <c r="J35" s="17"/>
      <c r="K35" s="13"/>
      <c r="L35" s="149">
        <f t="shared" si="9"/>
        <v>0.90000000000000568</v>
      </c>
      <c r="M35" s="149">
        <v>234.9</v>
      </c>
      <c r="N35" s="149" t="s">
        <v>293</v>
      </c>
    </row>
    <row r="36" spans="2:14" x14ac:dyDescent="0.2">
      <c r="B36">
        <f t="shared" si="6"/>
        <v>31</v>
      </c>
      <c r="C36" s="14">
        <f t="shared" si="7"/>
        <v>46498</v>
      </c>
      <c r="D36" s="15"/>
      <c r="E36" s="16">
        <v>338.7</v>
      </c>
      <c r="F36" s="16">
        <f t="shared" si="2"/>
        <v>0</v>
      </c>
      <c r="G36" s="16"/>
      <c r="H36" s="16">
        <f t="shared" si="8"/>
        <v>356.8</v>
      </c>
      <c r="I36" s="16">
        <f t="shared" si="4"/>
        <v>11.509677419354839</v>
      </c>
      <c r="J36" s="17"/>
      <c r="K36" s="54" t="s">
        <v>343</v>
      </c>
      <c r="L36" s="149">
        <f t="shared" si="9"/>
        <v>9.5999999999999943</v>
      </c>
      <c r="M36" s="149">
        <v>244.5</v>
      </c>
      <c r="N36" s="149" t="s">
        <v>66</v>
      </c>
    </row>
    <row r="37" spans="2:14" x14ac:dyDescent="0.2">
      <c r="B37">
        <f t="shared" si="6"/>
        <v>32</v>
      </c>
      <c r="C37" s="14">
        <f t="shared" si="7"/>
        <v>46499</v>
      </c>
      <c r="D37" s="15"/>
      <c r="E37" s="16">
        <v>338.7</v>
      </c>
      <c r="F37" s="16">
        <f t="shared" si="2"/>
        <v>0</v>
      </c>
      <c r="G37" s="16"/>
      <c r="H37" s="16">
        <f t="shared" si="8"/>
        <v>356.8</v>
      </c>
      <c r="I37" s="16">
        <f t="shared" si="4"/>
        <v>11.15</v>
      </c>
      <c r="J37" s="17"/>
      <c r="L37" s="149">
        <f t="shared" si="9"/>
        <v>8.1999999999999886</v>
      </c>
      <c r="M37" s="149">
        <v>252.7</v>
      </c>
      <c r="N37" s="149" t="s">
        <v>67</v>
      </c>
    </row>
    <row r="38" spans="2:14" x14ac:dyDescent="0.2">
      <c r="B38">
        <f t="shared" si="6"/>
        <v>33</v>
      </c>
      <c r="C38" s="14">
        <f t="shared" si="7"/>
        <v>46500</v>
      </c>
      <c r="D38" s="58" t="s">
        <v>253</v>
      </c>
      <c r="E38" s="16">
        <v>409.3</v>
      </c>
      <c r="F38" s="16">
        <f t="shared" si="2"/>
        <v>70.600000000000023</v>
      </c>
      <c r="G38" s="16"/>
      <c r="H38" s="16">
        <f t="shared" si="8"/>
        <v>427.40000000000003</v>
      </c>
      <c r="I38" s="16">
        <f t="shared" si="4"/>
        <v>12.951515151515153</v>
      </c>
      <c r="J38" s="17">
        <v>4</v>
      </c>
      <c r="K38" s="68" t="s">
        <v>361</v>
      </c>
      <c r="L38" s="149">
        <f t="shared" si="9"/>
        <v>4.9000000000000341</v>
      </c>
      <c r="M38" s="149">
        <v>257.60000000000002</v>
      </c>
      <c r="N38" s="149" t="s">
        <v>68</v>
      </c>
    </row>
    <row r="39" spans="2:14" x14ac:dyDescent="0.2">
      <c r="B39">
        <f t="shared" si="6"/>
        <v>34</v>
      </c>
      <c r="C39" s="14">
        <f t="shared" si="7"/>
        <v>46501</v>
      </c>
      <c r="D39" s="15"/>
      <c r="E39" s="16">
        <v>409.3</v>
      </c>
      <c r="F39" s="16">
        <f t="shared" si="2"/>
        <v>0</v>
      </c>
      <c r="G39" s="16"/>
      <c r="H39" s="16">
        <f t="shared" si="8"/>
        <v>427.40000000000003</v>
      </c>
      <c r="I39" s="16">
        <f t="shared" si="4"/>
        <v>12.570588235294119</v>
      </c>
      <c r="L39" s="149">
        <f t="shared" si="9"/>
        <v>9.8999999999999773</v>
      </c>
      <c r="M39" s="149">
        <v>267.5</v>
      </c>
      <c r="N39" s="149" t="s">
        <v>69</v>
      </c>
    </row>
    <row r="40" spans="2:14" x14ac:dyDescent="0.2">
      <c r="B40">
        <f t="shared" si="6"/>
        <v>35</v>
      </c>
      <c r="C40" s="14">
        <f t="shared" si="7"/>
        <v>46502</v>
      </c>
      <c r="D40" s="15"/>
      <c r="E40" s="16">
        <v>409.3</v>
      </c>
      <c r="F40" s="16">
        <f t="shared" si="2"/>
        <v>0</v>
      </c>
      <c r="G40" s="16"/>
      <c r="H40" s="16">
        <f t="shared" si="8"/>
        <v>427.40000000000003</v>
      </c>
      <c r="I40" s="16">
        <f t="shared" si="4"/>
        <v>12.211428571428572</v>
      </c>
      <c r="L40" s="149"/>
      <c r="M40" s="149"/>
      <c r="N40" s="149"/>
    </row>
    <row r="41" spans="2:14" x14ac:dyDescent="0.2">
      <c r="B41">
        <f t="shared" si="6"/>
        <v>36</v>
      </c>
      <c r="C41" s="14">
        <f t="shared" si="7"/>
        <v>46503</v>
      </c>
      <c r="D41" s="15"/>
      <c r="E41" s="16">
        <v>409.3</v>
      </c>
      <c r="F41" s="16">
        <f t="shared" si="2"/>
        <v>0</v>
      </c>
      <c r="G41" s="16"/>
      <c r="H41" s="16">
        <f t="shared" si="8"/>
        <v>427.40000000000003</v>
      </c>
      <c r="I41" s="16">
        <f t="shared" si="4"/>
        <v>11.872222222222224</v>
      </c>
      <c r="L41" s="149">
        <f>SUM(L21:L39)</f>
        <v>104.6</v>
      </c>
      <c r="M41" s="153">
        <f>M39-M20</f>
        <v>104.6</v>
      </c>
      <c r="N41" s="149"/>
    </row>
    <row r="42" spans="2:14" x14ac:dyDescent="0.2">
      <c r="B42">
        <f t="shared" si="6"/>
        <v>37</v>
      </c>
      <c r="C42" s="14">
        <f t="shared" si="7"/>
        <v>46504</v>
      </c>
      <c r="D42" s="58" t="s">
        <v>254</v>
      </c>
      <c r="E42" s="16">
        <v>459</v>
      </c>
      <c r="F42" s="16">
        <f t="shared" si="2"/>
        <v>49.699999999999989</v>
      </c>
      <c r="G42" s="16">
        <v>0</v>
      </c>
      <c r="H42" s="16">
        <f t="shared" si="8"/>
        <v>477.1</v>
      </c>
      <c r="I42" s="16">
        <f t="shared" si="4"/>
        <v>12.894594594594595</v>
      </c>
      <c r="J42" s="23">
        <v>6</v>
      </c>
      <c r="K42" s="34" t="s">
        <v>254</v>
      </c>
      <c r="L42" s="68" t="s">
        <v>254</v>
      </c>
    </row>
    <row r="43" spans="2:14" x14ac:dyDescent="0.2">
      <c r="B43">
        <f t="shared" si="6"/>
        <v>38</v>
      </c>
      <c r="C43" s="14">
        <f t="shared" si="7"/>
        <v>46505</v>
      </c>
      <c r="D43" s="15"/>
      <c r="E43" s="16">
        <v>459</v>
      </c>
      <c r="F43" s="16">
        <f t="shared" si="2"/>
        <v>0</v>
      </c>
      <c r="G43" s="16"/>
      <c r="H43" s="16">
        <f t="shared" si="8"/>
        <v>477.1</v>
      </c>
      <c r="I43" s="16">
        <f t="shared" si="4"/>
        <v>12.555263157894737</v>
      </c>
      <c r="K43" s="31" t="s">
        <v>329</v>
      </c>
    </row>
    <row r="44" spans="2:14" x14ac:dyDescent="0.2">
      <c r="B44">
        <f t="shared" si="6"/>
        <v>39</v>
      </c>
      <c r="C44" s="14">
        <f t="shared" si="7"/>
        <v>46506</v>
      </c>
      <c r="D44" s="15"/>
      <c r="E44" s="16">
        <v>459</v>
      </c>
      <c r="F44" s="16">
        <f t="shared" si="2"/>
        <v>0</v>
      </c>
      <c r="G44" s="16"/>
      <c r="H44" s="16">
        <f t="shared" si="8"/>
        <v>477.1</v>
      </c>
      <c r="I44" s="16">
        <f t="shared" si="4"/>
        <v>12.233333333333334</v>
      </c>
      <c r="K44" s="11" t="s">
        <v>330</v>
      </c>
      <c r="L44" s="34"/>
    </row>
    <row r="45" spans="2:14" x14ac:dyDescent="0.2">
      <c r="B45">
        <f t="shared" si="6"/>
        <v>40</v>
      </c>
      <c r="C45" s="14">
        <f t="shared" si="7"/>
        <v>46507</v>
      </c>
      <c r="D45" s="15"/>
      <c r="E45" s="16">
        <v>459</v>
      </c>
      <c r="F45" s="16">
        <f t="shared" si="2"/>
        <v>0</v>
      </c>
      <c r="G45" s="16"/>
      <c r="H45" s="16">
        <f t="shared" si="8"/>
        <v>477.1</v>
      </c>
      <c r="I45" s="16">
        <f t="shared" si="4"/>
        <v>11.9275</v>
      </c>
      <c r="K45" s="67" t="s">
        <v>394</v>
      </c>
    </row>
    <row r="46" spans="2:14" x14ac:dyDescent="0.2">
      <c r="B46">
        <f t="shared" si="6"/>
        <v>41</v>
      </c>
      <c r="C46" s="14">
        <f t="shared" si="7"/>
        <v>46508</v>
      </c>
      <c r="D46" s="15"/>
      <c r="E46" s="16">
        <v>459</v>
      </c>
      <c r="F46" s="16">
        <f t="shared" si="2"/>
        <v>0</v>
      </c>
      <c r="G46" s="16"/>
      <c r="H46" s="16">
        <f t="shared" si="8"/>
        <v>477.1</v>
      </c>
      <c r="I46" s="16">
        <f t="shared" si="4"/>
        <v>11.636585365853659</v>
      </c>
    </row>
    <row r="47" spans="2:14" ht="12" customHeight="1" x14ac:dyDescent="0.2">
      <c r="B47">
        <f t="shared" si="6"/>
        <v>42</v>
      </c>
      <c r="C47" s="14">
        <f t="shared" si="7"/>
        <v>46509</v>
      </c>
      <c r="D47" s="15"/>
      <c r="E47" s="16">
        <v>459</v>
      </c>
      <c r="F47" s="16">
        <f t="shared" si="2"/>
        <v>0</v>
      </c>
      <c r="G47" s="16"/>
      <c r="H47" s="16">
        <f t="shared" si="8"/>
        <v>477.1</v>
      </c>
      <c r="I47" s="16">
        <f t="shared" si="4"/>
        <v>11.359523809523811</v>
      </c>
    </row>
    <row r="48" spans="2:14" x14ac:dyDescent="0.2">
      <c r="B48">
        <f t="shared" si="6"/>
        <v>43</v>
      </c>
      <c r="C48" s="14">
        <f t="shared" si="7"/>
        <v>46510</v>
      </c>
      <c r="D48" s="58" t="s">
        <v>255</v>
      </c>
      <c r="E48" s="16">
        <v>534.79999999999995</v>
      </c>
      <c r="F48" s="16">
        <f t="shared" si="2"/>
        <v>75.799999999999955</v>
      </c>
      <c r="G48" s="16">
        <v>3.8</v>
      </c>
      <c r="H48" s="16">
        <f t="shared" si="8"/>
        <v>556.69999999999993</v>
      </c>
      <c r="I48" s="16">
        <f t="shared" si="4"/>
        <v>12.946511627906975</v>
      </c>
      <c r="J48" s="17">
        <v>6</v>
      </c>
      <c r="K48" s="20" t="s">
        <v>362</v>
      </c>
    </row>
    <row r="49" spans="2:13" x14ac:dyDescent="0.2">
      <c r="B49">
        <f t="shared" si="6"/>
        <v>44</v>
      </c>
      <c r="C49" s="14">
        <f t="shared" si="7"/>
        <v>46511</v>
      </c>
      <c r="D49" s="15"/>
      <c r="E49" s="16">
        <v>534.79999999999995</v>
      </c>
      <c r="F49" s="16">
        <f t="shared" si="2"/>
        <v>0</v>
      </c>
      <c r="G49" s="16"/>
      <c r="H49" s="16">
        <f t="shared" si="8"/>
        <v>556.69999999999993</v>
      </c>
      <c r="I49" s="16">
        <f t="shared" si="4"/>
        <v>12.652272727272726</v>
      </c>
    </row>
    <row r="50" spans="2:13" x14ac:dyDescent="0.2">
      <c r="B50">
        <f t="shared" si="6"/>
        <v>45</v>
      </c>
      <c r="C50" s="14">
        <f t="shared" si="7"/>
        <v>46512</v>
      </c>
      <c r="D50" s="15"/>
      <c r="E50" s="16">
        <v>534.79999999999995</v>
      </c>
      <c r="F50" s="16">
        <f t="shared" si="2"/>
        <v>0</v>
      </c>
      <c r="G50" s="16"/>
      <c r="H50" s="16">
        <f t="shared" si="8"/>
        <v>556.69999999999993</v>
      </c>
      <c r="I50" s="16">
        <f t="shared" si="4"/>
        <v>12.371111111111109</v>
      </c>
    </row>
    <row r="51" spans="2:13" x14ac:dyDescent="0.2">
      <c r="B51">
        <f t="shared" si="6"/>
        <v>46</v>
      </c>
      <c r="C51" s="14">
        <f t="shared" si="7"/>
        <v>46513</v>
      </c>
      <c r="D51" s="15"/>
      <c r="E51" s="16">
        <v>534.79999999999995</v>
      </c>
      <c r="F51" s="16">
        <f t="shared" si="2"/>
        <v>0</v>
      </c>
      <c r="G51" s="16"/>
      <c r="H51" s="16">
        <f t="shared" si="8"/>
        <v>556.69999999999993</v>
      </c>
      <c r="I51" s="16">
        <f t="shared" si="4"/>
        <v>12.102173913043476</v>
      </c>
      <c r="J51" s="17"/>
      <c r="K51" s="68" t="s">
        <v>383</v>
      </c>
    </row>
    <row r="52" spans="2:13" x14ac:dyDescent="0.2">
      <c r="B52">
        <f t="shared" si="6"/>
        <v>47</v>
      </c>
      <c r="C52" s="14">
        <f t="shared" si="7"/>
        <v>46514</v>
      </c>
      <c r="D52" s="15"/>
      <c r="E52" s="16">
        <v>534.79999999999995</v>
      </c>
      <c r="F52" s="16">
        <f t="shared" si="2"/>
        <v>0</v>
      </c>
      <c r="G52" s="16"/>
      <c r="H52" s="16">
        <f t="shared" si="8"/>
        <v>556.69999999999993</v>
      </c>
      <c r="I52" s="16">
        <f t="shared" si="4"/>
        <v>11.844680851063828</v>
      </c>
      <c r="K52" s="67" t="s">
        <v>384</v>
      </c>
    </row>
    <row r="53" spans="2:13" x14ac:dyDescent="0.2">
      <c r="B53">
        <f t="shared" si="6"/>
        <v>48</v>
      </c>
      <c r="C53" s="14">
        <f t="shared" si="7"/>
        <v>46515</v>
      </c>
      <c r="D53" s="15"/>
      <c r="E53" s="16">
        <v>534.79999999999995</v>
      </c>
      <c r="F53" s="16">
        <f t="shared" si="2"/>
        <v>0</v>
      </c>
      <c r="G53" s="16"/>
      <c r="H53" s="16">
        <f t="shared" si="8"/>
        <v>556.69999999999993</v>
      </c>
      <c r="I53" s="16">
        <f t="shared" si="4"/>
        <v>11.597916666666665</v>
      </c>
      <c r="L53" s="34"/>
      <c r="M53" s="34"/>
    </row>
    <row r="54" spans="2:13" x14ac:dyDescent="0.2">
      <c r="B54">
        <f t="shared" si="6"/>
        <v>49</v>
      </c>
      <c r="C54" s="14">
        <f t="shared" si="7"/>
        <v>46516</v>
      </c>
      <c r="D54" s="58" t="s">
        <v>256</v>
      </c>
      <c r="E54" s="16">
        <v>622.1</v>
      </c>
      <c r="F54" s="16">
        <f t="shared" si="2"/>
        <v>87.300000000000068</v>
      </c>
      <c r="G54" s="16">
        <v>0</v>
      </c>
      <c r="H54" s="16">
        <f t="shared" si="8"/>
        <v>644</v>
      </c>
      <c r="I54" s="16">
        <f t="shared" si="4"/>
        <v>13.142857142857142</v>
      </c>
      <c r="J54" s="17">
        <v>6</v>
      </c>
      <c r="K54" s="68" t="s">
        <v>393</v>
      </c>
      <c r="L54" s="34"/>
      <c r="M54" s="34"/>
    </row>
    <row r="55" spans="2:13" x14ac:dyDescent="0.2">
      <c r="B55">
        <f t="shared" si="6"/>
        <v>50</v>
      </c>
      <c r="C55" s="14">
        <f t="shared" si="7"/>
        <v>46517</v>
      </c>
      <c r="D55" s="15"/>
      <c r="E55" s="16">
        <v>622.1</v>
      </c>
      <c r="F55" s="16">
        <f t="shared" si="2"/>
        <v>0</v>
      </c>
      <c r="G55" s="16"/>
      <c r="H55" s="16">
        <f t="shared" si="8"/>
        <v>644</v>
      </c>
      <c r="I55" s="16">
        <f t="shared" si="4"/>
        <v>12.88</v>
      </c>
      <c r="L55" s="34"/>
      <c r="M55" s="34"/>
    </row>
    <row r="56" spans="2:13" x14ac:dyDescent="0.2">
      <c r="B56">
        <f t="shared" si="6"/>
        <v>51</v>
      </c>
      <c r="C56" s="14">
        <f t="shared" si="7"/>
        <v>46518</v>
      </c>
      <c r="D56" s="15"/>
      <c r="E56" s="16">
        <v>622.1</v>
      </c>
      <c r="F56" s="16">
        <f t="shared" si="2"/>
        <v>0</v>
      </c>
      <c r="G56" s="16"/>
      <c r="H56" s="16">
        <f t="shared" si="8"/>
        <v>644</v>
      </c>
      <c r="I56" s="16">
        <f t="shared" si="4"/>
        <v>12.627450980392156</v>
      </c>
      <c r="L56" s="34"/>
      <c r="M56" s="34"/>
    </row>
    <row r="57" spans="2:13" x14ac:dyDescent="0.2">
      <c r="B57">
        <f t="shared" si="6"/>
        <v>52</v>
      </c>
      <c r="C57" s="14">
        <f t="shared" si="7"/>
        <v>46519</v>
      </c>
      <c r="D57" s="15"/>
      <c r="E57" s="16">
        <v>622.1</v>
      </c>
      <c r="F57" s="16">
        <f t="shared" si="2"/>
        <v>0</v>
      </c>
      <c r="G57" s="16"/>
      <c r="H57" s="16">
        <f t="shared" si="8"/>
        <v>644</v>
      </c>
      <c r="I57" s="16">
        <f t="shared" si="4"/>
        <v>12.384615384615385</v>
      </c>
      <c r="L57" s="34"/>
      <c r="M57" s="34"/>
    </row>
    <row r="58" spans="2:13" x14ac:dyDescent="0.2">
      <c r="B58">
        <f t="shared" si="6"/>
        <v>53</v>
      </c>
      <c r="C58" s="14">
        <f t="shared" si="7"/>
        <v>46520</v>
      </c>
      <c r="D58" s="15"/>
      <c r="E58" s="16">
        <v>622.1</v>
      </c>
      <c r="F58" s="16">
        <f t="shared" si="2"/>
        <v>0</v>
      </c>
      <c r="G58" s="16"/>
      <c r="H58" s="16">
        <f t="shared" si="8"/>
        <v>644</v>
      </c>
      <c r="I58" s="16">
        <f t="shared" si="4"/>
        <v>12.150943396226415</v>
      </c>
      <c r="K58" s="67" t="s">
        <v>385</v>
      </c>
      <c r="L58" s="34"/>
      <c r="M58" s="34"/>
    </row>
    <row r="59" spans="2:13" x14ac:dyDescent="0.2">
      <c r="B59">
        <f t="shared" si="6"/>
        <v>54</v>
      </c>
      <c r="C59" s="14">
        <f t="shared" si="7"/>
        <v>46521</v>
      </c>
      <c r="D59" s="15"/>
      <c r="E59" s="16">
        <v>622.1</v>
      </c>
      <c r="F59" s="16">
        <f t="shared" si="2"/>
        <v>0</v>
      </c>
      <c r="G59" s="16"/>
      <c r="H59" s="16">
        <f t="shared" si="8"/>
        <v>644</v>
      </c>
      <c r="I59" s="16">
        <f t="shared" si="4"/>
        <v>11.925925925925926</v>
      </c>
      <c r="L59" s="34"/>
      <c r="M59" s="34"/>
    </row>
    <row r="60" spans="2:13" x14ac:dyDescent="0.2">
      <c r="B60">
        <f t="shared" si="6"/>
        <v>55</v>
      </c>
      <c r="C60" s="14">
        <f t="shared" si="7"/>
        <v>46522</v>
      </c>
      <c r="D60" s="58" t="s">
        <v>257</v>
      </c>
      <c r="E60" s="16">
        <v>715.8</v>
      </c>
      <c r="F60" s="16">
        <f t="shared" si="2"/>
        <v>93.699999999999932</v>
      </c>
      <c r="G60" s="16">
        <v>0</v>
      </c>
      <c r="H60" s="16">
        <f t="shared" si="8"/>
        <v>737.69999999999993</v>
      </c>
      <c r="I60" s="16">
        <f t="shared" si="4"/>
        <v>13.412727272727272</v>
      </c>
      <c r="J60" s="17">
        <v>8</v>
      </c>
      <c r="K60" s="34" t="s">
        <v>363</v>
      </c>
      <c r="L60" s="68" t="s">
        <v>388</v>
      </c>
    </row>
    <row r="61" spans="2:13" x14ac:dyDescent="0.2">
      <c r="B61">
        <f t="shared" si="6"/>
        <v>56</v>
      </c>
      <c r="C61" s="14">
        <f t="shared" si="7"/>
        <v>46523</v>
      </c>
      <c r="D61" s="15"/>
      <c r="E61" s="16">
        <v>715.8</v>
      </c>
      <c r="F61" s="16">
        <f t="shared" si="2"/>
        <v>0</v>
      </c>
      <c r="G61" s="16"/>
      <c r="H61" s="16">
        <f t="shared" si="8"/>
        <v>737.69999999999993</v>
      </c>
      <c r="I61" s="16">
        <f t="shared" si="4"/>
        <v>13.173214285714284</v>
      </c>
    </row>
    <row r="62" spans="2:13" x14ac:dyDescent="0.2">
      <c r="B62">
        <f t="shared" si="6"/>
        <v>57</v>
      </c>
      <c r="C62" s="14">
        <f t="shared" si="7"/>
        <v>46524</v>
      </c>
      <c r="D62" s="15"/>
      <c r="E62" s="16">
        <v>715.8</v>
      </c>
      <c r="F62" s="16">
        <f t="shared" si="2"/>
        <v>0</v>
      </c>
      <c r="G62" s="16"/>
      <c r="H62" s="16">
        <f t="shared" si="8"/>
        <v>737.69999999999993</v>
      </c>
      <c r="I62" s="16">
        <f t="shared" si="4"/>
        <v>12.942105263157893</v>
      </c>
    </row>
    <row r="63" spans="2:13" x14ac:dyDescent="0.2">
      <c r="B63">
        <f t="shared" si="6"/>
        <v>58</v>
      </c>
      <c r="C63" s="14">
        <f t="shared" si="7"/>
        <v>46525</v>
      </c>
      <c r="D63" s="15"/>
      <c r="E63" s="16">
        <v>715.8</v>
      </c>
      <c r="F63" s="16">
        <f t="shared" si="2"/>
        <v>0</v>
      </c>
      <c r="G63" s="16"/>
      <c r="H63" s="16">
        <f t="shared" si="8"/>
        <v>737.69999999999993</v>
      </c>
      <c r="I63" s="16">
        <f t="shared" si="4"/>
        <v>12.718965517241378</v>
      </c>
    </row>
    <row r="64" spans="2:13" x14ac:dyDescent="0.2">
      <c r="B64">
        <f t="shared" si="6"/>
        <v>59</v>
      </c>
      <c r="C64" s="14">
        <f t="shared" si="7"/>
        <v>46526</v>
      </c>
      <c r="D64" s="15"/>
      <c r="E64" s="16">
        <v>715.8</v>
      </c>
      <c r="F64" s="16">
        <f t="shared" si="2"/>
        <v>0</v>
      </c>
      <c r="G64" s="16"/>
      <c r="H64" s="16">
        <f t="shared" si="8"/>
        <v>737.69999999999993</v>
      </c>
      <c r="I64" s="16">
        <f t="shared" si="4"/>
        <v>12.503389830508473</v>
      </c>
      <c r="K64" s="34" t="s">
        <v>303</v>
      </c>
      <c r="L64" s="68" t="s">
        <v>389</v>
      </c>
    </row>
    <row r="65" spans="2:12" x14ac:dyDescent="0.2">
      <c r="B65">
        <f t="shared" si="6"/>
        <v>60</v>
      </c>
      <c r="C65" s="14">
        <f t="shared" si="7"/>
        <v>46527</v>
      </c>
      <c r="D65" s="15"/>
      <c r="E65" s="16">
        <v>715.8</v>
      </c>
      <c r="F65" s="16">
        <f t="shared" si="2"/>
        <v>0</v>
      </c>
      <c r="G65" s="16"/>
      <c r="H65" s="16">
        <f t="shared" si="8"/>
        <v>737.69999999999993</v>
      </c>
      <c r="I65" s="16">
        <f t="shared" si="4"/>
        <v>12.294999999999998</v>
      </c>
    </row>
    <row r="66" spans="2:12" x14ac:dyDescent="0.2">
      <c r="B66">
        <f t="shared" si="6"/>
        <v>61</v>
      </c>
      <c r="C66" s="14">
        <f t="shared" si="7"/>
        <v>46528</v>
      </c>
      <c r="D66" s="15"/>
      <c r="E66" s="16">
        <v>715.8</v>
      </c>
      <c r="F66" s="16">
        <f t="shared" si="2"/>
        <v>0</v>
      </c>
      <c r="G66" s="16"/>
      <c r="H66" s="16">
        <f t="shared" si="8"/>
        <v>737.69999999999993</v>
      </c>
      <c r="I66" s="16">
        <f t="shared" si="4"/>
        <v>12.093442622950819</v>
      </c>
    </row>
    <row r="67" spans="2:12" x14ac:dyDescent="0.2">
      <c r="B67">
        <f t="shared" si="6"/>
        <v>62</v>
      </c>
      <c r="C67" s="14">
        <f t="shared" si="7"/>
        <v>46529</v>
      </c>
      <c r="D67" s="15"/>
      <c r="E67" s="16">
        <v>715.8</v>
      </c>
      <c r="F67" s="16">
        <f t="shared" si="2"/>
        <v>0</v>
      </c>
      <c r="G67" s="16"/>
      <c r="H67" s="16">
        <f t="shared" si="8"/>
        <v>737.69999999999993</v>
      </c>
      <c r="I67" s="16">
        <f t="shared" si="4"/>
        <v>11.898387096774192</v>
      </c>
    </row>
    <row r="68" spans="2:12" x14ac:dyDescent="0.2">
      <c r="B68">
        <f t="shared" si="6"/>
        <v>63</v>
      </c>
      <c r="C68" s="14">
        <f t="shared" si="7"/>
        <v>46530</v>
      </c>
      <c r="D68" s="58" t="s">
        <v>258</v>
      </c>
      <c r="E68" s="16">
        <v>848.4</v>
      </c>
      <c r="F68" s="16">
        <f t="shared" si="2"/>
        <v>132.60000000000002</v>
      </c>
      <c r="G68" s="16">
        <v>4.5</v>
      </c>
      <c r="H68" s="16">
        <f t="shared" si="8"/>
        <v>874.8</v>
      </c>
      <c r="I68" s="16">
        <f t="shared" si="4"/>
        <v>13.885714285714284</v>
      </c>
      <c r="J68" s="17">
        <v>5</v>
      </c>
      <c r="K68" s="34" t="s">
        <v>364</v>
      </c>
      <c r="L68" s="68" t="s">
        <v>395</v>
      </c>
    </row>
    <row r="69" spans="2:12" x14ac:dyDescent="0.2">
      <c r="B69">
        <f t="shared" si="6"/>
        <v>64</v>
      </c>
      <c r="C69" s="14">
        <f t="shared" si="7"/>
        <v>46531</v>
      </c>
      <c r="D69" s="15"/>
      <c r="E69" s="16">
        <v>848.4</v>
      </c>
      <c r="F69" s="16">
        <f t="shared" si="2"/>
        <v>0</v>
      </c>
      <c r="G69" s="16"/>
      <c r="H69" s="16">
        <f t="shared" si="8"/>
        <v>874.8</v>
      </c>
      <c r="I69" s="16">
        <f t="shared" si="4"/>
        <v>13.668749999999999</v>
      </c>
    </row>
    <row r="70" spans="2:12" x14ac:dyDescent="0.2">
      <c r="B70">
        <f t="shared" si="6"/>
        <v>65</v>
      </c>
      <c r="C70" s="14">
        <f t="shared" si="7"/>
        <v>46532</v>
      </c>
      <c r="D70" s="15"/>
      <c r="E70" s="16">
        <v>848.4</v>
      </c>
      <c r="F70" s="16">
        <f t="shared" si="2"/>
        <v>0</v>
      </c>
      <c r="G70" s="16"/>
      <c r="H70" s="16">
        <f t="shared" si="8"/>
        <v>874.8</v>
      </c>
      <c r="I70" s="16">
        <f t="shared" si="4"/>
        <v>13.458461538461538</v>
      </c>
    </row>
    <row r="71" spans="2:12" x14ac:dyDescent="0.2">
      <c r="B71">
        <f t="shared" si="6"/>
        <v>66</v>
      </c>
      <c r="C71" s="14">
        <f t="shared" si="7"/>
        <v>46533</v>
      </c>
      <c r="D71" s="15"/>
      <c r="E71" s="16">
        <v>848.4</v>
      </c>
      <c r="F71" s="16">
        <f t="shared" si="2"/>
        <v>0</v>
      </c>
      <c r="G71" s="16"/>
      <c r="H71" s="16">
        <f t="shared" si="8"/>
        <v>874.8</v>
      </c>
      <c r="I71" s="16">
        <f t="shared" si="4"/>
        <v>13.254545454545454</v>
      </c>
    </row>
    <row r="72" spans="2:12" x14ac:dyDescent="0.2">
      <c r="B72">
        <f t="shared" si="6"/>
        <v>67</v>
      </c>
      <c r="C72" s="14">
        <f t="shared" si="7"/>
        <v>46534</v>
      </c>
      <c r="D72" s="15"/>
      <c r="E72" s="16">
        <v>848.4</v>
      </c>
      <c r="F72" s="16">
        <f t="shared" ref="F72:F79" si="10">E72-E71</f>
        <v>0</v>
      </c>
      <c r="G72" s="16"/>
      <c r="H72" s="16">
        <f t="shared" si="8"/>
        <v>874.8</v>
      </c>
      <c r="I72" s="16">
        <f t="shared" si="4"/>
        <v>13.056716417910447</v>
      </c>
      <c r="J72" s="17"/>
      <c r="K72" s="13"/>
    </row>
    <row r="73" spans="2:12" x14ac:dyDescent="0.2">
      <c r="B73">
        <f t="shared" si="6"/>
        <v>68</v>
      </c>
      <c r="C73" s="14">
        <f t="shared" si="7"/>
        <v>46535</v>
      </c>
      <c r="D73" s="58" t="s">
        <v>331</v>
      </c>
      <c r="E73" s="16">
        <v>961.8</v>
      </c>
      <c r="F73" s="16">
        <f t="shared" si="10"/>
        <v>113.39999999999998</v>
      </c>
      <c r="G73" s="16">
        <v>0</v>
      </c>
      <c r="H73" s="16">
        <f t="shared" si="8"/>
        <v>988.19999999999993</v>
      </c>
      <c r="I73" s="16">
        <f t="shared" ref="I73:I79" si="11">H73/B73</f>
        <v>14.53235294117647</v>
      </c>
      <c r="J73" s="23">
        <v>4</v>
      </c>
      <c r="K73" s="20" t="s">
        <v>259</v>
      </c>
      <c r="L73" s="68" t="s">
        <v>390</v>
      </c>
    </row>
    <row r="74" spans="2:12" x14ac:dyDescent="0.2">
      <c r="B74">
        <f t="shared" si="6"/>
        <v>69</v>
      </c>
      <c r="C74" s="14">
        <f t="shared" si="7"/>
        <v>46536</v>
      </c>
      <c r="D74" s="15"/>
      <c r="E74" s="16">
        <v>961.8</v>
      </c>
      <c r="F74" s="16">
        <f t="shared" si="10"/>
        <v>0</v>
      </c>
      <c r="G74" s="16"/>
      <c r="H74" s="16">
        <f t="shared" si="8"/>
        <v>988.19999999999993</v>
      </c>
      <c r="I74" s="16">
        <f t="shared" si="11"/>
        <v>14.321739130434782</v>
      </c>
      <c r="J74" s="17"/>
      <c r="K74" s="13"/>
    </row>
    <row r="75" spans="2:12" x14ac:dyDescent="0.2">
      <c r="B75">
        <f t="shared" si="6"/>
        <v>70</v>
      </c>
      <c r="C75" s="14">
        <f t="shared" si="7"/>
        <v>46537</v>
      </c>
      <c r="D75" s="15"/>
      <c r="E75" s="16">
        <v>961.8</v>
      </c>
      <c r="F75" s="16">
        <f t="shared" si="10"/>
        <v>0</v>
      </c>
      <c r="G75" s="16"/>
      <c r="H75" s="16">
        <f t="shared" si="8"/>
        <v>988.19999999999993</v>
      </c>
      <c r="I75" s="16">
        <f t="shared" si="11"/>
        <v>14.117142857142856</v>
      </c>
      <c r="J75" s="17"/>
      <c r="K75" s="13"/>
    </row>
    <row r="76" spans="2:12" x14ac:dyDescent="0.2">
      <c r="B76">
        <f t="shared" si="6"/>
        <v>71</v>
      </c>
      <c r="C76" s="14">
        <f t="shared" si="7"/>
        <v>46538</v>
      </c>
      <c r="D76" s="15"/>
      <c r="E76" s="16">
        <v>961.8</v>
      </c>
      <c r="F76" s="16">
        <f t="shared" si="10"/>
        <v>0</v>
      </c>
      <c r="G76" s="16"/>
      <c r="H76" s="16">
        <f t="shared" si="8"/>
        <v>988.19999999999993</v>
      </c>
      <c r="I76" s="16">
        <f t="shared" si="11"/>
        <v>13.918309859154929</v>
      </c>
      <c r="J76" s="17"/>
      <c r="K76" s="13"/>
    </row>
    <row r="77" spans="2:12" x14ac:dyDescent="0.2">
      <c r="B77">
        <f t="shared" si="6"/>
        <v>72</v>
      </c>
      <c r="C77" s="14">
        <f t="shared" si="7"/>
        <v>46539</v>
      </c>
      <c r="D77" s="58" t="s">
        <v>260</v>
      </c>
      <c r="E77" s="16">
        <v>1008.8</v>
      </c>
      <c r="F77" s="16">
        <f t="shared" si="10"/>
        <v>47</v>
      </c>
      <c r="G77" s="16">
        <v>0</v>
      </c>
      <c r="H77" s="16">
        <f t="shared" si="8"/>
        <v>1035.1999999999998</v>
      </c>
      <c r="I77" s="16">
        <f t="shared" si="11"/>
        <v>14.377777777777775</v>
      </c>
      <c r="J77" s="17">
        <v>5</v>
      </c>
      <c r="K77" s="34" t="s">
        <v>365</v>
      </c>
      <c r="L77" s="68" t="s">
        <v>260</v>
      </c>
    </row>
    <row r="78" spans="2:12" x14ac:dyDescent="0.2">
      <c r="B78">
        <f t="shared" si="6"/>
        <v>73</v>
      </c>
      <c r="C78" s="14">
        <f t="shared" si="7"/>
        <v>46540</v>
      </c>
      <c r="D78" s="15"/>
      <c r="E78" s="16">
        <v>1008.8</v>
      </c>
      <c r="F78" s="16">
        <f t="shared" si="10"/>
        <v>0</v>
      </c>
      <c r="G78" s="16"/>
      <c r="H78" s="16">
        <f t="shared" si="8"/>
        <v>1035.1999999999998</v>
      </c>
      <c r="I78" s="16">
        <f t="shared" si="11"/>
        <v>14.180821917808217</v>
      </c>
      <c r="J78" s="17"/>
      <c r="K78" s="13"/>
    </row>
    <row r="79" spans="2:12" x14ac:dyDescent="0.2">
      <c r="B79">
        <f t="shared" si="6"/>
        <v>74</v>
      </c>
      <c r="C79" s="14">
        <f t="shared" si="7"/>
        <v>46541</v>
      </c>
      <c r="D79" s="15"/>
      <c r="E79" s="16">
        <v>1008.8</v>
      </c>
      <c r="F79" s="16">
        <f t="shared" si="10"/>
        <v>0</v>
      </c>
      <c r="G79" s="16"/>
      <c r="H79" s="16">
        <f t="shared" si="8"/>
        <v>1035.1999999999998</v>
      </c>
      <c r="I79" s="16">
        <f t="shared" si="11"/>
        <v>13.989189189189187</v>
      </c>
      <c r="J79" s="17"/>
    </row>
    <row r="80" spans="2:12" x14ac:dyDescent="0.2">
      <c r="B80">
        <f t="shared" si="6"/>
        <v>75</v>
      </c>
      <c r="C80" s="14">
        <f t="shared" si="7"/>
        <v>46542</v>
      </c>
      <c r="D80" s="15"/>
      <c r="E80" s="16">
        <v>1008.8</v>
      </c>
      <c r="F80" s="16">
        <f>E80-E79</f>
        <v>0</v>
      </c>
      <c r="G80" s="16"/>
      <c r="H80" s="16">
        <f>H79+F80+G80</f>
        <v>1035.1999999999998</v>
      </c>
      <c r="I80" s="16">
        <f>H80/B80</f>
        <v>13.802666666666664</v>
      </c>
      <c r="J80" s="17"/>
    </row>
    <row r="81" spans="2:12" x14ac:dyDescent="0.2">
      <c r="B81">
        <f t="shared" ref="B81:C96" si="12">B80+1</f>
        <v>76</v>
      </c>
      <c r="C81" s="14">
        <f t="shared" si="12"/>
        <v>46543</v>
      </c>
      <c r="D81" s="18" t="s">
        <v>332</v>
      </c>
      <c r="E81" s="16">
        <v>1088.2</v>
      </c>
      <c r="F81" s="16">
        <f t="shared" ref="F81:F145" si="13">E81-E80</f>
        <v>79.400000000000091</v>
      </c>
      <c r="G81" s="16"/>
      <c r="H81" s="16">
        <f t="shared" ref="H81:H145" si="14">H80+F81+G81</f>
        <v>1114.5999999999999</v>
      </c>
      <c r="I81" s="16">
        <f t="shared" ref="I81:I145" si="15">H81/B81</f>
        <v>14.665789473684208</v>
      </c>
      <c r="K81" s="31" t="s">
        <v>333</v>
      </c>
    </row>
    <row r="82" spans="2:12" x14ac:dyDescent="0.2">
      <c r="B82">
        <f t="shared" si="12"/>
        <v>77</v>
      </c>
      <c r="C82" s="14">
        <f t="shared" si="12"/>
        <v>46544</v>
      </c>
      <c r="D82" s="18" t="s">
        <v>332</v>
      </c>
      <c r="E82" s="16">
        <v>1088.2</v>
      </c>
      <c r="F82" s="16">
        <f t="shared" si="13"/>
        <v>0</v>
      </c>
      <c r="G82" s="16">
        <v>0</v>
      </c>
      <c r="H82" s="16">
        <f t="shared" si="14"/>
        <v>1114.5999999999999</v>
      </c>
      <c r="I82" s="16">
        <f t="shared" si="15"/>
        <v>14.475324675324675</v>
      </c>
      <c r="J82" s="17">
        <v>3</v>
      </c>
      <c r="K82" s="31" t="s">
        <v>333</v>
      </c>
    </row>
    <row r="83" spans="2:12" x14ac:dyDescent="0.2">
      <c r="B83">
        <f t="shared" si="12"/>
        <v>78</v>
      </c>
      <c r="C83" s="14">
        <f t="shared" si="12"/>
        <v>46545</v>
      </c>
      <c r="D83" s="18" t="s">
        <v>334</v>
      </c>
      <c r="E83" s="16">
        <v>1103.7</v>
      </c>
      <c r="F83" s="16">
        <f t="shared" si="13"/>
        <v>15.5</v>
      </c>
      <c r="G83" s="16"/>
      <c r="H83" s="16">
        <f t="shared" si="14"/>
        <v>1130.0999999999999</v>
      </c>
      <c r="I83" s="16">
        <f t="shared" si="15"/>
        <v>14.488461538461538</v>
      </c>
      <c r="J83" s="17"/>
      <c r="K83" s="20"/>
    </row>
    <row r="84" spans="2:12" x14ac:dyDescent="0.2">
      <c r="B84">
        <f t="shared" si="12"/>
        <v>79</v>
      </c>
      <c r="C84" s="14">
        <f t="shared" si="12"/>
        <v>46546</v>
      </c>
      <c r="D84" s="18" t="s">
        <v>146</v>
      </c>
      <c r="E84" s="16">
        <v>1121.9000000000001</v>
      </c>
      <c r="F84" s="16">
        <f t="shared" si="13"/>
        <v>18.200000000000045</v>
      </c>
      <c r="G84" s="16"/>
      <c r="H84" s="16">
        <f t="shared" si="14"/>
        <v>1148.3</v>
      </c>
      <c r="I84" s="16">
        <f t="shared" si="15"/>
        <v>14.535443037974684</v>
      </c>
      <c r="K84" s="59" t="s">
        <v>366</v>
      </c>
    </row>
    <row r="85" spans="2:12" x14ac:dyDescent="0.2">
      <c r="B85">
        <f t="shared" si="12"/>
        <v>80</v>
      </c>
      <c r="C85" s="14">
        <f t="shared" si="12"/>
        <v>46547</v>
      </c>
      <c r="D85" s="58" t="s">
        <v>261</v>
      </c>
      <c r="E85" s="16">
        <v>1133.2</v>
      </c>
      <c r="F85" s="16">
        <f t="shared" si="13"/>
        <v>11.299999999999955</v>
      </c>
      <c r="G85" s="16">
        <v>0</v>
      </c>
      <c r="H85" s="16">
        <f t="shared" si="14"/>
        <v>1159.5999999999999</v>
      </c>
      <c r="I85" s="16">
        <f t="shared" si="15"/>
        <v>14.494999999999999</v>
      </c>
      <c r="J85" s="17">
        <v>5</v>
      </c>
      <c r="K85" s="34" t="s">
        <v>367</v>
      </c>
      <c r="L85" s="68" t="s">
        <v>396</v>
      </c>
    </row>
    <row r="86" spans="2:12" x14ac:dyDescent="0.2">
      <c r="B86">
        <f t="shared" si="12"/>
        <v>81</v>
      </c>
      <c r="C86" s="14">
        <f t="shared" si="12"/>
        <v>46548</v>
      </c>
      <c r="D86" s="15"/>
      <c r="E86" s="16">
        <v>1133.2</v>
      </c>
      <c r="F86" s="16">
        <f t="shared" si="13"/>
        <v>0</v>
      </c>
      <c r="G86" s="16"/>
      <c r="H86" s="16">
        <f t="shared" si="14"/>
        <v>1159.5999999999999</v>
      </c>
      <c r="I86" s="16">
        <f t="shared" si="15"/>
        <v>14.316049382716049</v>
      </c>
      <c r="J86" s="17"/>
      <c r="K86" s="34"/>
    </row>
    <row r="87" spans="2:12" x14ac:dyDescent="0.2">
      <c r="B87">
        <f t="shared" si="12"/>
        <v>82</v>
      </c>
      <c r="C87" s="14">
        <f t="shared" si="12"/>
        <v>46549</v>
      </c>
      <c r="D87" s="15"/>
      <c r="E87" s="16">
        <v>1133.2</v>
      </c>
      <c r="F87" s="16">
        <f t="shared" si="13"/>
        <v>0</v>
      </c>
      <c r="G87" s="16"/>
      <c r="H87" s="16">
        <f t="shared" si="14"/>
        <v>1159.5999999999999</v>
      </c>
      <c r="I87" s="16">
        <f t="shared" si="15"/>
        <v>14.141463414634146</v>
      </c>
    </row>
    <row r="88" spans="2:12" x14ac:dyDescent="0.2">
      <c r="B88">
        <f t="shared" si="12"/>
        <v>83</v>
      </c>
      <c r="C88" s="14">
        <f t="shared" si="12"/>
        <v>46550</v>
      </c>
      <c r="D88" s="15"/>
      <c r="E88" s="16">
        <v>1133.2</v>
      </c>
      <c r="F88" s="16">
        <f t="shared" si="13"/>
        <v>0</v>
      </c>
      <c r="G88" s="16"/>
      <c r="H88" s="16">
        <f t="shared" si="14"/>
        <v>1159.5999999999999</v>
      </c>
      <c r="I88" s="16">
        <f t="shared" si="15"/>
        <v>13.971084337349396</v>
      </c>
      <c r="K88" s="19" t="s">
        <v>282</v>
      </c>
    </row>
    <row r="89" spans="2:12" x14ac:dyDescent="0.2">
      <c r="B89">
        <f t="shared" si="12"/>
        <v>84</v>
      </c>
      <c r="C89" s="14">
        <f t="shared" si="12"/>
        <v>46551</v>
      </c>
      <c r="D89" s="15"/>
      <c r="E89" s="16">
        <v>1133.2</v>
      </c>
      <c r="F89" s="16">
        <f t="shared" si="13"/>
        <v>0</v>
      </c>
      <c r="G89" s="16"/>
      <c r="H89" s="16">
        <f t="shared" si="14"/>
        <v>1159.5999999999999</v>
      </c>
      <c r="I89" s="16">
        <f t="shared" si="15"/>
        <v>13.804761904761904</v>
      </c>
    </row>
    <row r="90" spans="2:12" x14ac:dyDescent="0.2">
      <c r="B90">
        <f t="shared" si="12"/>
        <v>85</v>
      </c>
      <c r="C90" s="14">
        <f t="shared" si="12"/>
        <v>46552</v>
      </c>
      <c r="D90" s="58" t="s">
        <v>262</v>
      </c>
      <c r="E90" s="16">
        <v>1203.2</v>
      </c>
      <c r="F90" s="16">
        <f t="shared" si="13"/>
        <v>70</v>
      </c>
      <c r="G90" s="16">
        <v>0</v>
      </c>
      <c r="H90" s="16">
        <f t="shared" si="14"/>
        <v>1229.5999999999999</v>
      </c>
      <c r="I90" s="16">
        <f t="shared" si="15"/>
        <v>14.465882352941176</v>
      </c>
      <c r="J90" s="17">
        <v>5</v>
      </c>
      <c r="K90" s="34" t="s">
        <v>368</v>
      </c>
      <c r="L90" s="68" t="s">
        <v>391</v>
      </c>
    </row>
    <row r="91" spans="2:12" x14ac:dyDescent="0.2">
      <c r="B91">
        <f t="shared" si="12"/>
        <v>86</v>
      </c>
      <c r="C91" s="14">
        <f t="shared" si="12"/>
        <v>46553</v>
      </c>
      <c r="D91" s="15"/>
      <c r="E91" s="16">
        <v>1203.2</v>
      </c>
      <c r="F91" s="16">
        <f t="shared" si="13"/>
        <v>0</v>
      </c>
      <c r="G91" s="16"/>
      <c r="H91" s="16">
        <f t="shared" si="14"/>
        <v>1229.5999999999999</v>
      </c>
      <c r="I91" s="16">
        <f t="shared" si="15"/>
        <v>14.29767441860465</v>
      </c>
    </row>
    <row r="92" spans="2:12" x14ac:dyDescent="0.2">
      <c r="B92">
        <f t="shared" si="12"/>
        <v>87</v>
      </c>
      <c r="C92" s="14">
        <f t="shared" si="12"/>
        <v>46554</v>
      </c>
      <c r="D92" s="15"/>
      <c r="E92" s="16">
        <v>1203.2</v>
      </c>
      <c r="F92" s="16">
        <f t="shared" si="13"/>
        <v>0</v>
      </c>
      <c r="G92" s="16"/>
      <c r="H92" s="16">
        <f t="shared" si="14"/>
        <v>1229.5999999999999</v>
      </c>
      <c r="I92" s="16">
        <f t="shared" si="15"/>
        <v>14.133333333333333</v>
      </c>
    </row>
    <row r="93" spans="2:12" x14ac:dyDescent="0.2">
      <c r="B93">
        <f t="shared" si="12"/>
        <v>88</v>
      </c>
      <c r="C93" s="14">
        <f t="shared" si="12"/>
        <v>46555</v>
      </c>
      <c r="D93" s="15"/>
      <c r="E93" s="16">
        <v>1203.2</v>
      </c>
      <c r="F93" s="16">
        <f t="shared" si="13"/>
        <v>0</v>
      </c>
      <c r="G93" s="16"/>
      <c r="H93" s="16">
        <f t="shared" si="14"/>
        <v>1229.5999999999999</v>
      </c>
      <c r="I93" s="16">
        <f t="shared" si="15"/>
        <v>13.972727272727271</v>
      </c>
    </row>
    <row r="94" spans="2:12" x14ac:dyDescent="0.2">
      <c r="B94">
        <f t="shared" si="12"/>
        <v>89</v>
      </c>
      <c r="C94" s="14">
        <f t="shared" si="12"/>
        <v>46556</v>
      </c>
      <c r="D94" s="15"/>
      <c r="E94" s="16">
        <v>1203.2</v>
      </c>
      <c r="F94" s="16">
        <f t="shared" si="13"/>
        <v>0</v>
      </c>
      <c r="G94" s="16"/>
      <c r="H94" s="16">
        <f t="shared" si="14"/>
        <v>1229.5999999999999</v>
      </c>
      <c r="I94" s="16">
        <f t="shared" si="15"/>
        <v>13.815730337078652</v>
      </c>
    </row>
    <row r="95" spans="2:12" x14ac:dyDescent="0.2">
      <c r="B95">
        <f t="shared" si="12"/>
        <v>90</v>
      </c>
      <c r="C95" s="14">
        <f t="shared" si="12"/>
        <v>46557</v>
      </c>
      <c r="D95" s="58" t="s">
        <v>335</v>
      </c>
      <c r="E95" s="16">
        <v>1279.5</v>
      </c>
      <c r="F95" s="16">
        <f t="shared" si="13"/>
        <v>76.299999999999955</v>
      </c>
      <c r="G95" s="16">
        <v>0</v>
      </c>
      <c r="H95" s="16">
        <f t="shared" si="14"/>
        <v>1305.8999999999999</v>
      </c>
      <c r="I95" s="16">
        <f t="shared" si="15"/>
        <v>14.509999999999998</v>
      </c>
      <c r="J95" s="17">
        <v>4</v>
      </c>
      <c r="K95" s="34" t="s">
        <v>369</v>
      </c>
      <c r="L95" s="68" t="s">
        <v>392</v>
      </c>
    </row>
    <row r="96" spans="2:12" x14ac:dyDescent="0.2">
      <c r="B96">
        <f t="shared" si="12"/>
        <v>91</v>
      </c>
      <c r="C96" s="14">
        <f t="shared" si="12"/>
        <v>46558</v>
      </c>
      <c r="D96" s="15"/>
      <c r="E96" s="16">
        <v>1279.5</v>
      </c>
      <c r="F96" s="16">
        <f t="shared" si="13"/>
        <v>0</v>
      </c>
      <c r="G96" s="16"/>
      <c r="H96" s="16">
        <f t="shared" si="14"/>
        <v>1305.8999999999999</v>
      </c>
      <c r="I96" s="16">
        <f t="shared" si="15"/>
        <v>14.350549450549449</v>
      </c>
    </row>
    <row r="97" spans="2:12" x14ac:dyDescent="0.2">
      <c r="B97">
        <f t="shared" ref="B97:C112" si="16">B96+1</f>
        <v>92</v>
      </c>
      <c r="C97" s="14">
        <f t="shared" si="16"/>
        <v>46559</v>
      </c>
      <c r="D97" s="15"/>
      <c r="E97" s="16">
        <v>1279.5</v>
      </c>
      <c r="F97" s="16">
        <f t="shared" si="13"/>
        <v>0</v>
      </c>
      <c r="G97" s="16"/>
      <c r="H97" s="16">
        <f t="shared" si="14"/>
        <v>1305.8999999999999</v>
      </c>
      <c r="I97" s="16">
        <f t="shared" si="15"/>
        <v>14.194565217391302</v>
      </c>
    </row>
    <row r="98" spans="2:12" x14ac:dyDescent="0.2">
      <c r="B98">
        <f t="shared" si="16"/>
        <v>93</v>
      </c>
      <c r="C98" s="14">
        <f t="shared" si="16"/>
        <v>46560</v>
      </c>
      <c r="D98" s="15" t="s">
        <v>337</v>
      </c>
      <c r="E98" s="16">
        <v>1331</v>
      </c>
      <c r="F98" s="16">
        <f t="shared" si="13"/>
        <v>51.5</v>
      </c>
      <c r="G98" s="16"/>
      <c r="H98" s="16">
        <f t="shared" si="14"/>
        <v>1357.3999999999999</v>
      </c>
      <c r="I98" s="16">
        <f t="shared" si="15"/>
        <v>14.595698924731181</v>
      </c>
      <c r="K98" s="34" t="s">
        <v>327</v>
      </c>
      <c r="L98" s="68" t="s">
        <v>397</v>
      </c>
    </row>
    <row r="99" spans="2:12" x14ac:dyDescent="0.2">
      <c r="B99">
        <f t="shared" si="16"/>
        <v>94</v>
      </c>
      <c r="C99" s="14">
        <f t="shared" si="16"/>
        <v>46561</v>
      </c>
      <c r="D99" s="58" t="s">
        <v>336</v>
      </c>
      <c r="E99" s="16">
        <v>1342.8</v>
      </c>
      <c r="F99" s="16">
        <f t="shared" si="13"/>
        <v>11.799999999999955</v>
      </c>
      <c r="G99" s="16">
        <v>2.4</v>
      </c>
      <c r="H99" s="16">
        <f t="shared" si="14"/>
        <v>1371.6</v>
      </c>
      <c r="I99" s="16">
        <f t="shared" si="15"/>
        <v>14.591489361702127</v>
      </c>
      <c r="J99" s="17">
        <v>4</v>
      </c>
      <c r="K99" s="66" t="s">
        <v>370</v>
      </c>
      <c r="L99" s="68" t="s">
        <v>398</v>
      </c>
    </row>
    <row r="100" spans="2:12" x14ac:dyDescent="0.2">
      <c r="B100">
        <f t="shared" si="16"/>
        <v>95</v>
      </c>
      <c r="C100" s="14">
        <f t="shared" si="16"/>
        <v>46562</v>
      </c>
      <c r="D100" s="15"/>
      <c r="E100" s="16">
        <v>1342.8</v>
      </c>
      <c r="F100" s="16">
        <f t="shared" si="13"/>
        <v>0</v>
      </c>
      <c r="G100" s="16"/>
      <c r="H100" s="16">
        <f t="shared" si="14"/>
        <v>1371.6</v>
      </c>
      <c r="I100" s="16">
        <f t="shared" si="15"/>
        <v>14.437894736842104</v>
      </c>
    </row>
    <row r="101" spans="2:12" x14ac:dyDescent="0.2">
      <c r="B101">
        <f t="shared" si="16"/>
        <v>96</v>
      </c>
      <c r="C101" s="14">
        <f t="shared" si="16"/>
        <v>46563</v>
      </c>
      <c r="D101" s="15"/>
      <c r="E101" s="16">
        <v>1342.8</v>
      </c>
      <c r="F101" s="16">
        <f t="shared" si="13"/>
        <v>0</v>
      </c>
      <c r="G101" s="16"/>
      <c r="H101" s="16">
        <f t="shared" si="14"/>
        <v>1371.6</v>
      </c>
      <c r="I101" s="16">
        <f t="shared" si="15"/>
        <v>14.2875</v>
      </c>
    </row>
    <row r="102" spans="2:12" x14ac:dyDescent="0.2">
      <c r="B102">
        <f t="shared" si="16"/>
        <v>97</v>
      </c>
      <c r="C102" s="14">
        <f t="shared" si="16"/>
        <v>46564</v>
      </c>
      <c r="D102" s="15"/>
      <c r="E102" s="16">
        <v>1342.8</v>
      </c>
      <c r="F102" s="16">
        <f t="shared" si="13"/>
        <v>0</v>
      </c>
      <c r="G102" s="16"/>
      <c r="H102" s="16">
        <f t="shared" si="14"/>
        <v>1371.6</v>
      </c>
      <c r="I102" s="16">
        <f t="shared" si="15"/>
        <v>14.14020618556701</v>
      </c>
    </row>
    <row r="103" spans="2:12" x14ac:dyDescent="0.2">
      <c r="B103">
        <f t="shared" si="16"/>
        <v>98</v>
      </c>
      <c r="C103" s="14">
        <f t="shared" si="16"/>
        <v>46565</v>
      </c>
      <c r="D103" s="58" t="s">
        <v>263</v>
      </c>
      <c r="E103" s="16">
        <v>1387.8</v>
      </c>
      <c r="F103" s="16">
        <f t="shared" si="13"/>
        <v>45</v>
      </c>
      <c r="G103" s="16">
        <v>0</v>
      </c>
      <c r="H103" s="16">
        <f t="shared" si="14"/>
        <v>1416.6</v>
      </c>
      <c r="I103" s="16">
        <f t="shared" si="15"/>
        <v>14.455102040816326</v>
      </c>
      <c r="J103" s="17">
        <v>5</v>
      </c>
      <c r="K103" s="19" t="s">
        <v>371</v>
      </c>
      <c r="L103" s="68" t="s">
        <v>400</v>
      </c>
    </row>
    <row r="104" spans="2:12" x14ac:dyDescent="0.2">
      <c r="B104">
        <f t="shared" si="16"/>
        <v>99</v>
      </c>
      <c r="C104" s="14">
        <f t="shared" si="16"/>
        <v>46566</v>
      </c>
      <c r="D104" s="15"/>
      <c r="E104" s="16">
        <v>1387.8</v>
      </c>
      <c r="F104" s="16">
        <f t="shared" si="13"/>
        <v>0</v>
      </c>
      <c r="G104" s="16"/>
      <c r="H104" s="16">
        <f t="shared" si="14"/>
        <v>1416.6</v>
      </c>
      <c r="I104" s="16">
        <f t="shared" si="15"/>
        <v>14.309090909090909</v>
      </c>
    </row>
    <row r="105" spans="2:12" x14ac:dyDescent="0.2">
      <c r="B105">
        <f t="shared" si="16"/>
        <v>100</v>
      </c>
      <c r="C105" s="14">
        <f t="shared" si="16"/>
        <v>46567</v>
      </c>
      <c r="D105" s="15"/>
      <c r="E105" s="16">
        <v>1387.8</v>
      </c>
      <c r="F105" s="16">
        <f t="shared" si="13"/>
        <v>0</v>
      </c>
      <c r="G105" s="16"/>
      <c r="H105" s="16">
        <f t="shared" si="14"/>
        <v>1416.6</v>
      </c>
      <c r="I105" s="16">
        <f t="shared" si="15"/>
        <v>14.165999999999999</v>
      </c>
    </row>
    <row r="106" spans="2:12" x14ac:dyDescent="0.2">
      <c r="B106">
        <f t="shared" si="16"/>
        <v>101</v>
      </c>
      <c r="C106" s="14">
        <f t="shared" si="16"/>
        <v>46568</v>
      </c>
      <c r="D106" s="15"/>
      <c r="E106" s="16">
        <v>1387.8</v>
      </c>
      <c r="F106" s="16">
        <f t="shared" si="13"/>
        <v>0</v>
      </c>
      <c r="G106" s="16"/>
      <c r="H106" s="16">
        <f t="shared" si="14"/>
        <v>1416.6</v>
      </c>
      <c r="I106" s="16">
        <f t="shared" si="15"/>
        <v>14.025742574257425</v>
      </c>
    </row>
    <row r="107" spans="2:12" x14ac:dyDescent="0.2">
      <c r="B107">
        <f t="shared" si="16"/>
        <v>102</v>
      </c>
      <c r="C107" s="14">
        <f t="shared" si="16"/>
        <v>46569</v>
      </c>
      <c r="D107" s="58" t="s">
        <v>339</v>
      </c>
      <c r="E107" s="16">
        <v>1452.1</v>
      </c>
      <c r="F107" s="16">
        <f t="shared" si="13"/>
        <v>64.299999999999955</v>
      </c>
      <c r="G107" s="16"/>
      <c r="H107" s="16">
        <f t="shared" si="14"/>
        <v>1480.8999999999999</v>
      </c>
      <c r="I107" s="16">
        <f t="shared" si="15"/>
        <v>14.518627450980391</v>
      </c>
      <c r="J107" s="17"/>
      <c r="K107" s="19" t="s">
        <v>338</v>
      </c>
      <c r="L107" s="68" t="s">
        <v>339</v>
      </c>
    </row>
    <row r="108" spans="2:12" x14ac:dyDescent="0.2">
      <c r="B108">
        <f t="shared" si="16"/>
        <v>103</v>
      </c>
      <c r="C108" s="14">
        <f t="shared" si="16"/>
        <v>46570</v>
      </c>
      <c r="D108" s="15"/>
      <c r="E108" s="16">
        <v>1477.3</v>
      </c>
      <c r="F108" s="16">
        <f t="shared" si="13"/>
        <v>25.200000000000045</v>
      </c>
      <c r="G108" s="16">
        <v>0</v>
      </c>
      <c r="H108" s="16">
        <f t="shared" si="14"/>
        <v>1506.1</v>
      </c>
      <c r="I108" s="16">
        <f t="shared" si="15"/>
        <v>14.622330097087378</v>
      </c>
      <c r="J108" s="10">
        <v>7</v>
      </c>
      <c r="K108" s="34" t="s">
        <v>328</v>
      </c>
    </row>
    <row r="109" spans="2:12" x14ac:dyDescent="0.2">
      <c r="B109">
        <f t="shared" si="16"/>
        <v>104</v>
      </c>
      <c r="C109" s="14">
        <f t="shared" si="16"/>
        <v>46571</v>
      </c>
      <c r="D109" s="58" t="s">
        <v>264</v>
      </c>
      <c r="E109" s="16">
        <v>1484.7</v>
      </c>
      <c r="F109" s="16">
        <f t="shared" si="13"/>
        <v>7.4000000000000909</v>
      </c>
      <c r="G109" s="16"/>
      <c r="H109" s="16">
        <f t="shared" si="14"/>
        <v>1513.5</v>
      </c>
      <c r="I109" s="16">
        <f t="shared" si="15"/>
        <v>14.552884615384615</v>
      </c>
      <c r="J109" s="17"/>
      <c r="K109" s="19" t="s">
        <v>461</v>
      </c>
      <c r="L109" s="68" t="s">
        <v>264</v>
      </c>
    </row>
    <row r="110" spans="2:12" x14ac:dyDescent="0.2">
      <c r="B110">
        <f t="shared" si="16"/>
        <v>105</v>
      </c>
      <c r="C110" s="14">
        <f t="shared" si="16"/>
        <v>46572</v>
      </c>
      <c r="D110" s="15"/>
      <c r="E110" s="16">
        <v>1484.7</v>
      </c>
      <c r="F110" s="16">
        <f t="shared" si="13"/>
        <v>0</v>
      </c>
      <c r="G110" s="16"/>
      <c r="H110" s="16">
        <f t="shared" si="14"/>
        <v>1513.5</v>
      </c>
      <c r="I110" s="16">
        <f t="shared" si="15"/>
        <v>14.414285714285715</v>
      </c>
    </row>
    <row r="111" spans="2:12" x14ac:dyDescent="0.2">
      <c r="B111">
        <f t="shared" si="16"/>
        <v>106</v>
      </c>
      <c r="C111" s="14">
        <f t="shared" si="16"/>
        <v>46573</v>
      </c>
      <c r="D111" s="15"/>
      <c r="E111" s="16">
        <v>1484.7</v>
      </c>
      <c r="F111" s="16">
        <f t="shared" si="13"/>
        <v>0</v>
      </c>
      <c r="G111" s="16"/>
      <c r="H111" s="16">
        <f t="shared" si="14"/>
        <v>1513.5</v>
      </c>
      <c r="I111" s="16">
        <f t="shared" si="15"/>
        <v>14.278301886792454</v>
      </c>
    </row>
    <row r="112" spans="2:12" x14ac:dyDescent="0.2">
      <c r="B112">
        <f t="shared" si="16"/>
        <v>107</v>
      </c>
      <c r="C112" s="14">
        <f t="shared" si="16"/>
        <v>46574</v>
      </c>
      <c r="D112" s="15"/>
      <c r="E112" s="16">
        <v>1484.7</v>
      </c>
      <c r="F112" s="16">
        <f t="shared" si="13"/>
        <v>0</v>
      </c>
      <c r="G112" s="16"/>
      <c r="H112" s="16">
        <f t="shared" si="14"/>
        <v>1513.5</v>
      </c>
      <c r="I112" s="16">
        <f t="shared" si="15"/>
        <v>14.144859813084112</v>
      </c>
    </row>
    <row r="113" spans="2:12" x14ac:dyDescent="0.2">
      <c r="B113">
        <f t="shared" ref="B113:C128" si="17">B112+1</f>
        <v>108</v>
      </c>
      <c r="C113" s="14">
        <f t="shared" si="17"/>
        <v>46575</v>
      </c>
      <c r="D113" s="15"/>
      <c r="E113" s="16">
        <v>1484.7</v>
      </c>
      <c r="F113" s="16">
        <f t="shared" si="13"/>
        <v>0</v>
      </c>
      <c r="G113" s="16"/>
      <c r="H113" s="16">
        <f t="shared" si="14"/>
        <v>1513.5</v>
      </c>
      <c r="I113" s="16">
        <f t="shared" si="15"/>
        <v>14.013888888888889</v>
      </c>
    </row>
    <row r="114" spans="2:12" x14ac:dyDescent="0.2">
      <c r="B114">
        <f t="shared" si="17"/>
        <v>109</v>
      </c>
      <c r="C114" s="14">
        <f t="shared" si="17"/>
        <v>46576</v>
      </c>
      <c r="D114" s="58" t="s">
        <v>265</v>
      </c>
      <c r="E114" s="16">
        <v>1555</v>
      </c>
      <c r="F114" s="16">
        <f t="shared" si="13"/>
        <v>70.299999999999955</v>
      </c>
      <c r="G114" s="16"/>
      <c r="H114" s="16">
        <f t="shared" si="14"/>
        <v>1583.8</v>
      </c>
      <c r="I114" s="16">
        <f t="shared" si="15"/>
        <v>14.530275229357798</v>
      </c>
      <c r="J114" s="17"/>
      <c r="K114" s="19" t="s">
        <v>460</v>
      </c>
      <c r="L114" s="68" t="s">
        <v>265</v>
      </c>
    </row>
    <row r="115" spans="2:12" x14ac:dyDescent="0.2">
      <c r="B115">
        <f t="shared" si="17"/>
        <v>110</v>
      </c>
      <c r="C115" s="14">
        <f t="shared" si="17"/>
        <v>46577</v>
      </c>
      <c r="D115" s="58" t="s">
        <v>266</v>
      </c>
      <c r="E115" s="16">
        <v>1563.6</v>
      </c>
      <c r="F115" s="16">
        <f t="shared" si="13"/>
        <v>8.5999999999999091</v>
      </c>
      <c r="G115" s="16">
        <v>0</v>
      </c>
      <c r="H115" s="16">
        <f t="shared" si="14"/>
        <v>1592.3999999999999</v>
      </c>
      <c r="I115" s="16">
        <f t="shared" si="15"/>
        <v>14.476363636363635</v>
      </c>
      <c r="J115" s="10">
        <v>6</v>
      </c>
      <c r="K115" s="34" t="s">
        <v>458</v>
      </c>
      <c r="L115" s="68" t="s">
        <v>401</v>
      </c>
    </row>
    <row r="116" spans="2:12" x14ac:dyDescent="0.2">
      <c r="B116">
        <f t="shared" si="17"/>
        <v>111</v>
      </c>
      <c r="C116" s="14">
        <f t="shared" si="17"/>
        <v>46578</v>
      </c>
      <c r="D116" s="58" t="s">
        <v>340</v>
      </c>
      <c r="E116" s="16">
        <v>1578.3</v>
      </c>
      <c r="F116" s="16">
        <f t="shared" si="13"/>
        <v>14.700000000000045</v>
      </c>
      <c r="G116" s="16"/>
      <c r="H116" s="16">
        <f t="shared" si="14"/>
        <v>1607.1</v>
      </c>
      <c r="I116" s="16">
        <f t="shared" si="15"/>
        <v>14.478378378378377</v>
      </c>
      <c r="J116" s="17"/>
      <c r="K116" s="19" t="s">
        <v>459</v>
      </c>
      <c r="L116" s="68" t="s">
        <v>340</v>
      </c>
    </row>
    <row r="117" spans="2:12" x14ac:dyDescent="0.2">
      <c r="B117">
        <f t="shared" si="17"/>
        <v>112</v>
      </c>
      <c r="C117" s="14">
        <f t="shared" si="17"/>
        <v>46579</v>
      </c>
      <c r="D117" s="15"/>
      <c r="E117" s="16">
        <v>1578.3</v>
      </c>
      <c r="F117" s="16">
        <f t="shared" si="13"/>
        <v>0</v>
      </c>
      <c r="G117" s="16"/>
      <c r="H117" s="16">
        <f t="shared" si="14"/>
        <v>1607.1</v>
      </c>
      <c r="I117" s="16">
        <f t="shared" si="15"/>
        <v>14.349107142857141</v>
      </c>
      <c r="J117" s="17"/>
      <c r="K117" s="13"/>
    </row>
    <row r="118" spans="2:12" x14ac:dyDescent="0.2">
      <c r="B118">
        <f t="shared" si="17"/>
        <v>113</v>
      </c>
      <c r="C118" s="14">
        <f t="shared" si="17"/>
        <v>46580</v>
      </c>
      <c r="D118" s="15"/>
      <c r="E118" s="16">
        <v>1578.3</v>
      </c>
      <c r="F118" s="16">
        <f t="shared" si="13"/>
        <v>0</v>
      </c>
      <c r="G118" s="16"/>
      <c r="H118" s="16">
        <f t="shared" si="14"/>
        <v>1607.1</v>
      </c>
      <c r="I118" s="16">
        <f t="shared" si="15"/>
        <v>14.222123893805309</v>
      </c>
      <c r="J118" s="17"/>
      <c r="K118" s="13"/>
    </row>
    <row r="119" spans="2:12" x14ac:dyDescent="0.2">
      <c r="B119">
        <f t="shared" si="17"/>
        <v>114</v>
      </c>
      <c r="C119" s="14">
        <f t="shared" si="17"/>
        <v>46581</v>
      </c>
      <c r="D119" s="15"/>
      <c r="E119" s="16">
        <v>1578.3</v>
      </c>
      <c r="F119" s="16">
        <f t="shared" si="13"/>
        <v>0</v>
      </c>
      <c r="G119" s="16"/>
      <c r="H119" s="16">
        <f t="shared" si="14"/>
        <v>1607.1</v>
      </c>
      <c r="I119" s="16">
        <f t="shared" si="15"/>
        <v>14.09736842105263</v>
      </c>
      <c r="J119" s="17"/>
      <c r="K119" s="13"/>
    </row>
    <row r="120" spans="2:12" x14ac:dyDescent="0.2">
      <c r="B120">
        <f t="shared" si="17"/>
        <v>115</v>
      </c>
      <c r="C120" s="14">
        <f t="shared" si="17"/>
        <v>46582</v>
      </c>
      <c r="D120" s="15"/>
      <c r="E120" s="16">
        <v>1578.3</v>
      </c>
      <c r="F120" s="16">
        <f t="shared" si="13"/>
        <v>0</v>
      </c>
      <c r="G120" s="16"/>
      <c r="H120" s="16">
        <f t="shared" si="14"/>
        <v>1607.1</v>
      </c>
      <c r="I120" s="16">
        <f t="shared" si="15"/>
        <v>13.974782608695651</v>
      </c>
      <c r="J120" s="17"/>
      <c r="K120" s="13"/>
    </row>
    <row r="121" spans="2:12" x14ac:dyDescent="0.2">
      <c r="B121">
        <f t="shared" si="17"/>
        <v>116</v>
      </c>
      <c r="C121" s="14">
        <f t="shared" si="17"/>
        <v>46583</v>
      </c>
      <c r="D121" s="58" t="s">
        <v>267</v>
      </c>
      <c r="E121" s="16">
        <v>1636.8</v>
      </c>
      <c r="F121" s="16">
        <f t="shared" si="13"/>
        <v>58.5</v>
      </c>
      <c r="G121" s="16">
        <v>5.5</v>
      </c>
      <c r="H121" s="16">
        <f t="shared" si="14"/>
        <v>1671.1</v>
      </c>
      <c r="I121" s="16">
        <f t="shared" si="15"/>
        <v>14.406034482758621</v>
      </c>
      <c r="J121" s="17">
        <v>6</v>
      </c>
      <c r="K121" s="32" t="s">
        <v>462</v>
      </c>
      <c r="L121" s="68" t="s">
        <v>267</v>
      </c>
    </row>
    <row r="122" spans="2:12" x14ac:dyDescent="0.2">
      <c r="B122">
        <f t="shared" si="17"/>
        <v>117</v>
      </c>
      <c r="C122" s="14">
        <f t="shared" si="17"/>
        <v>46584</v>
      </c>
      <c r="D122" s="15"/>
      <c r="E122" s="16">
        <v>1636.8</v>
      </c>
      <c r="F122" s="16">
        <f t="shared" si="13"/>
        <v>0</v>
      </c>
      <c r="G122" s="16"/>
      <c r="H122" s="16">
        <f t="shared" si="14"/>
        <v>1671.1</v>
      </c>
      <c r="I122" s="16">
        <f t="shared" si="15"/>
        <v>14.282905982905982</v>
      </c>
      <c r="J122" s="17"/>
      <c r="K122" s="13"/>
    </row>
    <row r="123" spans="2:12" x14ac:dyDescent="0.2">
      <c r="B123">
        <f t="shared" si="17"/>
        <v>118</v>
      </c>
      <c r="C123" s="14">
        <f t="shared" si="17"/>
        <v>46585</v>
      </c>
      <c r="D123" s="15"/>
      <c r="E123" s="16">
        <v>1636.8</v>
      </c>
      <c r="F123" s="16">
        <f t="shared" si="13"/>
        <v>0</v>
      </c>
      <c r="G123" s="16"/>
      <c r="H123" s="16">
        <f t="shared" si="14"/>
        <v>1671.1</v>
      </c>
      <c r="I123" s="16">
        <f t="shared" si="15"/>
        <v>14.16186440677966</v>
      </c>
      <c r="J123" s="17"/>
      <c r="K123" s="13"/>
    </row>
    <row r="124" spans="2:12" x14ac:dyDescent="0.2">
      <c r="B124">
        <f t="shared" si="17"/>
        <v>119</v>
      </c>
      <c r="C124" s="14">
        <f t="shared" si="17"/>
        <v>46586</v>
      </c>
      <c r="D124" s="15"/>
      <c r="E124" s="16">
        <v>1636.8</v>
      </c>
      <c r="F124" s="16">
        <f t="shared" si="13"/>
        <v>0</v>
      </c>
      <c r="G124" s="16"/>
      <c r="H124" s="16">
        <f t="shared" si="14"/>
        <v>1671.1</v>
      </c>
      <c r="I124" s="16">
        <f t="shared" si="15"/>
        <v>14.042857142857143</v>
      </c>
      <c r="J124" s="17"/>
      <c r="K124" s="13"/>
    </row>
    <row r="125" spans="2:12" x14ac:dyDescent="0.2">
      <c r="B125">
        <f t="shared" si="17"/>
        <v>120</v>
      </c>
      <c r="C125" s="14">
        <f t="shared" si="17"/>
        <v>46587</v>
      </c>
      <c r="D125" s="15"/>
      <c r="E125" s="16">
        <v>1636.8</v>
      </c>
      <c r="F125" s="16">
        <f t="shared" si="13"/>
        <v>0</v>
      </c>
      <c r="G125" s="16"/>
      <c r="H125" s="16">
        <f t="shared" si="14"/>
        <v>1671.1</v>
      </c>
      <c r="I125" s="16">
        <f t="shared" si="15"/>
        <v>13.925833333333333</v>
      </c>
      <c r="J125" s="17"/>
      <c r="K125" s="13"/>
    </row>
    <row r="126" spans="2:12" x14ac:dyDescent="0.2">
      <c r="B126">
        <f t="shared" si="17"/>
        <v>121</v>
      </c>
      <c r="C126" s="14">
        <f t="shared" si="17"/>
        <v>46588</v>
      </c>
      <c r="D126" s="15"/>
      <c r="E126" s="16">
        <v>1636.8</v>
      </c>
      <c r="F126" s="16">
        <f t="shared" si="13"/>
        <v>0</v>
      </c>
      <c r="G126" s="16"/>
      <c r="H126" s="16">
        <f t="shared" si="14"/>
        <v>1671.1</v>
      </c>
      <c r="I126" s="16">
        <f t="shared" si="15"/>
        <v>13.810743801652892</v>
      </c>
      <c r="J126" s="17"/>
      <c r="K126" s="66" t="s">
        <v>399</v>
      </c>
    </row>
    <row r="127" spans="2:12" x14ac:dyDescent="0.2">
      <c r="B127">
        <f t="shared" si="17"/>
        <v>122</v>
      </c>
      <c r="C127" s="14">
        <f t="shared" si="17"/>
        <v>46589</v>
      </c>
      <c r="D127" s="58" t="s">
        <v>268</v>
      </c>
      <c r="E127" s="16">
        <v>1732.7</v>
      </c>
      <c r="F127" s="16">
        <f t="shared" si="13"/>
        <v>95.900000000000091</v>
      </c>
      <c r="G127" s="16">
        <v>0</v>
      </c>
      <c r="H127" s="16">
        <f t="shared" si="14"/>
        <v>1767</v>
      </c>
      <c r="I127" s="16">
        <f t="shared" si="15"/>
        <v>14.483606557377049</v>
      </c>
      <c r="J127" s="17">
        <v>5</v>
      </c>
      <c r="K127" s="32" t="s">
        <v>452</v>
      </c>
      <c r="L127" s="68" t="s">
        <v>268</v>
      </c>
    </row>
    <row r="128" spans="2:12" x14ac:dyDescent="0.2">
      <c r="B128">
        <f t="shared" si="17"/>
        <v>123</v>
      </c>
      <c r="C128" s="14">
        <f t="shared" si="17"/>
        <v>46590</v>
      </c>
      <c r="D128" s="15"/>
      <c r="E128" s="16">
        <v>1732.7</v>
      </c>
      <c r="F128" s="16">
        <f t="shared" si="13"/>
        <v>0</v>
      </c>
      <c r="G128" s="16"/>
      <c r="H128" s="16">
        <f t="shared" si="14"/>
        <v>1767</v>
      </c>
      <c r="I128" s="16">
        <f t="shared" si="15"/>
        <v>14.365853658536585</v>
      </c>
      <c r="J128" s="17"/>
      <c r="K128" s="13"/>
    </row>
    <row r="129" spans="2:12" x14ac:dyDescent="0.2">
      <c r="B129">
        <f t="shared" ref="B129:C142" si="18">B128+1</f>
        <v>124</v>
      </c>
      <c r="C129" s="14">
        <f t="shared" si="18"/>
        <v>46591</v>
      </c>
      <c r="D129" s="15"/>
      <c r="E129" s="16">
        <v>1732.7</v>
      </c>
      <c r="F129" s="16">
        <f t="shared" si="13"/>
        <v>0</v>
      </c>
      <c r="G129" s="16"/>
      <c r="H129" s="16">
        <f t="shared" si="14"/>
        <v>1767</v>
      </c>
      <c r="I129" s="16">
        <f t="shared" si="15"/>
        <v>14.25</v>
      </c>
      <c r="J129" s="17"/>
      <c r="K129" s="13"/>
    </row>
    <row r="130" spans="2:12" x14ac:dyDescent="0.2">
      <c r="B130">
        <f t="shared" si="18"/>
        <v>125</v>
      </c>
      <c r="C130" s="14">
        <f t="shared" si="18"/>
        <v>46592</v>
      </c>
      <c r="D130" s="15"/>
      <c r="E130" s="16">
        <v>1732.7</v>
      </c>
      <c r="F130" s="16">
        <f t="shared" si="13"/>
        <v>0</v>
      </c>
      <c r="G130" s="16"/>
      <c r="H130" s="16">
        <f t="shared" si="14"/>
        <v>1767</v>
      </c>
      <c r="I130" s="16">
        <f t="shared" si="15"/>
        <v>14.135999999999999</v>
      </c>
      <c r="J130" s="17"/>
      <c r="K130" s="13"/>
    </row>
    <row r="131" spans="2:12" x14ac:dyDescent="0.2">
      <c r="B131">
        <f t="shared" si="18"/>
        <v>126</v>
      </c>
      <c r="C131" s="14">
        <f t="shared" si="18"/>
        <v>46593</v>
      </c>
      <c r="D131" s="15"/>
      <c r="E131" s="16">
        <v>1732.7</v>
      </c>
      <c r="F131" s="16">
        <f t="shared" si="13"/>
        <v>0</v>
      </c>
      <c r="G131" s="16"/>
      <c r="H131" s="16">
        <f t="shared" si="14"/>
        <v>1767</v>
      </c>
      <c r="I131" s="16">
        <f t="shared" si="15"/>
        <v>14.023809523809524</v>
      </c>
      <c r="J131" s="17"/>
      <c r="K131" s="13"/>
    </row>
    <row r="132" spans="2:12" x14ac:dyDescent="0.2">
      <c r="B132">
        <f t="shared" si="18"/>
        <v>127</v>
      </c>
      <c r="C132" s="14">
        <f t="shared" si="18"/>
        <v>46594</v>
      </c>
      <c r="D132" s="58" t="s">
        <v>269</v>
      </c>
      <c r="E132" s="16">
        <v>1776.1</v>
      </c>
      <c r="F132" s="16">
        <f t="shared" si="13"/>
        <v>43.399999999999864</v>
      </c>
      <c r="G132" s="16">
        <v>0</v>
      </c>
      <c r="H132" s="16">
        <f t="shared" si="14"/>
        <v>1810.3999999999999</v>
      </c>
      <c r="I132" s="16">
        <f t="shared" si="15"/>
        <v>14.25511811023622</v>
      </c>
      <c r="J132" s="17">
        <v>3</v>
      </c>
      <c r="K132" s="19" t="s">
        <v>463</v>
      </c>
      <c r="L132" s="68" t="s">
        <v>269</v>
      </c>
    </row>
    <row r="133" spans="2:12" x14ac:dyDescent="0.2">
      <c r="B133">
        <f t="shared" si="18"/>
        <v>128</v>
      </c>
      <c r="C133" s="14">
        <f t="shared" si="18"/>
        <v>46595</v>
      </c>
      <c r="D133" s="15"/>
      <c r="E133" s="16">
        <v>1776.1</v>
      </c>
      <c r="F133" s="16">
        <f t="shared" si="13"/>
        <v>0</v>
      </c>
      <c r="G133" s="16"/>
      <c r="H133" s="16">
        <f t="shared" si="14"/>
        <v>1810.3999999999999</v>
      </c>
      <c r="I133" s="16">
        <f t="shared" si="15"/>
        <v>14.143749999999999</v>
      </c>
      <c r="J133" s="17"/>
      <c r="K133" s="13"/>
    </row>
    <row r="134" spans="2:12" x14ac:dyDescent="0.2">
      <c r="B134">
        <f t="shared" si="18"/>
        <v>129</v>
      </c>
      <c r="C134" s="14">
        <f t="shared" si="18"/>
        <v>46596</v>
      </c>
      <c r="D134" s="15"/>
      <c r="E134" s="16">
        <v>1776.1</v>
      </c>
      <c r="F134" s="16">
        <f t="shared" si="13"/>
        <v>0</v>
      </c>
      <c r="G134" s="16"/>
      <c r="H134" s="16">
        <f t="shared" si="14"/>
        <v>1810.3999999999999</v>
      </c>
      <c r="I134" s="16">
        <f t="shared" si="15"/>
        <v>14.034108527131782</v>
      </c>
      <c r="J134" s="17"/>
      <c r="K134" s="13"/>
    </row>
    <row r="135" spans="2:12" x14ac:dyDescent="0.2">
      <c r="B135">
        <f t="shared" si="18"/>
        <v>130</v>
      </c>
      <c r="C135" s="14">
        <f t="shared" si="18"/>
        <v>46597</v>
      </c>
      <c r="D135" s="58" t="s">
        <v>341</v>
      </c>
      <c r="E135" s="16">
        <v>1801.9</v>
      </c>
      <c r="F135" s="16">
        <f t="shared" si="13"/>
        <v>25.800000000000182</v>
      </c>
      <c r="G135" s="16">
        <v>5.8</v>
      </c>
      <c r="H135" s="16">
        <f t="shared" si="14"/>
        <v>1842</v>
      </c>
      <c r="I135" s="16">
        <f t="shared" si="15"/>
        <v>14.169230769230769</v>
      </c>
      <c r="J135" s="17">
        <v>5</v>
      </c>
      <c r="K135" s="19" t="s">
        <v>320</v>
      </c>
      <c r="L135" s="68" t="s">
        <v>402</v>
      </c>
    </row>
    <row r="136" spans="2:12" x14ac:dyDescent="0.2">
      <c r="B136">
        <f t="shared" si="18"/>
        <v>131</v>
      </c>
      <c r="C136" s="14">
        <f t="shared" si="18"/>
        <v>46598</v>
      </c>
      <c r="D136" s="15"/>
      <c r="E136" s="16">
        <v>1801.9</v>
      </c>
      <c r="F136" s="16">
        <f t="shared" si="13"/>
        <v>0</v>
      </c>
      <c r="G136" s="16"/>
      <c r="H136" s="16">
        <f t="shared" si="14"/>
        <v>1842</v>
      </c>
      <c r="I136" s="16">
        <f t="shared" si="15"/>
        <v>14.061068702290076</v>
      </c>
      <c r="J136" s="17"/>
      <c r="K136" s="13"/>
    </row>
    <row r="137" spans="2:12" x14ac:dyDescent="0.2">
      <c r="B137">
        <f t="shared" si="18"/>
        <v>132</v>
      </c>
      <c r="C137" s="14">
        <f t="shared" si="18"/>
        <v>46599</v>
      </c>
      <c r="D137" s="15"/>
      <c r="E137" s="16">
        <v>1801.9</v>
      </c>
      <c r="F137" s="16">
        <f t="shared" si="13"/>
        <v>0</v>
      </c>
      <c r="G137" s="16"/>
      <c r="H137" s="16">
        <f t="shared" si="14"/>
        <v>1842</v>
      </c>
      <c r="I137" s="16">
        <f t="shared" si="15"/>
        <v>13.954545454545455</v>
      </c>
      <c r="J137" s="17"/>
      <c r="K137" s="13"/>
    </row>
    <row r="138" spans="2:12" x14ac:dyDescent="0.2">
      <c r="B138">
        <f t="shared" si="18"/>
        <v>133</v>
      </c>
      <c r="C138" s="14">
        <f t="shared" si="18"/>
        <v>46600</v>
      </c>
      <c r="D138" s="15"/>
      <c r="E138" s="16">
        <v>1801.9</v>
      </c>
      <c r="F138" s="16">
        <f t="shared" si="13"/>
        <v>0</v>
      </c>
      <c r="G138" s="16"/>
      <c r="H138" s="16">
        <f t="shared" si="14"/>
        <v>1842</v>
      </c>
      <c r="I138" s="16">
        <f t="shared" si="15"/>
        <v>13.849624060150376</v>
      </c>
      <c r="J138" s="17"/>
      <c r="K138" s="13"/>
    </row>
    <row r="139" spans="2:12" x14ac:dyDescent="0.2">
      <c r="B139">
        <f t="shared" si="18"/>
        <v>134</v>
      </c>
      <c r="C139" s="14">
        <f t="shared" si="18"/>
        <v>46601</v>
      </c>
      <c r="D139" s="15"/>
      <c r="E139" s="16">
        <v>1801.9</v>
      </c>
      <c r="F139" s="16">
        <f t="shared" si="13"/>
        <v>0</v>
      </c>
      <c r="G139" s="16"/>
      <c r="H139" s="16">
        <f t="shared" si="14"/>
        <v>1842</v>
      </c>
      <c r="I139" s="16">
        <f t="shared" si="15"/>
        <v>13.746268656716419</v>
      </c>
    </row>
    <row r="140" spans="2:12" x14ac:dyDescent="0.2">
      <c r="B140">
        <f t="shared" si="18"/>
        <v>135</v>
      </c>
      <c r="C140" s="14">
        <f t="shared" si="18"/>
        <v>46602</v>
      </c>
      <c r="D140" s="58" t="s">
        <v>270</v>
      </c>
      <c r="E140" s="16">
        <v>1855.6</v>
      </c>
      <c r="F140" s="16">
        <f t="shared" si="13"/>
        <v>53.699999999999818</v>
      </c>
      <c r="G140" s="16">
        <v>3.6</v>
      </c>
      <c r="H140" s="16">
        <f t="shared" si="14"/>
        <v>1899.2999999999997</v>
      </c>
      <c r="I140" s="16">
        <f t="shared" si="15"/>
        <v>14.068888888888887</v>
      </c>
      <c r="J140" s="17">
        <v>5</v>
      </c>
      <c r="K140" s="32" t="s">
        <v>464</v>
      </c>
      <c r="L140" s="68" t="s">
        <v>270</v>
      </c>
    </row>
    <row r="141" spans="2:12" x14ac:dyDescent="0.2">
      <c r="B141">
        <f t="shared" si="18"/>
        <v>136</v>
      </c>
      <c r="C141" s="14">
        <f t="shared" si="18"/>
        <v>46603</v>
      </c>
      <c r="D141" s="15"/>
      <c r="E141" s="16">
        <v>1855.6</v>
      </c>
      <c r="F141" s="16">
        <f t="shared" si="13"/>
        <v>0</v>
      </c>
      <c r="G141" s="16"/>
      <c r="H141" s="16">
        <f t="shared" si="14"/>
        <v>1899.2999999999997</v>
      </c>
      <c r="I141" s="16">
        <f t="shared" si="15"/>
        <v>13.965441176470586</v>
      </c>
    </row>
    <row r="142" spans="2:12" x14ac:dyDescent="0.2">
      <c r="B142">
        <f t="shared" si="18"/>
        <v>137</v>
      </c>
      <c r="C142" s="14">
        <f t="shared" si="18"/>
        <v>46604</v>
      </c>
      <c r="D142" s="15"/>
      <c r="E142" s="16">
        <v>1855.6</v>
      </c>
      <c r="F142" s="16">
        <v>0</v>
      </c>
      <c r="G142" s="16"/>
      <c r="H142" s="16">
        <f t="shared" si="14"/>
        <v>1899.2999999999997</v>
      </c>
      <c r="I142" s="16">
        <f t="shared" si="15"/>
        <v>13.863503649635035</v>
      </c>
    </row>
    <row r="143" spans="2:12" x14ac:dyDescent="0.2">
      <c r="B143">
        <f t="shared" ref="B143:B174" si="19">B142+1</f>
        <v>138</v>
      </c>
      <c r="C143" s="14">
        <f t="shared" ref="C143:C174" si="20">C142+1</f>
        <v>46605</v>
      </c>
      <c r="D143" s="15"/>
      <c r="E143" s="16">
        <v>1855.6</v>
      </c>
      <c r="F143" s="16">
        <f>E143-E141</f>
        <v>0</v>
      </c>
      <c r="G143" s="16"/>
      <c r="H143" s="16">
        <f t="shared" si="14"/>
        <v>1899.2999999999997</v>
      </c>
      <c r="I143" s="16">
        <f t="shared" si="15"/>
        <v>13.763043478260867</v>
      </c>
    </row>
    <row r="144" spans="2:12" x14ac:dyDescent="0.2">
      <c r="B144">
        <f t="shared" si="19"/>
        <v>139</v>
      </c>
      <c r="C144" s="14">
        <f t="shared" si="20"/>
        <v>46606</v>
      </c>
      <c r="D144" s="15"/>
      <c r="E144" s="16">
        <v>1855.6</v>
      </c>
      <c r="F144" s="16">
        <f t="shared" si="13"/>
        <v>0</v>
      </c>
      <c r="G144" s="16"/>
      <c r="H144" s="16">
        <f t="shared" si="14"/>
        <v>1899.2999999999997</v>
      </c>
      <c r="I144" s="16">
        <f t="shared" si="15"/>
        <v>13.664028776978416</v>
      </c>
    </row>
    <row r="145" spans="2:12" x14ac:dyDescent="0.2">
      <c r="B145">
        <f t="shared" si="19"/>
        <v>140</v>
      </c>
      <c r="C145" s="14">
        <f t="shared" si="20"/>
        <v>46607</v>
      </c>
      <c r="D145" s="58" t="s">
        <v>271</v>
      </c>
      <c r="E145" s="16">
        <v>1918.1</v>
      </c>
      <c r="F145" s="16">
        <f t="shared" si="13"/>
        <v>62.5</v>
      </c>
      <c r="G145" s="16">
        <v>8</v>
      </c>
      <c r="H145" s="16">
        <f t="shared" si="14"/>
        <v>1969.7999999999997</v>
      </c>
      <c r="I145" s="16">
        <f t="shared" si="15"/>
        <v>14.069999999999999</v>
      </c>
      <c r="J145" s="17">
        <v>6</v>
      </c>
      <c r="K145" s="19" t="s">
        <v>372</v>
      </c>
      <c r="L145" s="68" t="s">
        <v>271</v>
      </c>
    </row>
    <row r="146" spans="2:12" x14ac:dyDescent="0.2">
      <c r="B146">
        <f t="shared" si="19"/>
        <v>141</v>
      </c>
      <c r="C146" s="14">
        <f t="shared" si="20"/>
        <v>46608</v>
      </c>
      <c r="D146" s="15"/>
      <c r="E146" s="16">
        <v>1918.1</v>
      </c>
      <c r="F146" s="16">
        <f t="shared" ref="F146:F209" si="21">E146-E145</f>
        <v>0</v>
      </c>
      <c r="G146" s="16"/>
      <c r="H146" s="16">
        <f t="shared" ref="H146:H209" si="22">H145+F146+G146</f>
        <v>1969.7999999999997</v>
      </c>
      <c r="I146" s="16">
        <f t="shared" ref="I146:I209" si="23">H146/B146</f>
        <v>13.970212765957445</v>
      </c>
      <c r="J146" s="17"/>
      <c r="K146" s="19"/>
    </row>
    <row r="147" spans="2:12" x14ac:dyDescent="0.2">
      <c r="B147">
        <f t="shared" si="19"/>
        <v>142</v>
      </c>
      <c r="C147" s="14">
        <f t="shared" si="20"/>
        <v>46609</v>
      </c>
      <c r="D147" s="15"/>
      <c r="E147" s="16">
        <v>1918.1</v>
      </c>
      <c r="F147" s="16">
        <f t="shared" si="21"/>
        <v>0</v>
      </c>
      <c r="G147" s="16"/>
      <c r="H147" s="16">
        <f t="shared" si="22"/>
        <v>1969.7999999999997</v>
      </c>
      <c r="I147" s="16">
        <f t="shared" si="23"/>
        <v>13.871830985915491</v>
      </c>
    </row>
    <row r="148" spans="2:12" x14ac:dyDescent="0.2">
      <c r="B148">
        <f t="shared" si="19"/>
        <v>143</v>
      </c>
      <c r="C148" s="14">
        <f t="shared" si="20"/>
        <v>46610</v>
      </c>
      <c r="D148" s="15"/>
      <c r="E148" s="16">
        <v>1918.1</v>
      </c>
      <c r="F148" s="16">
        <f t="shared" si="21"/>
        <v>0</v>
      </c>
      <c r="G148" s="16"/>
      <c r="H148" s="16">
        <f t="shared" si="22"/>
        <v>1969.7999999999997</v>
      </c>
      <c r="I148" s="16">
        <f t="shared" si="23"/>
        <v>13.774825174825173</v>
      </c>
      <c r="L148" s="68" t="s">
        <v>403</v>
      </c>
    </row>
    <row r="149" spans="2:12" x14ac:dyDescent="0.2">
      <c r="B149">
        <f t="shared" si="19"/>
        <v>144</v>
      </c>
      <c r="C149" s="14">
        <f t="shared" si="20"/>
        <v>46611</v>
      </c>
      <c r="D149" s="15"/>
      <c r="E149" s="16">
        <v>1918.1</v>
      </c>
      <c r="F149" s="16">
        <f t="shared" si="21"/>
        <v>0</v>
      </c>
      <c r="G149" s="16"/>
      <c r="H149" s="16">
        <f t="shared" si="22"/>
        <v>1969.7999999999997</v>
      </c>
      <c r="I149" s="16">
        <f t="shared" si="23"/>
        <v>13.679166666666665</v>
      </c>
    </row>
    <row r="150" spans="2:12" x14ac:dyDescent="0.2">
      <c r="B150">
        <f t="shared" si="19"/>
        <v>145</v>
      </c>
      <c r="C150" s="14">
        <f t="shared" si="20"/>
        <v>46612</v>
      </c>
      <c r="D150" s="15"/>
      <c r="E150" s="16">
        <v>1918.1</v>
      </c>
      <c r="F150" s="16">
        <f t="shared" si="21"/>
        <v>0</v>
      </c>
      <c r="G150" s="16"/>
      <c r="H150" s="16">
        <f t="shared" si="22"/>
        <v>1969.7999999999997</v>
      </c>
      <c r="I150" s="16">
        <f t="shared" si="23"/>
        <v>13.584827586206895</v>
      </c>
    </row>
    <row r="151" spans="2:12" x14ac:dyDescent="0.2">
      <c r="B151">
        <f t="shared" si="19"/>
        <v>146</v>
      </c>
      <c r="C151" s="14">
        <f t="shared" si="20"/>
        <v>46613</v>
      </c>
      <c r="D151" s="58" t="s">
        <v>272</v>
      </c>
      <c r="E151" s="16">
        <v>1986.8</v>
      </c>
      <c r="F151" s="16">
        <f t="shared" si="21"/>
        <v>68.700000000000045</v>
      </c>
      <c r="G151" s="16"/>
      <c r="H151" s="16">
        <f t="shared" si="22"/>
        <v>2038.4999999999998</v>
      </c>
      <c r="I151" s="16">
        <f t="shared" si="23"/>
        <v>13.962328767123287</v>
      </c>
      <c r="J151" s="17">
        <v>6</v>
      </c>
      <c r="K151" s="32" t="s">
        <v>465</v>
      </c>
      <c r="L151" s="68" t="s">
        <v>404</v>
      </c>
    </row>
    <row r="152" spans="2:12" x14ac:dyDescent="0.2">
      <c r="B152">
        <f t="shared" si="19"/>
        <v>147</v>
      </c>
      <c r="C152" s="14">
        <f t="shared" si="20"/>
        <v>46614</v>
      </c>
      <c r="D152" s="15"/>
      <c r="E152" s="16">
        <v>1986.8</v>
      </c>
      <c r="F152" s="16">
        <f t="shared" si="21"/>
        <v>0</v>
      </c>
      <c r="G152" s="16"/>
      <c r="H152" s="16">
        <f t="shared" si="22"/>
        <v>2038.4999999999998</v>
      </c>
      <c r="I152" s="16">
        <f t="shared" si="23"/>
        <v>13.867346938775508</v>
      </c>
    </row>
    <row r="153" spans="2:12" x14ac:dyDescent="0.2">
      <c r="B153">
        <f t="shared" si="19"/>
        <v>148</v>
      </c>
      <c r="C153" s="14">
        <f t="shared" si="20"/>
        <v>46615</v>
      </c>
      <c r="D153" s="15"/>
      <c r="E153" s="16">
        <v>1986.8</v>
      </c>
      <c r="F153" s="16">
        <f t="shared" si="21"/>
        <v>0</v>
      </c>
      <c r="G153" s="16"/>
      <c r="H153" s="16">
        <f t="shared" si="22"/>
        <v>2038.4999999999998</v>
      </c>
      <c r="I153" s="16">
        <f t="shared" si="23"/>
        <v>13.773648648648647</v>
      </c>
    </row>
    <row r="154" spans="2:12" x14ac:dyDescent="0.2">
      <c r="B154">
        <f t="shared" si="19"/>
        <v>149</v>
      </c>
      <c r="C154" s="14">
        <f t="shared" si="20"/>
        <v>46616</v>
      </c>
      <c r="E154" s="16">
        <v>2023.4</v>
      </c>
      <c r="F154" s="16">
        <f t="shared" si="21"/>
        <v>36.600000000000136</v>
      </c>
      <c r="G154" s="16"/>
      <c r="H154" s="16">
        <f t="shared" si="22"/>
        <v>2075.1</v>
      </c>
      <c r="I154" s="16">
        <f t="shared" si="23"/>
        <v>13.926845637583892</v>
      </c>
      <c r="J154" s="17"/>
      <c r="K154" s="32" t="s">
        <v>373</v>
      </c>
      <c r="L154" s="68" t="s">
        <v>405</v>
      </c>
    </row>
    <row r="155" spans="2:12" x14ac:dyDescent="0.2">
      <c r="B155">
        <f t="shared" si="19"/>
        <v>150</v>
      </c>
      <c r="C155" s="14">
        <f t="shared" si="20"/>
        <v>46617</v>
      </c>
      <c r="D155" s="15"/>
      <c r="E155" s="16">
        <v>2023.4</v>
      </c>
      <c r="F155" s="16">
        <f t="shared" si="21"/>
        <v>0</v>
      </c>
      <c r="G155" s="16"/>
      <c r="H155" s="16">
        <f t="shared" si="22"/>
        <v>2075.1</v>
      </c>
      <c r="I155" s="16">
        <f t="shared" si="23"/>
        <v>13.834</v>
      </c>
      <c r="J155" s="22"/>
      <c r="K155" s="19"/>
    </row>
    <row r="156" spans="2:12" ht="25.5" x14ac:dyDescent="0.2">
      <c r="B156">
        <f t="shared" si="19"/>
        <v>151</v>
      </c>
      <c r="C156" s="14">
        <f t="shared" si="20"/>
        <v>46618</v>
      </c>
      <c r="D156" s="58" t="s">
        <v>345</v>
      </c>
      <c r="E156" s="16">
        <v>2060.1</v>
      </c>
      <c r="F156" s="16">
        <f t="shared" si="21"/>
        <v>36.699999999999818</v>
      </c>
      <c r="G156" s="16"/>
      <c r="H156" s="16">
        <f t="shared" si="22"/>
        <v>2111.7999999999997</v>
      </c>
      <c r="I156" s="16">
        <f t="shared" si="23"/>
        <v>13.985430463576158</v>
      </c>
      <c r="J156" s="10">
        <v>7</v>
      </c>
      <c r="K156" s="54" t="s">
        <v>467</v>
      </c>
      <c r="L156" s="68" t="s">
        <v>406</v>
      </c>
    </row>
    <row r="157" spans="2:12" x14ac:dyDescent="0.2">
      <c r="B157">
        <f t="shared" si="19"/>
        <v>152</v>
      </c>
      <c r="C157" s="14">
        <f t="shared" si="20"/>
        <v>46619</v>
      </c>
      <c r="D157" s="15"/>
      <c r="E157" s="16">
        <v>2060.1</v>
      </c>
      <c r="F157" s="16">
        <f t="shared" si="21"/>
        <v>0</v>
      </c>
      <c r="G157" s="16"/>
      <c r="H157" s="16">
        <f t="shared" si="22"/>
        <v>2111.7999999999997</v>
      </c>
      <c r="I157" s="16">
        <f t="shared" si="23"/>
        <v>13.893421052631577</v>
      </c>
    </row>
    <row r="158" spans="2:12" x14ac:dyDescent="0.2">
      <c r="B158">
        <f t="shared" si="19"/>
        <v>153</v>
      </c>
      <c r="C158" s="14">
        <f t="shared" si="20"/>
        <v>46620</v>
      </c>
      <c r="D158" s="15"/>
      <c r="E158" s="16">
        <v>2060.1</v>
      </c>
      <c r="F158" s="16">
        <f t="shared" si="21"/>
        <v>0</v>
      </c>
      <c r="G158" s="16"/>
      <c r="H158" s="16">
        <f t="shared" si="22"/>
        <v>2111.7999999999997</v>
      </c>
      <c r="I158" s="16">
        <f t="shared" si="23"/>
        <v>13.802614379084966</v>
      </c>
    </row>
    <row r="159" spans="2:12" x14ac:dyDescent="0.2">
      <c r="B159">
        <f t="shared" si="19"/>
        <v>154</v>
      </c>
      <c r="C159" s="14">
        <f t="shared" si="20"/>
        <v>46621</v>
      </c>
      <c r="D159" s="15"/>
      <c r="E159" s="16">
        <v>2060.1</v>
      </c>
      <c r="F159" s="16">
        <f t="shared" si="21"/>
        <v>0</v>
      </c>
      <c r="G159" s="16"/>
      <c r="H159" s="16">
        <f t="shared" si="22"/>
        <v>2111.7999999999997</v>
      </c>
      <c r="I159" s="16">
        <f t="shared" si="23"/>
        <v>13.712987012987011</v>
      </c>
    </row>
    <row r="160" spans="2:12" x14ac:dyDescent="0.2">
      <c r="B160">
        <f t="shared" si="19"/>
        <v>155</v>
      </c>
      <c r="C160" s="14">
        <f t="shared" si="20"/>
        <v>46622</v>
      </c>
      <c r="D160" s="15"/>
      <c r="E160" s="16">
        <v>2060.1</v>
      </c>
      <c r="F160" s="16">
        <f t="shared" si="21"/>
        <v>0</v>
      </c>
      <c r="G160" s="16"/>
      <c r="H160" s="16">
        <f t="shared" si="22"/>
        <v>2111.7999999999997</v>
      </c>
      <c r="I160" s="16">
        <f t="shared" si="23"/>
        <v>13.624516129032257</v>
      </c>
    </row>
    <row r="161" spans="2:11" x14ac:dyDescent="0.2">
      <c r="B161">
        <f t="shared" si="19"/>
        <v>156</v>
      </c>
      <c r="C161" s="14">
        <f t="shared" si="20"/>
        <v>46623</v>
      </c>
      <c r="D161" s="15"/>
      <c r="E161" s="16">
        <v>2060.1</v>
      </c>
      <c r="F161" s="16">
        <f t="shared" si="21"/>
        <v>0</v>
      </c>
      <c r="G161" s="16"/>
      <c r="H161" s="16">
        <f t="shared" si="22"/>
        <v>2111.7999999999997</v>
      </c>
      <c r="I161" s="16">
        <f t="shared" si="23"/>
        <v>13.537179487179486</v>
      </c>
      <c r="J161" s="17"/>
      <c r="K161" s="32"/>
    </row>
    <row r="162" spans="2:11" x14ac:dyDescent="0.2">
      <c r="B162">
        <f t="shared" si="19"/>
        <v>157</v>
      </c>
      <c r="C162" s="14">
        <f t="shared" si="20"/>
        <v>46624</v>
      </c>
      <c r="D162" s="58" t="s">
        <v>273</v>
      </c>
      <c r="E162" s="16">
        <v>2159.5</v>
      </c>
      <c r="F162" s="16">
        <f t="shared" si="21"/>
        <v>99.400000000000091</v>
      </c>
      <c r="G162" s="16"/>
      <c r="H162" s="16">
        <f t="shared" si="22"/>
        <v>2211.1999999999998</v>
      </c>
      <c r="I162" s="16">
        <f t="shared" si="23"/>
        <v>14.084076433121018</v>
      </c>
      <c r="J162" s="17">
        <v>4</v>
      </c>
      <c r="K162" s="19" t="s">
        <v>466</v>
      </c>
    </row>
    <row r="163" spans="2:11" x14ac:dyDescent="0.2">
      <c r="B163">
        <f t="shared" si="19"/>
        <v>158</v>
      </c>
      <c r="C163" s="14">
        <f t="shared" si="20"/>
        <v>46625</v>
      </c>
      <c r="D163" s="58"/>
      <c r="E163" s="16">
        <v>2160.1999999999998</v>
      </c>
      <c r="F163" s="16">
        <f t="shared" si="21"/>
        <v>0.6999999999998181</v>
      </c>
      <c r="G163" s="16"/>
      <c r="H163" s="16">
        <f t="shared" si="22"/>
        <v>2211.8999999999996</v>
      </c>
      <c r="I163" s="16">
        <f t="shared" si="23"/>
        <v>13.999367088607592</v>
      </c>
      <c r="J163" s="17"/>
      <c r="K163" s="19" t="s">
        <v>274</v>
      </c>
    </row>
    <row r="164" spans="2:11" x14ac:dyDescent="0.2">
      <c r="B164">
        <f t="shared" si="19"/>
        <v>159</v>
      </c>
      <c r="C164" s="14">
        <f t="shared" si="20"/>
        <v>46626</v>
      </c>
      <c r="D164" s="15"/>
      <c r="E164" s="16">
        <v>2169.4</v>
      </c>
      <c r="F164" s="16">
        <f t="shared" si="21"/>
        <v>9.2000000000002728</v>
      </c>
      <c r="G164" s="16"/>
      <c r="H164" s="16">
        <f t="shared" si="22"/>
        <v>2221.1</v>
      </c>
      <c r="I164" s="16">
        <f t="shared" si="23"/>
        <v>13.969182389937107</v>
      </c>
      <c r="J164" s="17"/>
      <c r="K164" s="31" t="s">
        <v>407</v>
      </c>
    </row>
    <row r="165" spans="2:11" x14ac:dyDescent="0.2">
      <c r="B165">
        <f t="shared" si="19"/>
        <v>160</v>
      </c>
      <c r="C165" s="14">
        <f t="shared" si="20"/>
        <v>46627</v>
      </c>
      <c r="D165" s="15"/>
      <c r="E165" s="16">
        <v>2174.6</v>
      </c>
      <c r="F165" s="16">
        <f t="shared" si="21"/>
        <v>5.1999999999998181</v>
      </c>
      <c r="G165" s="16"/>
      <c r="H165" s="16">
        <f t="shared" si="22"/>
        <v>2226.2999999999997</v>
      </c>
      <c r="I165" s="16">
        <f t="shared" si="23"/>
        <v>13.914374999999998</v>
      </c>
      <c r="J165" s="17"/>
      <c r="K165" s="11" t="s">
        <v>342</v>
      </c>
    </row>
    <row r="166" spans="2:11" x14ac:dyDescent="0.2">
      <c r="B166">
        <f t="shared" si="19"/>
        <v>161</v>
      </c>
      <c r="C166" s="14">
        <f t="shared" si="20"/>
        <v>46628</v>
      </c>
      <c r="D166" s="15"/>
      <c r="E166" s="16">
        <v>2174.6</v>
      </c>
      <c r="F166" s="16">
        <f t="shared" si="21"/>
        <v>0</v>
      </c>
      <c r="G166" s="16"/>
      <c r="H166" s="16">
        <f t="shared" si="22"/>
        <v>2226.2999999999997</v>
      </c>
      <c r="I166" s="16">
        <f t="shared" si="23"/>
        <v>13.827950310559004</v>
      </c>
      <c r="J166" s="17"/>
    </row>
    <row r="167" spans="2:11" ht="25.5" x14ac:dyDescent="0.2">
      <c r="B167">
        <f t="shared" si="19"/>
        <v>162</v>
      </c>
      <c r="C167" s="14">
        <f t="shared" si="20"/>
        <v>46629</v>
      </c>
      <c r="D167" s="15"/>
      <c r="E167" s="16"/>
      <c r="F167" s="16"/>
      <c r="G167" s="16">
        <f>SUM(G2:G166)</f>
        <v>42.9</v>
      </c>
      <c r="H167" s="16"/>
      <c r="I167" s="16">
        <f t="shared" si="23"/>
        <v>0</v>
      </c>
      <c r="J167" s="17"/>
      <c r="K167" s="13" t="s">
        <v>283</v>
      </c>
    </row>
    <row r="168" spans="2:11" x14ac:dyDescent="0.2">
      <c r="B168">
        <f t="shared" si="19"/>
        <v>163</v>
      </c>
      <c r="C168" s="14">
        <f t="shared" si="20"/>
        <v>46630</v>
      </c>
      <c r="D168" s="76" t="str">
        <f>("Year: "&amp;YEAR(C168))</f>
        <v>Year: 2027</v>
      </c>
      <c r="E168" s="16"/>
      <c r="F168" s="16">
        <f t="shared" si="21"/>
        <v>0</v>
      </c>
      <c r="G168" s="16"/>
      <c r="H168" s="16">
        <f t="shared" si="22"/>
        <v>0</v>
      </c>
      <c r="I168" s="16">
        <f t="shared" si="23"/>
        <v>0</v>
      </c>
      <c r="J168" s="17">
        <f>SUM(J2:J167)</f>
        <v>165</v>
      </c>
      <c r="K168" s="19" t="s">
        <v>275</v>
      </c>
    </row>
    <row r="169" spans="2:11" x14ac:dyDescent="0.2">
      <c r="B169">
        <f t="shared" si="19"/>
        <v>164</v>
      </c>
      <c r="C169" s="14">
        <f t="shared" si="20"/>
        <v>46631</v>
      </c>
      <c r="D169" s="15"/>
      <c r="E169" s="16"/>
      <c r="F169" s="16">
        <f t="shared" si="21"/>
        <v>0</v>
      </c>
      <c r="G169" s="16"/>
      <c r="H169" s="16">
        <f t="shared" si="22"/>
        <v>0</v>
      </c>
      <c r="I169" s="16">
        <f t="shared" si="23"/>
        <v>0</v>
      </c>
      <c r="J169" s="17">
        <v>31</v>
      </c>
      <c r="K169" s="13" t="s">
        <v>374</v>
      </c>
    </row>
    <row r="170" spans="2:11" x14ac:dyDescent="0.2">
      <c r="B170">
        <f t="shared" si="19"/>
        <v>165</v>
      </c>
      <c r="C170" s="14">
        <f t="shared" si="20"/>
        <v>46632</v>
      </c>
      <c r="D170" s="15"/>
      <c r="E170" s="16"/>
      <c r="F170" s="16">
        <f t="shared" si="21"/>
        <v>0</v>
      </c>
      <c r="G170" s="16"/>
      <c r="H170" s="16">
        <f t="shared" si="22"/>
        <v>0</v>
      </c>
      <c r="I170" s="16">
        <f t="shared" si="23"/>
        <v>0</v>
      </c>
      <c r="J170" s="17"/>
      <c r="K170" s="55" t="s">
        <v>344</v>
      </c>
    </row>
    <row r="171" spans="2:11" x14ac:dyDescent="0.2">
      <c r="B171">
        <f t="shared" si="19"/>
        <v>166</v>
      </c>
      <c r="C171" s="14">
        <f t="shared" si="20"/>
        <v>46633</v>
      </c>
      <c r="D171" s="15"/>
      <c r="E171" s="16"/>
      <c r="F171" s="16">
        <f t="shared" si="21"/>
        <v>0</v>
      </c>
      <c r="G171" s="16"/>
      <c r="H171" s="16">
        <f t="shared" si="22"/>
        <v>0</v>
      </c>
      <c r="I171" s="16">
        <f t="shared" si="23"/>
        <v>0</v>
      </c>
      <c r="J171" s="17"/>
      <c r="K171" s="32" t="s">
        <v>349</v>
      </c>
    </row>
    <row r="172" spans="2:11" x14ac:dyDescent="0.2">
      <c r="B172">
        <f t="shared" si="19"/>
        <v>167</v>
      </c>
      <c r="C172" s="14">
        <f t="shared" si="20"/>
        <v>46634</v>
      </c>
      <c r="D172" s="15"/>
      <c r="E172" s="16"/>
      <c r="F172" s="16">
        <f t="shared" si="21"/>
        <v>0</v>
      </c>
      <c r="G172" s="16"/>
      <c r="H172" s="16">
        <f t="shared" si="22"/>
        <v>0</v>
      </c>
      <c r="I172" s="16">
        <f t="shared" si="23"/>
        <v>0</v>
      </c>
      <c r="J172" s="17"/>
      <c r="K172" s="60" t="s">
        <v>348</v>
      </c>
    </row>
    <row r="173" spans="2:11" x14ac:dyDescent="0.2">
      <c r="B173">
        <f t="shared" si="19"/>
        <v>168</v>
      </c>
      <c r="C173" s="14">
        <f t="shared" si="20"/>
        <v>46635</v>
      </c>
      <c r="D173" s="15"/>
      <c r="E173" s="16"/>
      <c r="F173" s="16">
        <f t="shared" si="21"/>
        <v>0</v>
      </c>
      <c r="G173" s="16"/>
      <c r="H173" s="16">
        <f t="shared" si="22"/>
        <v>0</v>
      </c>
      <c r="I173" s="16">
        <f t="shared" si="23"/>
        <v>0</v>
      </c>
      <c r="J173" s="17"/>
      <c r="K173" s="66" t="s">
        <v>346</v>
      </c>
    </row>
    <row r="174" spans="2:11" x14ac:dyDescent="0.2">
      <c r="B174">
        <f t="shared" si="19"/>
        <v>169</v>
      </c>
      <c r="C174" s="14">
        <f t="shared" si="20"/>
        <v>46636</v>
      </c>
      <c r="D174" s="15"/>
      <c r="E174" s="16"/>
      <c r="F174" s="16">
        <f t="shared" si="21"/>
        <v>0</v>
      </c>
      <c r="G174" s="16"/>
      <c r="H174" s="16">
        <f t="shared" si="22"/>
        <v>0</v>
      </c>
      <c r="I174" s="16">
        <f t="shared" si="23"/>
        <v>0</v>
      </c>
      <c r="J174" s="17"/>
      <c r="K174" s="19" t="s">
        <v>427</v>
      </c>
    </row>
    <row r="175" spans="2:11" x14ac:dyDescent="0.2">
      <c r="B175">
        <f t="shared" ref="B175:B211" si="24">B174+1</f>
        <v>170</v>
      </c>
      <c r="C175" s="14">
        <f t="shared" ref="C175:C211" si="25">C174+1</f>
        <v>46637</v>
      </c>
      <c r="D175" s="15"/>
      <c r="E175" s="16"/>
      <c r="F175" s="16">
        <f t="shared" si="21"/>
        <v>0</v>
      </c>
      <c r="G175" s="16"/>
      <c r="H175" s="16">
        <f t="shared" si="22"/>
        <v>0</v>
      </c>
      <c r="I175" s="16">
        <f t="shared" si="23"/>
        <v>0</v>
      </c>
      <c r="J175" s="17"/>
      <c r="K175" s="19" t="s">
        <v>377</v>
      </c>
    </row>
    <row r="176" spans="2:11" x14ac:dyDescent="0.2">
      <c r="B176">
        <f t="shared" si="24"/>
        <v>171</v>
      </c>
      <c r="C176" s="14">
        <f t="shared" si="25"/>
        <v>46638</v>
      </c>
      <c r="D176" s="15"/>
      <c r="E176" s="16"/>
      <c r="F176" s="16">
        <f t="shared" si="21"/>
        <v>0</v>
      </c>
      <c r="G176" s="16"/>
      <c r="H176" s="16">
        <f t="shared" si="22"/>
        <v>0</v>
      </c>
      <c r="I176" s="16">
        <f t="shared" si="23"/>
        <v>0</v>
      </c>
      <c r="J176" s="17"/>
      <c r="K176" s="19" t="s">
        <v>347</v>
      </c>
    </row>
    <row r="177" spans="2:11" x14ac:dyDescent="0.2">
      <c r="B177">
        <f t="shared" si="24"/>
        <v>172</v>
      </c>
      <c r="C177" s="14">
        <f t="shared" si="25"/>
        <v>46639</v>
      </c>
      <c r="D177" s="15"/>
      <c r="E177" s="16"/>
      <c r="F177" s="16">
        <f t="shared" si="21"/>
        <v>0</v>
      </c>
      <c r="G177" s="16"/>
      <c r="H177" s="16">
        <f t="shared" si="22"/>
        <v>0</v>
      </c>
      <c r="I177" s="16">
        <f t="shared" si="23"/>
        <v>0</v>
      </c>
      <c r="J177" s="17"/>
      <c r="K177" s="13"/>
    </row>
    <row r="178" spans="2:11" x14ac:dyDescent="0.2">
      <c r="B178">
        <f t="shared" si="24"/>
        <v>173</v>
      </c>
      <c r="C178" s="14">
        <f t="shared" si="25"/>
        <v>46640</v>
      </c>
      <c r="D178" s="15"/>
      <c r="E178" s="16"/>
      <c r="F178" s="16">
        <f t="shared" si="21"/>
        <v>0</v>
      </c>
      <c r="G178" s="16"/>
      <c r="H178" s="16">
        <f t="shared" si="22"/>
        <v>0</v>
      </c>
      <c r="I178" s="16">
        <f t="shared" si="23"/>
        <v>0</v>
      </c>
      <c r="J178" s="17"/>
    </row>
    <row r="179" spans="2:11" x14ac:dyDescent="0.2">
      <c r="B179">
        <f t="shared" si="24"/>
        <v>174</v>
      </c>
      <c r="C179" s="14">
        <f t="shared" si="25"/>
        <v>46641</v>
      </c>
      <c r="D179" s="15"/>
      <c r="E179" s="16"/>
      <c r="F179" s="16">
        <f t="shared" si="21"/>
        <v>0</v>
      </c>
      <c r="G179" s="16"/>
      <c r="H179" s="16">
        <f t="shared" si="22"/>
        <v>0</v>
      </c>
      <c r="I179" s="16">
        <f t="shared" si="23"/>
        <v>0</v>
      </c>
      <c r="J179" s="17"/>
    </row>
    <row r="180" spans="2:11" x14ac:dyDescent="0.2">
      <c r="B180">
        <f t="shared" si="24"/>
        <v>175</v>
      </c>
      <c r="C180" s="14">
        <f t="shared" si="25"/>
        <v>46642</v>
      </c>
      <c r="D180" s="15"/>
      <c r="E180" s="16"/>
      <c r="F180" s="16">
        <f t="shared" si="21"/>
        <v>0</v>
      </c>
      <c r="G180" s="16"/>
      <c r="H180" s="16">
        <f t="shared" si="22"/>
        <v>0</v>
      </c>
      <c r="I180" s="16">
        <f t="shared" si="23"/>
        <v>0</v>
      </c>
      <c r="J180" s="17"/>
    </row>
    <row r="181" spans="2:11" x14ac:dyDescent="0.2">
      <c r="B181">
        <f t="shared" si="24"/>
        <v>176</v>
      </c>
      <c r="C181" s="14">
        <f t="shared" si="25"/>
        <v>46643</v>
      </c>
      <c r="D181" s="15"/>
      <c r="E181" s="16"/>
      <c r="F181" s="16">
        <f t="shared" si="21"/>
        <v>0</v>
      </c>
      <c r="G181" s="16"/>
      <c r="H181" s="16">
        <f t="shared" si="22"/>
        <v>0</v>
      </c>
      <c r="I181" s="16">
        <f t="shared" si="23"/>
        <v>0</v>
      </c>
      <c r="J181" s="17"/>
      <c r="K181" s="63" t="s">
        <v>360</v>
      </c>
    </row>
    <row r="182" spans="2:11" x14ac:dyDescent="0.2">
      <c r="B182">
        <f t="shared" si="24"/>
        <v>177</v>
      </c>
      <c r="C182" s="14">
        <f t="shared" si="25"/>
        <v>46644</v>
      </c>
      <c r="D182" s="15"/>
      <c r="E182" s="16"/>
      <c r="F182" s="16">
        <f t="shared" si="21"/>
        <v>0</v>
      </c>
      <c r="G182" s="16"/>
      <c r="H182" s="16">
        <f t="shared" si="22"/>
        <v>0</v>
      </c>
      <c r="I182" s="16">
        <f t="shared" si="23"/>
        <v>0</v>
      </c>
      <c r="J182" s="17"/>
      <c r="K182" s="31" t="s">
        <v>307</v>
      </c>
    </row>
    <row r="183" spans="2:11" x14ac:dyDescent="0.2">
      <c r="B183">
        <f t="shared" si="24"/>
        <v>178</v>
      </c>
      <c r="C183" s="14">
        <f t="shared" si="25"/>
        <v>46645</v>
      </c>
      <c r="D183" s="15"/>
      <c r="E183" s="16"/>
      <c r="F183" s="16">
        <f t="shared" si="21"/>
        <v>0</v>
      </c>
      <c r="G183" s="16"/>
      <c r="H183" s="16">
        <f t="shared" si="22"/>
        <v>0</v>
      </c>
      <c r="I183" s="16">
        <f t="shared" si="23"/>
        <v>0</v>
      </c>
      <c r="J183" s="17"/>
      <c r="K183" s="11" t="s">
        <v>358</v>
      </c>
    </row>
    <row r="184" spans="2:11" x14ac:dyDescent="0.2">
      <c r="B184">
        <f t="shared" si="24"/>
        <v>179</v>
      </c>
      <c r="C184" s="14">
        <f t="shared" si="25"/>
        <v>46646</v>
      </c>
      <c r="D184" s="15"/>
      <c r="E184" s="16"/>
      <c r="F184" s="16">
        <f t="shared" si="21"/>
        <v>0</v>
      </c>
      <c r="G184" s="16"/>
      <c r="H184" s="16">
        <f t="shared" si="22"/>
        <v>0</v>
      </c>
      <c r="I184" s="16">
        <f t="shared" si="23"/>
        <v>0</v>
      </c>
      <c r="J184" s="17"/>
      <c r="K184" s="11" t="s">
        <v>311</v>
      </c>
    </row>
    <row r="185" spans="2:11" x14ac:dyDescent="0.2">
      <c r="B185">
        <f t="shared" si="24"/>
        <v>180</v>
      </c>
      <c r="C185" s="14">
        <f t="shared" si="25"/>
        <v>46647</v>
      </c>
      <c r="D185" s="15"/>
      <c r="E185" s="16"/>
      <c r="F185" s="16">
        <f t="shared" si="21"/>
        <v>0</v>
      </c>
      <c r="G185" s="16"/>
      <c r="H185" s="16">
        <f t="shared" si="22"/>
        <v>0</v>
      </c>
      <c r="I185" s="16">
        <f t="shared" si="23"/>
        <v>0</v>
      </c>
      <c r="J185" s="17"/>
      <c r="K185" s="11" t="s">
        <v>357</v>
      </c>
    </row>
    <row r="186" spans="2:11" x14ac:dyDescent="0.2">
      <c r="B186">
        <f t="shared" si="24"/>
        <v>181</v>
      </c>
      <c r="C186" s="14">
        <f t="shared" si="25"/>
        <v>46648</v>
      </c>
      <c r="D186" s="15"/>
      <c r="E186" s="16"/>
      <c r="F186" s="16">
        <f t="shared" si="21"/>
        <v>0</v>
      </c>
      <c r="G186" s="16"/>
      <c r="H186" s="16">
        <f t="shared" si="22"/>
        <v>0</v>
      </c>
      <c r="I186" s="16">
        <f t="shared" si="23"/>
        <v>0</v>
      </c>
      <c r="J186" s="17"/>
      <c r="K186" s="19" t="s">
        <v>359</v>
      </c>
    </row>
    <row r="187" spans="2:11" x14ac:dyDescent="0.2">
      <c r="B187">
        <f t="shared" si="24"/>
        <v>182</v>
      </c>
      <c r="C187" s="14">
        <f t="shared" si="25"/>
        <v>46649</v>
      </c>
      <c r="D187" s="15"/>
      <c r="E187" s="16"/>
      <c r="F187" s="16">
        <f t="shared" si="21"/>
        <v>0</v>
      </c>
      <c r="G187" s="16"/>
      <c r="H187" s="16">
        <f t="shared" si="22"/>
        <v>0</v>
      </c>
      <c r="I187" s="16">
        <f t="shared" si="23"/>
        <v>0</v>
      </c>
      <c r="J187" s="17"/>
      <c r="K187" s="13" t="s">
        <v>356</v>
      </c>
    </row>
    <row r="188" spans="2:11" x14ac:dyDescent="0.2">
      <c r="B188">
        <f t="shared" si="24"/>
        <v>183</v>
      </c>
      <c r="C188" s="14">
        <f t="shared" si="25"/>
        <v>46650</v>
      </c>
      <c r="D188" s="15"/>
      <c r="E188" s="16"/>
      <c r="F188" s="16">
        <f t="shared" si="21"/>
        <v>0</v>
      </c>
      <c r="G188" s="16"/>
      <c r="H188" s="16">
        <f t="shared" si="22"/>
        <v>0</v>
      </c>
      <c r="I188" s="16">
        <f t="shared" si="23"/>
        <v>0</v>
      </c>
      <c r="J188" s="17"/>
      <c r="K188" s="13" t="s">
        <v>355</v>
      </c>
    </row>
    <row r="189" spans="2:11" x14ac:dyDescent="0.2">
      <c r="B189">
        <f t="shared" si="24"/>
        <v>184</v>
      </c>
      <c r="C189" s="14">
        <f t="shared" si="25"/>
        <v>46651</v>
      </c>
      <c r="D189" s="15"/>
      <c r="E189" s="16"/>
      <c r="F189" s="16">
        <f t="shared" si="21"/>
        <v>0</v>
      </c>
      <c r="G189" s="16"/>
      <c r="H189" s="16">
        <f t="shared" si="22"/>
        <v>0</v>
      </c>
      <c r="I189" s="16">
        <f t="shared" si="23"/>
        <v>0</v>
      </c>
      <c r="J189" s="17"/>
      <c r="K189" s="13" t="s">
        <v>354</v>
      </c>
    </row>
    <row r="190" spans="2:11" x14ac:dyDescent="0.2">
      <c r="B190">
        <f t="shared" si="24"/>
        <v>185</v>
      </c>
      <c r="C190" s="14">
        <f t="shared" si="25"/>
        <v>46652</v>
      </c>
      <c r="D190" s="15"/>
      <c r="E190" s="16"/>
      <c r="F190" s="16">
        <f t="shared" si="21"/>
        <v>0</v>
      </c>
      <c r="G190" s="16"/>
      <c r="H190" s="16">
        <f t="shared" si="22"/>
        <v>0</v>
      </c>
      <c r="I190" s="16">
        <f t="shared" si="23"/>
        <v>0</v>
      </c>
      <c r="J190" s="17"/>
      <c r="K190" s="13" t="s">
        <v>353</v>
      </c>
    </row>
    <row r="191" spans="2:11" x14ac:dyDescent="0.2">
      <c r="B191">
        <f t="shared" si="24"/>
        <v>186</v>
      </c>
      <c r="C191" s="14">
        <f t="shared" si="25"/>
        <v>46653</v>
      </c>
      <c r="D191" s="15"/>
      <c r="E191" s="16"/>
      <c r="F191" s="16">
        <f t="shared" si="21"/>
        <v>0</v>
      </c>
      <c r="G191" s="16"/>
      <c r="H191" s="16">
        <f t="shared" si="22"/>
        <v>0</v>
      </c>
      <c r="I191" s="16">
        <f t="shared" si="23"/>
        <v>0</v>
      </c>
      <c r="J191" s="17"/>
      <c r="K191" s="13" t="s">
        <v>352</v>
      </c>
    </row>
    <row r="192" spans="2:11" x14ac:dyDescent="0.2">
      <c r="B192">
        <f t="shared" si="24"/>
        <v>187</v>
      </c>
      <c r="C192" s="14">
        <f t="shared" si="25"/>
        <v>46654</v>
      </c>
      <c r="D192" s="15"/>
      <c r="E192" s="16"/>
      <c r="F192" s="16">
        <f t="shared" si="21"/>
        <v>0</v>
      </c>
      <c r="G192" s="16"/>
      <c r="H192" s="16">
        <f t="shared" si="22"/>
        <v>0</v>
      </c>
      <c r="I192" s="16">
        <f t="shared" si="23"/>
        <v>0</v>
      </c>
      <c r="J192" s="17"/>
      <c r="K192" s="13" t="s">
        <v>351</v>
      </c>
    </row>
    <row r="193" spans="2:11" x14ac:dyDescent="0.2">
      <c r="B193">
        <f t="shared" si="24"/>
        <v>188</v>
      </c>
      <c r="C193" s="14">
        <f t="shared" si="25"/>
        <v>46655</v>
      </c>
      <c r="D193" s="15"/>
      <c r="E193" s="16"/>
      <c r="F193" s="16">
        <f t="shared" si="21"/>
        <v>0</v>
      </c>
      <c r="G193" s="16"/>
      <c r="H193" s="16">
        <f t="shared" si="22"/>
        <v>0</v>
      </c>
      <c r="I193" s="16">
        <f t="shared" si="23"/>
        <v>0</v>
      </c>
      <c r="J193" s="17"/>
      <c r="K193" s="13" t="s">
        <v>319</v>
      </c>
    </row>
    <row r="194" spans="2:11" x14ac:dyDescent="0.2">
      <c r="B194">
        <f t="shared" si="24"/>
        <v>189</v>
      </c>
      <c r="C194" s="14">
        <f t="shared" si="25"/>
        <v>46656</v>
      </c>
      <c r="D194" s="15"/>
      <c r="E194" s="16"/>
      <c r="F194" s="16">
        <f t="shared" si="21"/>
        <v>0</v>
      </c>
      <c r="G194" s="16"/>
      <c r="H194" s="16">
        <f t="shared" si="22"/>
        <v>0</v>
      </c>
      <c r="I194" s="16">
        <f t="shared" si="23"/>
        <v>0</v>
      </c>
      <c r="J194" s="17"/>
      <c r="K194" s="61" t="s">
        <v>350</v>
      </c>
    </row>
    <row r="195" spans="2:11" x14ac:dyDescent="0.2">
      <c r="B195">
        <f t="shared" si="24"/>
        <v>190</v>
      </c>
      <c r="C195" s="14">
        <f t="shared" si="25"/>
        <v>46657</v>
      </c>
      <c r="D195" s="15"/>
      <c r="E195" s="16"/>
      <c r="F195" s="16">
        <f t="shared" si="21"/>
        <v>0</v>
      </c>
      <c r="G195" s="16"/>
      <c r="H195" s="16">
        <f t="shared" si="22"/>
        <v>0</v>
      </c>
      <c r="I195" s="16">
        <f t="shared" si="23"/>
        <v>0</v>
      </c>
      <c r="J195" s="17"/>
      <c r="K195" s="62"/>
    </row>
    <row r="196" spans="2:11" x14ac:dyDescent="0.2">
      <c r="B196">
        <f t="shared" si="24"/>
        <v>191</v>
      </c>
      <c r="C196" s="14">
        <f t="shared" si="25"/>
        <v>46658</v>
      </c>
      <c r="D196" s="15"/>
      <c r="E196" s="16"/>
      <c r="F196" s="16">
        <f t="shared" si="21"/>
        <v>0</v>
      </c>
      <c r="G196" s="16"/>
      <c r="H196" s="16">
        <f t="shared" si="22"/>
        <v>0</v>
      </c>
      <c r="I196" s="16">
        <f t="shared" si="23"/>
        <v>0</v>
      </c>
      <c r="J196" s="17"/>
      <c r="K196" s="62"/>
    </row>
    <row r="197" spans="2:11" x14ac:dyDescent="0.2">
      <c r="B197">
        <f t="shared" si="24"/>
        <v>192</v>
      </c>
      <c r="C197" s="14">
        <f t="shared" si="25"/>
        <v>46659</v>
      </c>
      <c r="D197" s="15"/>
      <c r="E197" s="16"/>
      <c r="F197" s="16">
        <f t="shared" si="21"/>
        <v>0</v>
      </c>
      <c r="G197" s="16"/>
      <c r="H197" s="16">
        <f t="shared" si="22"/>
        <v>0</v>
      </c>
      <c r="I197" s="16">
        <f t="shared" si="23"/>
        <v>0</v>
      </c>
      <c r="J197" s="17"/>
      <c r="K197" s="62"/>
    </row>
    <row r="198" spans="2:11" x14ac:dyDescent="0.2">
      <c r="B198">
        <f t="shared" si="24"/>
        <v>193</v>
      </c>
      <c r="C198" s="14">
        <f t="shared" si="25"/>
        <v>46660</v>
      </c>
      <c r="D198" s="15"/>
      <c r="E198" s="16"/>
      <c r="F198" s="16">
        <f t="shared" si="21"/>
        <v>0</v>
      </c>
      <c r="G198" s="16"/>
      <c r="H198" s="16">
        <f t="shared" si="22"/>
        <v>0</v>
      </c>
      <c r="I198" s="16">
        <f t="shared" si="23"/>
        <v>0</v>
      </c>
      <c r="J198" s="17"/>
      <c r="K198" s="61"/>
    </row>
    <row r="199" spans="2:11" x14ac:dyDescent="0.2">
      <c r="B199">
        <f t="shared" si="24"/>
        <v>194</v>
      </c>
      <c r="C199" s="14">
        <f t="shared" si="25"/>
        <v>46661</v>
      </c>
      <c r="D199" s="15"/>
      <c r="E199" s="16"/>
      <c r="F199" s="16">
        <f t="shared" si="21"/>
        <v>0</v>
      </c>
      <c r="G199" s="16"/>
      <c r="H199" s="16">
        <f t="shared" si="22"/>
        <v>0</v>
      </c>
      <c r="I199" s="16">
        <f t="shared" si="23"/>
        <v>0</v>
      </c>
      <c r="J199" s="17"/>
      <c r="K199" s="13"/>
    </row>
    <row r="200" spans="2:11" x14ac:dyDescent="0.2">
      <c r="B200">
        <f t="shared" si="24"/>
        <v>195</v>
      </c>
      <c r="C200" s="14">
        <f t="shared" si="25"/>
        <v>46662</v>
      </c>
      <c r="D200" s="15"/>
      <c r="E200" s="16"/>
      <c r="F200" s="16">
        <f t="shared" si="21"/>
        <v>0</v>
      </c>
      <c r="G200" s="16"/>
      <c r="H200" s="16">
        <f t="shared" si="22"/>
        <v>0</v>
      </c>
      <c r="I200" s="16">
        <f t="shared" si="23"/>
        <v>0</v>
      </c>
      <c r="J200" s="17"/>
      <c r="K200" s="13"/>
    </row>
    <row r="201" spans="2:11" x14ac:dyDescent="0.2">
      <c r="B201">
        <f t="shared" si="24"/>
        <v>196</v>
      </c>
      <c r="C201" s="14">
        <f t="shared" si="25"/>
        <v>46663</v>
      </c>
      <c r="D201" s="15"/>
      <c r="E201" s="16"/>
      <c r="F201" s="16">
        <f t="shared" si="21"/>
        <v>0</v>
      </c>
      <c r="G201" s="16"/>
      <c r="H201" s="16">
        <f t="shared" si="22"/>
        <v>0</v>
      </c>
      <c r="I201" s="16">
        <f t="shared" si="23"/>
        <v>0</v>
      </c>
      <c r="J201" s="17"/>
      <c r="K201" s="13"/>
    </row>
    <row r="202" spans="2:11" x14ac:dyDescent="0.2">
      <c r="B202">
        <f t="shared" si="24"/>
        <v>197</v>
      </c>
      <c r="C202" s="14">
        <f t="shared" si="25"/>
        <v>46664</v>
      </c>
      <c r="D202" s="15"/>
      <c r="E202" s="16"/>
      <c r="F202" s="16">
        <f t="shared" si="21"/>
        <v>0</v>
      </c>
      <c r="G202" s="16"/>
      <c r="H202" s="16">
        <f t="shared" si="22"/>
        <v>0</v>
      </c>
      <c r="I202" s="16">
        <f t="shared" si="23"/>
        <v>0</v>
      </c>
      <c r="J202" s="17"/>
      <c r="K202" s="13"/>
    </row>
    <row r="203" spans="2:11" x14ac:dyDescent="0.2">
      <c r="B203">
        <f t="shared" si="24"/>
        <v>198</v>
      </c>
      <c r="C203" s="14">
        <f t="shared" si="25"/>
        <v>46665</v>
      </c>
      <c r="D203" s="15"/>
      <c r="E203" s="16"/>
      <c r="F203" s="16">
        <f t="shared" si="21"/>
        <v>0</v>
      </c>
      <c r="G203" s="16"/>
      <c r="H203" s="16">
        <f t="shared" si="22"/>
        <v>0</v>
      </c>
      <c r="I203" s="16">
        <f t="shared" si="23"/>
        <v>0</v>
      </c>
      <c r="J203" s="17"/>
      <c r="K203" s="13"/>
    </row>
    <row r="204" spans="2:11" x14ac:dyDescent="0.2">
      <c r="B204">
        <f t="shared" si="24"/>
        <v>199</v>
      </c>
      <c r="C204" s="14">
        <f t="shared" si="25"/>
        <v>46666</v>
      </c>
      <c r="D204" s="15"/>
      <c r="E204" s="16"/>
      <c r="F204" s="16">
        <f t="shared" si="21"/>
        <v>0</v>
      </c>
      <c r="G204" s="16"/>
      <c r="H204" s="16">
        <f t="shared" si="22"/>
        <v>0</v>
      </c>
      <c r="I204" s="16">
        <f t="shared" si="23"/>
        <v>0</v>
      </c>
      <c r="J204" s="17"/>
      <c r="K204" s="13"/>
    </row>
    <row r="205" spans="2:11" x14ac:dyDescent="0.2">
      <c r="B205">
        <f t="shared" si="24"/>
        <v>200</v>
      </c>
      <c r="C205" s="14">
        <f t="shared" si="25"/>
        <v>46667</v>
      </c>
      <c r="D205" s="15"/>
      <c r="E205" s="16"/>
      <c r="F205" s="16">
        <f t="shared" si="21"/>
        <v>0</v>
      </c>
      <c r="G205" s="16"/>
      <c r="H205" s="16">
        <f t="shared" si="22"/>
        <v>0</v>
      </c>
      <c r="I205" s="16">
        <f t="shared" si="23"/>
        <v>0</v>
      </c>
      <c r="J205" s="17"/>
      <c r="K205" s="13"/>
    </row>
    <row r="206" spans="2:11" x14ac:dyDescent="0.2">
      <c r="B206">
        <f t="shared" si="24"/>
        <v>201</v>
      </c>
      <c r="C206" s="14">
        <f t="shared" si="25"/>
        <v>46668</v>
      </c>
      <c r="D206" s="15"/>
      <c r="E206" s="16"/>
      <c r="F206" s="16">
        <f t="shared" si="21"/>
        <v>0</v>
      </c>
      <c r="G206" s="16"/>
      <c r="H206" s="16">
        <f t="shared" si="22"/>
        <v>0</v>
      </c>
      <c r="I206" s="16">
        <f t="shared" si="23"/>
        <v>0</v>
      </c>
      <c r="J206" s="17"/>
      <c r="K206" s="13"/>
    </row>
    <row r="207" spans="2:11" x14ac:dyDescent="0.2">
      <c r="B207">
        <f t="shared" si="24"/>
        <v>202</v>
      </c>
      <c r="C207" s="14">
        <f t="shared" si="25"/>
        <v>46669</v>
      </c>
      <c r="D207" s="15"/>
      <c r="E207" s="16"/>
      <c r="F207" s="16">
        <f t="shared" si="21"/>
        <v>0</v>
      </c>
      <c r="G207" s="16"/>
      <c r="H207" s="16">
        <f t="shared" si="22"/>
        <v>0</v>
      </c>
      <c r="I207" s="16">
        <f t="shared" si="23"/>
        <v>0</v>
      </c>
      <c r="J207" s="17"/>
      <c r="K207" s="13"/>
    </row>
    <row r="208" spans="2:11" x14ac:dyDescent="0.2">
      <c r="B208">
        <f t="shared" si="24"/>
        <v>203</v>
      </c>
      <c r="C208" s="14">
        <f t="shared" si="25"/>
        <v>46670</v>
      </c>
      <c r="D208" s="15"/>
      <c r="E208" s="16"/>
      <c r="F208" s="16">
        <f t="shared" si="21"/>
        <v>0</v>
      </c>
      <c r="G208" s="16"/>
      <c r="H208" s="16">
        <f t="shared" si="22"/>
        <v>0</v>
      </c>
      <c r="I208" s="16">
        <f t="shared" si="23"/>
        <v>0</v>
      </c>
      <c r="J208" s="17"/>
      <c r="K208" s="13"/>
    </row>
    <row r="209" spans="2:11" x14ac:dyDescent="0.2">
      <c r="B209">
        <f t="shared" si="24"/>
        <v>204</v>
      </c>
      <c r="C209" s="14">
        <f t="shared" si="25"/>
        <v>46671</v>
      </c>
      <c r="D209" s="15"/>
      <c r="E209" s="16"/>
      <c r="F209" s="16">
        <f t="shared" si="21"/>
        <v>0</v>
      </c>
      <c r="G209" s="16"/>
      <c r="H209" s="16">
        <f t="shared" si="22"/>
        <v>0</v>
      </c>
      <c r="I209" s="16">
        <f t="shared" si="23"/>
        <v>0</v>
      </c>
      <c r="J209" s="17"/>
      <c r="K209" s="13"/>
    </row>
    <row r="210" spans="2:11" x14ac:dyDescent="0.2">
      <c r="B210">
        <f t="shared" si="24"/>
        <v>205</v>
      </c>
      <c r="C210" s="14">
        <f t="shared" si="25"/>
        <v>46672</v>
      </c>
      <c r="D210" s="15"/>
      <c r="E210" s="16"/>
      <c r="F210" s="16">
        <f>E210-E209</f>
        <v>0</v>
      </c>
      <c r="G210" s="16"/>
      <c r="H210" s="16">
        <f>H209+F210+G210</f>
        <v>0</v>
      </c>
      <c r="I210" s="16">
        <f>H210/B210</f>
        <v>0</v>
      </c>
      <c r="J210" s="17"/>
      <c r="K210" s="13"/>
    </row>
    <row r="211" spans="2:11" x14ac:dyDescent="0.2">
      <c r="B211">
        <f t="shared" si="24"/>
        <v>206</v>
      </c>
      <c r="C211" s="14">
        <f t="shared" si="25"/>
        <v>46673</v>
      </c>
      <c r="D211" s="15"/>
      <c r="E211" s="16"/>
      <c r="F211" s="16">
        <f>E211-E210</f>
        <v>0</v>
      </c>
      <c r="G211" s="16"/>
      <c r="H211" s="16">
        <f>H210+F211+G211</f>
        <v>0</v>
      </c>
      <c r="I211" s="16">
        <f>H211/B211</f>
        <v>0</v>
      </c>
      <c r="J211" s="17"/>
      <c r="K211" s="13"/>
    </row>
    <row r="212" spans="2:11" x14ac:dyDescent="0.2">
      <c r="C212" s="15"/>
      <c r="D212" s="15"/>
      <c r="E212" s="16"/>
      <c r="F212" s="16"/>
      <c r="G212" s="16"/>
      <c r="H212" s="16"/>
      <c r="I212" s="16"/>
      <c r="J212" s="17"/>
      <c r="K212" s="13"/>
    </row>
    <row r="213" spans="2:11" x14ac:dyDescent="0.2">
      <c r="C213" s="15"/>
      <c r="D213" s="15"/>
      <c r="E213" s="16"/>
      <c r="F213" s="16"/>
      <c r="G213" s="16"/>
      <c r="H213" s="16"/>
      <c r="I213" s="16"/>
      <c r="J213" s="17"/>
      <c r="K213" s="13"/>
    </row>
    <row r="214" spans="2:11" x14ac:dyDescent="0.2">
      <c r="C214" s="15"/>
      <c r="D214" s="15"/>
      <c r="E214" s="16"/>
      <c r="F214" s="16"/>
      <c r="G214" s="16"/>
      <c r="H214" s="16"/>
      <c r="I214" s="16"/>
      <c r="J214" s="17"/>
      <c r="K214" s="13"/>
    </row>
    <row r="215" spans="2:11" x14ac:dyDescent="0.2">
      <c r="C215" s="15"/>
      <c r="D215" s="15"/>
      <c r="E215" s="16"/>
      <c r="F215" s="16"/>
      <c r="G215" s="16"/>
      <c r="H215" s="16"/>
      <c r="I215" s="16"/>
      <c r="J215" s="17"/>
      <c r="K215" s="13"/>
    </row>
    <row r="216" spans="2:11" x14ac:dyDescent="0.2">
      <c r="C216" s="15"/>
      <c r="D216" s="15"/>
      <c r="E216" s="16"/>
      <c r="F216" s="16"/>
      <c r="G216" s="16"/>
      <c r="H216" s="16"/>
      <c r="I216" s="16"/>
      <c r="J216" s="17"/>
      <c r="K216" s="13"/>
    </row>
    <row r="217" spans="2:11" x14ac:dyDescent="0.2">
      <c r="C217" s="15"/>
      <c r="D217" s="15"/>
      <c r="E217" s="16"/>
      <c r="F217" s="16"/>
      <c r="G217" s="16"/>
      <c r="H217" s="16"/>
      <c r="I217" s="16"/>
      <c r="J217" s="17"/>
      <c r="K217" s="13"/>
    </row>
    <row r="218" spans="2:11" x14ac:dyDescent="0.2">
      <c r="C218" s="15"/>
      <c r="D218" s="15"/>
      <c r="E218" s="16"/>
      <c r="F218" s="16"/>
      <c r="G218" s="16"/>
      <c r="H218" s="16"/>
      <c r="I218" s="16"/>
      <c r="J218" s="17"/>
      <c r="K218" s="13"/>
    </row>
    <row r="219" spans="2:11" x14ac:dyDescent="0.2">
      <c r="C219" s="15"/>
      <c r="D219" s="15"/>
      <c r="E219" s="16"/>
      <c r="F219" s="16"/>
      <c r="G219" s="16"/>
      <c r="H219" s="16"/>
      <c r="I219" s="16"/>
      <c r="J219" s="17"/>
      <c r="K219" s="13"/>
    </row>
    <row r="220" spans="2:11" x14ac:dyDescent="0.2">
      <c r="C220" s="15"/>
      <c r="D220" s="15"/>
      <c r="E220" s="16"/>
      <c r="F220" s="16"/>
      <c r="G220" s="16"/>
      <c r="H220" s="16"/>
      <c r="I220" s="16"/>
      <c r="J220" s="17"/>
      <c r="K220" s="13"/>
    </row>
    <row r="221" spans="2:11" x14ac:dyDescent="0.2">
      <c r="C221" s="15"/>
      <c r="D221" s="15"/>
      <c r="E221" s="16"/>
      <c r="F221" s="16"/>
      <c r="G221" s="16"/>
      <c r="H221" s="16"/>
      <c r="I221" s="16"/>
      <c r="J221" s="17"/>
      <c r="K221" s="13"/>
    </row>
    <row r="222" spans="2:11" x14ac:dyDescent="0.2">
      <c r="C222" s="15"/>
      <c r="D222" s="15"/>
      <c r="E222" s="16"/>
      <c r="F222" s="16"/>
      <c r="G222" s="16"/>
      <c r="H222" s="16"/>
      <c r="I222" s="16"/>
      <c r="J222" s="17"/>
      <c r="K222" s="13"/>
    </row>
    <row r="223" spans="2:11" x14ac:dyDescent="0.2">
      <c r="C223" s="15"/>
      <c r="D223" s="15"/>
      <c r="E223" s="16"/>
      <c r="F223" s="16"/>
      <c r="G223" s="16"/>
      <c r="H223" s="16"/>
      <c r="I223" s="16"/>
      <c r="J223" s="17"/>
      <c r="K223" s="13"/>
    </row>
    <row r="224" spans="2:11" x14ac:dyDescent="0.2">
      <c r="C224" s="15"/>
      <c r="D224" s="15"/>
      <c r="E224" s="16"/>
      <c r="F224" s="16"/>
      <c r="G224" s="16"/>
      <c r="H224" s="16"/>
      <c r="I224" s="16"/>
      <c r="J224" s="17"/>
      <c r="K224" s="13"/>
    </row>
  </sheetData>
  <phoneticPr fontId="2" type="noConversion"/>
  <printOptions gridLine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26"/>
  <sheetViews>
    <sheetView workbookViewId="0">
      <pane ySplit="1" topLeftCell="A2" activePane="bottomLeft" state="frozen"/>
      <selection pane="bottomLeft" activeCell="K8" sqref="K8"/>
    </sheetView>
  </sheetViews>
  <sheetFormatPr defaultRowHeight="12.75" x14ac:dyDescent="0.2"/>
  <cols>
    <col min="1" max="1" width="2.85546875" customWidth="1"/>
    <col min="2" max="2" width="5" customWidth="1"/>
    <col min="3" max="3" width="13.28515625" customWidth="1"/>
    <col min="4" max="4" width="22.28515625" customWidth="1"/>
    <col min="5" max="5" width="7.85546875" style="6" customWidth="1"/>
    <col min="6" max="6" width="7.5703125" style="6" customWidth="1"/>
    <col min="7" max="7" width="7.140625" style="6" customWidth="1"/>
    <col min="8" max="8" width="8" style="6" customWidth="1"/>
    <col min="9" max="9" width="6.85546875" style="6" customWidth="1"/>
    <col min="10" max="10" width="5.85546875" style="10" customWidth="1"/>
    <col min="11" max="11" width="43" style="11" customWidth="1"/>
    <col min="12" max="12" width="9.28515625" customWidth="1"/>
    <col min="13" max="13" width="7.7109375" customWidth="1"/>
    <col min="14" max="14" width="29.7109375" customWidth="1"/>
    <col min="15" max="15" width="2" customWidth="1"/>
  </cols>
  <sheetData>
    <row r="1" spans="2:15" ht="72" customHeight="1" thickBot="1" x14ac:dyDescent="0.25">
      <c r="B1" s="1" t="s">
        <v>0</v>
      </c>
      <c r="C1" s="2" t="s">
        <v>6</v>
      </c>
      <c r="D1" s="3" t="s">
        <v>1</v>
      </c>
      <c r="E1" s="4" t="s">
        <v>2</v>
      </c>
      <c r="F1" s="4" t="s">
        <v>3</v>
      </c>
      <c r="G1" s="5" t="s">
        <v>4</v>
      </c>
      <c r="H1" s="4" t="s">
        <v>10</v>
      </c>
      <c r="I1" s="4" t="s">
        <v>5</v>
      </c>
      <c r="J1" s="9" t="s">
        <v>1161</v>
      </c>
      <c r="K1" s="12" t="s">
        <v>8</v>
      </c>
      <c r="L1" s="35">
        <f>YEAR(C2)</f>
        <v>2027</v>
      </c>
      <c r="M1" s="64" t="s">
        <v>1162</v>
      </c>
    </row>
    <row r="2" spans="2:15" x14ac:dyDescent="0.2">
      <c r="B2">
        <v>1</v>
      </c>
      <c r="C2" s="14">
        <v>46460</v>
      </c>
      <c r="D2" s="15" t="s">
        <v>7</v>
      </c>
      <c r="E2" s="16">
        <v>-8.8000000000000007</v>
      </c>
      <c r="F2" s="16">
        <v>0</v>
      </c>
      <c r="G2" s="16">
        <v>0</v>
      </c>
      <c r="H2" s="16">
        <v>0</v>
      </c>
      <c r="I2" s="16">
        <f>H2/B2</f>
        <v>0</v>
      </c>
      <c r="J2" s="17">
        <v>5</v>
      </c>
      <c r="K2" s="13"/>
      <c r="M2" s="64" t="s">
        <v>968</v>
      </c>
      <c r="N2" s="11"/>
      <c r="O2" t="s">
        <v>820</v>
      </c>
    </row>
    <row r="3" spans="2:15" x14ac:dyDescent="0.2">
      <c r="B3">
        <f>B2+1</f>
        <v>2</v>
      </c>
      <c r="C3" s="14">
        <f>C2+1</f>
        <v>46461</v>
      </c>
      <c r="D3" s="163" t="s">
        <v>35</v>
      </c>
      <c r="E3" s="16">
        <v>-1.5</v>
      </c>
      <c r="F3" s="16">
        <f>E3-E2</f>
        <v>7.3000000000000007</v>
      </c>
      <c r="G3" s="16"/>
      <c r="H3" s="16">
        <f>H2+F3+G3</f>
        <v>7.3000000000000007</v>
      </c>
      <c r="I3" s="16">
        <f>H3/B3</f>
        <v>3.6500000000000004</v>
      </c>
      <c r="J3" s="17"/>
      <c r="K3" s="13"/>
    </row>
    <row r="4" spans="2:15" x14ac:dyDescent="0.2">
      <c r="B4">
        <f>B3+1</f>
        <v>3</v>
      </c>
      <c r="C4" s="14">
        <f>C3</f>
        <v>46461</v>
      </c>
      <c r="D4" s="15" t="s">
        <v>9</v>
      </c>
      <c r="E4" s="16">
        <v>0.2</v>
      </c>
      <c r="F4" s="16">
        <f>E4-E3</f>
        <v>1.7</v>
      </c>
      <c r="G4" s="16"/>
      <c r="H4" s="16">
        <f>H3+F4+G4</f>
        <v>9</v>
      </c>
      <c r="I4" s="16">
        <f>H4/B4</f>
        <v>3</v>
      </c>
      <c r="J4" s="17"/>
      <c r="K4" s="13"/>
    </row>
    <row r="5" spans="2:15" x14ac:dyDescent="0.2">
      <c r="B5">
        <f>B4+1</f>
        <v>4</v>
      </c>
      <c r="C5" s="14">
        <f t="shared" ref="C5:C12" si="0">C4+1</f>
        <v>46462</v>
      </c>
      <c r="D5" s="15" t="s">
        <v>964</v>
      </c>
      <c r="E5" s="16">
        <v>2.8</v>
      </c>
      <c r="F5" s="16">
        <f t="shared" ref="F5:F6" si="1">E5-E4</f>
        <v>2.5999999999999996</v>
      </c>
      <c r="G5" s="16"/>
      <c r="H5" s="16">
        <f t="shared" ref="H5:H6" si="2">H4+F5+G5</f>
        <v>11.6</v>
      </c>
      <c r="I5" s="16">
        <f t="shared" ref="I5:I6" si="3">H5/B5</f>
        <v>2.9</v>
      </c>
      <c r="J5" s="17"/>
      <c r="K5" s="13"/>
    </row>
    <row r="6" spans="2:15" x14ac:dyDescent="0.2">
      <c r="B6">
        <f t="shared" ref="B6:C20" si="4">B5+1</f>
        <v>5</v>
      </c>
      <c r="C6" s="14">
        <f t="shared" si="0"/>
        <v>46463</v>
      </c>
      <c r="D6" s="18" t="s">
        <v>278</v>
      </c>
      <c r="E6" s="16">
        <v>10.7</v>
      </c>
      <c r="F6" s="16">
        <f t="shared" si="1"/>
        <v>7.8999999999999995</v>
      </c>
      <c r="G6" s="16"/>
      <c r="H6" s="16">
        <f t="shared" si="2"/>
        <v>19.5</v>
      </c>
      <c r="I6" s="16">
        <f t="shared" si="3"/>
        <v>3.9</v>
      </c>
      <c r="J6" s="17"/>
      <c r="K6" s="19" t="s">
        <v>966</v>
      </c>
    </row>
    <row r="7" spans="2:15" x14ac:dyDescent="0.2">
      <c r="B7" s="49">
        <f t="shared" si="4"/>
        <v>6</v>
      </c>
      <c r="C7" s="14">
        <f t="shared" si="0"/>
        <v>46464</v>
      </c>
      <c r="D7" s="18" t="s">
        <v>40</v>
      </c>
      <c r="E7" s="16">
        <v>26.8</v>
      </c>
      <c r="F7" s="16">
        <f t="shared" ref="F7:F73" si="5">E7-E6</f>
        <v>16.100000000000001</v>
      </c>
      <c r="G7" s="16"/>
      <c r="H7" s="16">
        <f t="shared" ref="H7:H70" si="6">H6+F7+G7</f>
        <v>35.6</v>
      </c>
      <c r="I7" s="16">
        <f>H7/B6</f>
        <v>7.12</v>
      </c>
      <c r="J7" s="17"/>
      <c r="K7" s="19" t="s">
        <v>967</v>
      </c>
    </row>
    <row r="8" spans="2:15" ht="25.5" x14ac:dyDescent="0.25">
      <c r="B8" s="49">
        <f>B7+0</f>
        <v>6</v>
      </c>
      <c r="C8" s="14">
        <f t="shared" si="0"/>
        <v>46465</v>
      </c>
      <c r="D8" s="56" t="s">
        <v>29</v>
      </c>
      <c r="E8" s="52">
        <v>30.5</v>
      </c>
      <c r="F8" s="52">
        <f>E8-E7</f>
        <v>3.6999999999999993</v>
      </c>
      <c r="G8" s="52"/>
      <c r="H8" s="52">
        <f>H7+F8+G8</f>
        <v>39.299999999999997</v>
      </c>
      <c r="I8" s="52"/>
      <c r="J8" s="21">
        <v>3</v>
      </c>
      <c r="K8" s="66" t="s">
        <v>382</v>
      </c>
      <c r="L8" s="154" t="s">
        <v>949</v>
      </c>
    </row>
    <row r="9" spans="2:15" s="24" customFormat="1" x14ac:dyDescent="0.2">
      <c r="B9" s="24">
        <f t="shared" ref="B9:B11" si="7">B8+1</f>
        <v>7</v>
      </c>
      <c r="C9" s="14">
        <f t="shared" si="0"/>
        <v>46466</v>
      </c>
      <c r="D9" s="51" t="s">
        <v>42</v>
      </c>
      <c r="E9" s="52">
        <v>36.700000000000003</v>
      </c>
      <c r="F9" s="52">
        <f t="shared" si="5"/>
        <v>6.2000000000000028</v>
      </c>
      <c r="G9" s="52"/>
      <c r="H9" s="52">
        <f>H8+F9+G9</f>
        <v>45.5</v>
      </c>
      <c r="I9" s="52">
        <f t="shared" ref="I9:I21" si="8">H9/B8</f>
        <v>7.583333333333333</v>
      </c>
      <c r="J9" s="17"/>
      <c r="K9" s="13"/>
      <c r="L9"/>
      <c r="M9"/>
      <c r="N9"/>
    </row>
    <row r="10" spans="2:15" s="24" customFormat="1" x14ac:dyDescent="0.2">
      <c r="B10" s="24">
        <f t="shared" si="7"/>
        <v>8</v>
      </c>
      <c r="C10" s="14">
        <f t="shared" si="0"/>
        <v>46467</v>
      </c>
      <c r="D10" s="26" t="s">
        <v>44</v>
      </c>
      <c r="E10" s="27">
        <v>48.3</v>
      </c>
      <c r="F10" s="27">
        <f>E10-E9</f>
        <v>11.599999999999994</v>
      </c>
      <c r="G10" s="27"/>
      <c r="H10" s="27">
        <f>H9+F10+G10</f>
        <v>57.099999999999994</v>
      </c>
      <c r="I10" s="27">
        <f t="shared" si="8"/>
        <v>8.1571428571428566</v>
      </c>
      <c r="J10" s="28"/>
      <c r="K10" s="29"/>
    </row>
    <row r="11" spans="2:15" s="24" customFormat="1" x14ac:dyDescent="0.2">
      <c r="B11" s="24">
        <f t="shared" si="7"/>
        <v>9</v>
      </c>
      <c r="C11" s="14">
        <f t="shared" si="0"/>
        <v>46468</v>
      </c>
      <c r="D11" s="26" t="s">
        <v>46</v>
      </c>
      <c r="E11" s="27">
        <v>63.1</v>
      </c>
      <c r="F11" s="27">
        <f>E11-E10</f>
        <v>14.800000000000004</v>
      </c>
      <c r="G11" s="27"/>
      <c r="H11" s="27">
        <f>H10+F11+G11</f>
        <v>71.900000000000006</v>
      </c>
      <c r="I11" s="27">
        <f t="shared" si="8"/>
        <v>8.9875000000000007</v>
      </c>
      <c r="J11" s="28"/>
      <c r="K11" s="29"/>
    </row>
    <row r="12" spans="2:15" ht="38.25" x14ac:dyDescent="0.2">
      <c r="B12">
        <f t="shared" si="4"/>
        <v>10</v>
      </c>
      <c r="C12" s="14">
        <f t="shared" si="0"/>
        <v>46469</v>
      </c>
      <c r="D12" s="57" t="s">
        <v>33</v>
      </c>
      <c r="E12" s="27">
        <v>66.599999999999994</v>
      </c>
      <c r="F12" s="27">
        <f>E12-E11</f>
        <v>3.4999999999999929</v>
      </c>
      <c r="G12" s="27">
        <v>3.5</v>
      </c>
      <c r="H12" s="27">
        <f>H11+F12+G12</f>
        <v>78.900000000000006</v>
      </c>
      <c r="I12" s="27">
        <f t="shared" si="8"/>
        <v>8.7666666666666675</v>
      </c>
      <c r="J12" s="28">
        <v>6</v>
      </c>
      <c r="K12" s="33" t="s">
        <v>386</v>
      </c>
      <c r="L12" s="71" t="s">
        <v>387</v>
      </c>
      <c r="M12" s="70"/>
      <c r="N12" s="24"/>
    </row>
    <row r="13" spans="2:15" x14ac:dyDescent="0.2">
      <c r="B13">
        <f t="shared" si="4"/>
        <v>11</v>
      </c>
      <c r="C13" s="14">
        <f t="shared" si="4"/>
        <v>46470</v>
      </c>
      <c r="D13" s="18" t="s">
        <v>47</v>
      </c>
      <c r="E13" s="16">
        <v>78.2</v>
      </c>
      <c r="F13" s="16">
        <f t="shared" si="5"/>
        <v>11.600000000000009</v>
      </c>
      <c r="G13" s="16"/>
      <c r="H13" s="16">
        <f t="shared" si="6"/>
        <v>90.500000000000014</v>
      </c>
      <c r="I13" s="16">
        <f t="shared" si="8"/>
        <v>9.0500000000000007</v>
      </c>
      <c r="J13" s="17"/>
    </row>
    <row r="14" spans="2:15" x14ac:dyDescent="0.2">
      <c r="B14">
        <f t="shared" si="4"/>
        <v>12</v>
      </c>
      <c r="C14" s="14">
        <f t="shared" si="4"/>
        <v>46471</v>
      </c>
      <c r="D14" s="18" t="s">
        <v>276</v>
      </c>
      <c r="E14" s="16">
        <v>90.7</v>
      </c>
      <c r="F14" s="16">
        <f t="shared" si="5"/>
        <v>12.5</v>
      </c>
      <c r="G14" s="16"/>
      <c r="H14" s="16">
        <f t="shared" si="6"/>
        <v>103.00000000000001</v>
      </c>
      <c r="I14" s="16">
        <f t="shared" si="8"/>
        <v>9.3636363636363651</v>
      </c>
      <c r="J14" s="17"/>
      <c r="K14" s="13"/>
    </row>
    <row r="15" spans="2:15" x14ac:dyDescent="0.2">
      <c r="B15">
        <f t="shared" si="4"/>
        <v>13</v>
      </c>
      <c r="C15" s="14">
        <f t="shared" si="4"/>
        <v>46472</v>
      </c>
      <c r="D15" s="18" t="s">
        <v>49</v>
      </c>
      <c r="E15" s="16">
        <v>102.8</v>
      </c>
      <c r="F15" s="16">
        <f t="shared" si="5"/>
        <v>12.099999999999994</v>
      </c>
      <c r="G15" s="16"/>
      <c r="H15" s="16">
        <f t="shared" si="6"/>
        <v>115.10000000000001</v>
      </c>
      <c r="I15" s="16">
        <f t="shared" si="8"/>
        <v>9.5916666666666668</v>
      </c>
      <c r="J15" s="17"/>
      <c r="K15" s="13"/>
    </row>
    <row r="16" spans="2:15" x14ac:dyDescent="0.2">
      <c r="B16">
        <f t="shared" si="4"/>
        <v>14</v>
      </c>
      <c r="C16" s="14">
        <f t="shared" si="4"/>
        <v>46473</v>
      </c>
      <c r="D16" s="18" t="s">
        <v>279</v>
      </c>
      <c r="E16" s="16">
        <v>114.8</v>
      </c>
      <c r="F16" s="16">
        <f t="shared" si="5"/>
        <v>12</v>
      </c>
      <c r="G16" s="16"/>
      <c r="H16" s="16">
        <f t="shared" si="6"/>
        <v>127.10000000000001</v>
      </c>
      <c r="I16" s="16">
        <f t="shared" si="8"/>
        <v>9.7769230769230777</v>
      </c>
      <c r="J16" s="17"/>
      <c r="K16" s="13"/>
    </row>
    <row r="17" spans="2:14" s="24" customFormat="1" x14ac:dyDescent="0.2">
      <c r="B17" s="24">
        <f t="shared" si="4"/>
        <v>15</v>
      </c>
      <c r="C17" s="14">
        <f t="shared" si="4"/>
        <v>46474</v>
      </c>
      <c r="D17" s="18" t="s">
        <v>280</v>
      </c>
      <c r="E17" s="16">
        <v>128.19999999999999</v>
      </c>
      <c r="F17" s="16">
        <f t="shared" si="5"/>
        <v>13.399999999999991</v>
      </c>
      <c r="G17" s="16"/>
      <c r="H17" s="16">
        <f t="shared" si="6"/>
        <v>140.5</v>
      </c>
      <c r="I17" s="16">
        <f t="shared" si="8"/>
        <v>10.035714285714286</v>
      </c>
      <c r="J17" s="17"/>
      <c r="K17" s="13"/>
      <c r="L17"/>
      <c r="M17"/>
      <c r="N17"/>
    </row>
    <row r="18" spans="2:14" s="24" customFormat="1" ht="38.25" x14ac:dyDescent="0.2">
      <c r="B18" s="24">
        <f t="shared" si="4"/>
        <v>16</v>
      </c>
      <c r="C18" s="25">
        <f t="shared" si="4"/>
        <v>46475</v>
      </c>
      <c r="D18" s="57" t="s">
        <v>32</v>
      </c>
      <c r="E18" s="27">
        <v>133.9</v>
      </c>
      <c r="F18" s="27">
        <f t="shared" si="5"/>
        <v>5.7000000000000171</v>
      </c>
      <c r="G18" s="27">
        <v>0</v>
      </c>
      <c r="H18" s="27">
        <f t="shared" si="6"/>
        <v>146.20000000000002</v>
      </c>
      <c r="I18" s="27">
        <f t="shared" si="8"/>
        <v>9.7466666666666679</v>
      </c>
      <c r="J18" s="28">
        <v>3</v>
      </c>
      <c r="K18" s="69" t="s">
        <v>381</v>
      </c>
    </row>
    <row r="19" spans="2:14" x14ac:dyDescent="0.2">
      <c r="B19">
        <f t="shared" si="4"/>
        <v>17</v>
      </c>
      <c r="C19" s="25">
        <f t="shared" si="4"/>
        <v>46476</v>
      </c>
      <c r="D19" s="26" t="s">
        <v>53</v>
      </c>
      <c r="E19" s="27">
        <v>149.9</v>
      </c>
      <c r="F19" s="27">
        <f t="shared" si="5"/>
        <v>16</v>
      </c>
      <c r="G19" s="27"/>
      <c r="H19" s="27">
        <f t="shared" si="6"/>
        <v>162.20000000000002</v>
      </c>
      <c r="I19" s="27">
        <f t="shared" si="8"/>
        <v>10.137500000000001</v>
      </c>
      <c r="J19" s="28"/>
      <c r="K19" s="29"/>
      <c r="L19" s="24"/>
      <c r="M19" s="24"/>
      <c r="N19" s="24"/>
    </row>
    <row r="20" spans="2:14" x14ac:dyDescent="0.2">
      <c r="B20" s="49">
        <f>B19+0</f>
        <v>17</v>
      </c>
      <c r="C20" s="14">
        <f t="shared" si="4"/>
        <v>46477</v>
      </c>
      <c r="D20" s="58" t="s">
        <v>31</v>
      </c>
      <c r="E20" s="16">
        <v>161.5</v>
      </c>
      <c r="F20" s="16">
        <f t="shared" si="5"/>
        <v>11.599999999999994</v>
      </c>
      <c r="G20" s="16">
        <v>2</v>
      </c>
      <c r="H20" s="27">
        <f t="shared" si="6"/>
        <v>175.8</v>
      </c>
      <c r="I20" s="16">
        <f t="shared" si="8"/>
        <v>10.341176470588236</v>
      </c>
      <c r="J20" s="17"/>
      <c r="K20" s="32" t="s">
        <v>379</v>
      </c>
    </row>
    <row r="21" spans="2:14" x14ac:dyDescent="0.2">
      <c r="B21" s="49">
        <f>B20</f>
        <v>17</v>
      </c>
      <c r="C21" s="50">
        <f>C20+1-1</f>
        <v>46477</v>
      </c>
      <c r="D21" s="51" t="s">
        <v>55</v>
      </c>
      <c r="E21" s="52">
        <v>162.6</v>
      </c>
      <c r="F21" s="52">
        <f t="shared" si="5"/>
        <v>1.0999999999999943</v>
      </c>
      <c r="G21" s="52"/>
      <c r="H21" s="52">
        <f t="shared" si="6"/>
        <v>176.9</v>
      </c>
      <c r="I21" s="52">
        <f t="shared" si="8"/>
        <v>10.405882352941177</v>
      </c>
      <c r="J21" s="53">
        <v>7</v>
      </c>
      <c r="K21" s="19" t="s">
        <v>281</v>
      </c>
      <c r="L21" s="149"/>
      <c r="M21" s="149"/>
      <c r="N21" s="150" t="s">
        <v>294</v>
      </c>
    </row>
    <row r="22" spans="2:14" x14ac:dyDescent="0.2">
      <c r="B22" s="49">
        <f>B21</f>
        <v>17</v>
      </c>
      <c r="C22" s="50">
        <f>C21+1</f>
        <v>46478</v>
      </c>
      <c r="D22" s="51"/>
      <c r="E22" s="52">
        <v>162.9</v>
      </c>
      <c r="F22" s="52">
        <f t="shared" si="5"/>
        <v>0.30000000000001137</v>
      </c>
      <c r="G22" s="52"/>
      <c r="H22" s="52">
        <f t="shared" si="6"/>
        <v>177.20000000000002</v>
      </c>
      <c r="I22" s="52"/>
      <c r="J22" s="53"/>
      <c r="K22" s="19" t="s">
        <v>285</v>
      </c>
      <c r="L22" s="149"/>
      <c r="M22" s="151">
        <v>162.9</v>
      </c>
      <c r="N22" s="149"/>
    </row>
    <row r="23" spans="2:14" x14ac:dyDescent="0.2">
      <c r="B23">
        <f>B20+1</f>
        <v>18</v>
      </c>
      <c r="C23" s="50">
        <f>C22</f>
        <v>46478</v>
      </c>
      <c r="D23" s="51" t="s">
        <v>297</v>
      </c>
      <c r="E23" s="52">
        <v>179.3</v>
      </c>
      <c r="F23" s="52">
        <f t="shared" si="5"/>
        <v>16.400000000000006</v>
      </c>
      <c r="G23" s="52"/>
      <c r="H23" s="52">
        <f t="shared" si="6"/>
        <v>193.60000000000002</v>
      </c>
      <c r="I23" s="52">
        <f t="shared" ref="I23:I54" si="9">H23/B22</f>
        <v>11.388235294117649</v>
      </c>
      <c r="J23" s="53"/>
      <c r="K23" s="19"/>
      <c r="L23" s="149">
        <f>M23-M22</f>
        <v>11</v>
      </c>
      <c r="M23" s="149">
        <v>173.9</v>
      </c>
      <c r="N23" s="152" t="s">
        <v>56</v>
      </c>
    </row>
    <row r="24" spans="2:14" x14ac:dyDescent="0.2">
      <c r="B24">
        <f t="shared" ref="B24:C83" si="10">B23+1</f>
        <v>19</v>
      </c>
      <c r="C24" s="14">
        <f t="shared" ref="C24:C82" si="11">C23+1</f>
        <v>46479</v>
      </c>
      <c r="D24" s="148" t="s">
        <v>295</v>
      </c>
      <c r="E24" s="16">
        <v>195.7</v>
      </c>
      <c r="F24" s="16">
        <f>E24-E23</f>
        <v>16.399999999999977</v>
      </c>
      <c r="G24" s="16"/>
      <c r="H24" s="27">
        <f t="shared" si="6"/>
        <v>210</v>
      </c>
      <c r="I24" s="16">
        <f t="shared" si="9"/>
        <v>11.666666666666666</v>
      </c>
      <c r="J24" s="17"/>
      <c r="L24" s="149">
        <f>M24-M23</f>
        <v>2.5</v>
      </c>
      <c r="M24" s="149">
        <v>176.4</v>
      </c>
      <c r="N24" s="149" t="s">
        <v>286</v>
      </c>
    </row>
    <row r="25" spans="2:14" x14ac:dyDescent="0.2">
      <c r="B25">
        <f t="shared" si="10"/>
        <v>20</v>
      </c>
      <c r="C25" s="14">
        <f t="shared" si="11"/>
        <v>46480</v>
      </c>
      <c r="D25" s="148" t="s">
        <v>296</v>
      </c>
      <c r="E25" s="16">
        <v>214</v>
      </c>
      <c r="F25" s="16">
        <f t="shared" si="5"/>
        <v>18.300000000000011</v>
      </c>
      <c r="G25" s="16"/>
      <c r="H25" s="27">
        <f t="shared" si="6"/>
        <v>228.3</v>
      </c>
      <c r="I25" s="16">
        <f t="shared" si="9"/>
        <v>12.015789473684212</v>
      </c>
      <c r="J25" s="17"/>
      <c r="K25" s="13"/>
      <c r="L25" s="149">
        <f>M25-M24</f>
        <v>2.9000000000000057</v>
      </c>
      <c r="M25" s="149">
        <v>179.3</v>
      </c>
      <c r="N25" s="149" t="s">
        <v>58</v>
      </c>
    </row>
    <row r="26" spans="2:14" ht="12.75" customHeight="1" x14ac:dyDescent="0.2">
      <c r="B26">
        <f t="shared" si="10"/>
        <v>21</v>
      </c>
      <c r="C26" s="14">
        <f t="shared" si="11"/>
        <v>46481</v>
      </c>
      <c r="D26" s="18"/>
      <c r="E26" s="16">
        <v>226.9</v>
      </c>
      <c r="F26" s="16">
        <f t="shared" si="5"/>
        <v>12.900000000000006</v>
      </c>
      <c r="G26" s="16"/>
      <c r="H26" s="16">
        <f t="shared" si="6"/>
        <v>241.20000000000002</v>
      </c>
      <c r="I26" s="16">
        <f t="shared" si="9"/>
        <v>12.06</v>
      </c>
      <c r="J26" s="17"/>
      <c r="K26" s="19" t="s">
        <v>378</v>
      </c>
      <c r="L26" s="149">
        <f t="shared" ref="L26:L41" si="12">M26-M25</f>
        <v>6.2999999999999829</v>
      </c>
      <c r="M26" s="149">
        <v>185.6</v>
      </c>
      <c r="N26" s="152" t="s">
        <v>301</v>
      </c>
    </row>
    <row r="27" spans="2:14" ht="12.75" customHeight="1" x14ac:dyDescent="0.2">
      <c r="B27">
        <f t="shared" si="10"/>
        <v>22</v>
      </c>
      <c r="C27" s="14">
        <f t="shared" si="11"/>
        <v>46482</v>
      </c>
      <c r="D27" s="15"/>
      <c r="E27" s="16">
        <v>244.5</v>
      </c>
      <c r="F27" s="16">
        <f t="shared" si="5"/>
        <v>17.599999999999994</v>
      </c>
      <c r="G27" s="16"/>
      <c r="H27" s="16">
        <f t="shared" si="6"/>
        <v>258.8</v>
      </c>
      <c r="I27" s="16">
        <f t="shared" si="9"/>
        <v>12.323809523809524</v>
      </c>
      <c r="J27" s="17"/>
      <c r="K27" s="66" t="s">
        <v>302</v>
      </c>
      <c r="L27" s="149">
        <f t="shared" si="12"/>
        <v>5.5</v>
      </c>
      <c r="M27" s="149">
        <v>191.1</v>
      </c>
      <c r="N27" s="149" t="s">
        <v>287</v>
      </c>
    </row>
    <row r="28" spans="2:14" x14ac:dyDescent="0.2">
      <c r="B28">
        <f t="shared" si="10"/>
        <v>23</v>
      </c>
      <c r="C28" s="14">
        <f t="shared" si="11"/>
        <v>46483</v>
      </c>
      <c r="D28" s="15"/>
      <c r="E28" s="16">
        <v>257.60000000000002</v>
      </c>
      <c r="F28" s="16">
        <f t="shared" si="5"/>
        <v>13.100000000000023</v>
      </c>
      <c r="G28" s="16"/>
      <c r="H28" s="16">
        <f t="shared" si="6"/>
        <v>271.90000000000003</v>
      </c>
      <c r="I28" s="16">
        <f t="shared" si="9"/>
        <v>12.359090909090911</v>
      </c>
      <c r="J28" s="17"/>
      <c r="K28" s="13"/>
      <c r="L28" s="149">
        <f t="shared" si="12"/>
        <v>1.7000000000000171</v>
      </c>
      <c r="M28" s="149">
        <v>192.8</v>
      </c>
      <c r="N28" s="149" t="s">
        <v>60</v>
      </c>
    </row>
    <row r="29" spans="2:14" x14ac:dyDescent="0.2">
      <c r="B29">
        <f>B28+1</f>
        <v>24</v>
      </c>
      <c r="C29" s="14">
        <f t="shared" si="11"/>
        <v>46484</v>
      </c>
      <c r="D29" s="58" t="s">
        <v>30</v>
      </c>
      <c r="E29" s="16">
        <v>270.7</v>
      </c>
      <c r="F29" s="16">
        <f t="shared" si="5"/>
        <v>13.099999999999966</v>
      </c>
      <c r="G29" s="16">
        <v>0</v>
      </c>
      <c r="H29" s="16">
        <f t="shared" si="6"/>
        <v>285</v>
      </c>
      <c r="I29" s="16">
        <f t="shared" si="9"/>
        <v>12.391304347826088</v>
      </c>
      <c r="J29" s="17">
        <v>6</v>
      </c>
      <c r="K29" s="32" t="s">
        <v>27</v>
      </c>
      <c r="L29" s="149">
        <f t="shared" si="12"/>
        <v>2.8999999999999773</v>
      </c>
      <c r="M29" s="149">
        <v>195.7</v>
      </c>
      <c r="N29" s="149" t="s">
        <v>288</v>
      </c>
    </row>
    <row r="30" spans="2:14" x14ac:dyDescent="0.2">
      <c r="B30">
        <f t="shared" si="10"/>
        <v>25</v>
      </c>
      <c r="C30" s="14">
        <f>C29+1</f>
        <v>46485</v>
      </c>
      <c r="D30" s="18" t="s">
        <v>299</v>
      </c>
      <c r="E30" s="16">
        <v>270.7</v>
      </c>
      <c r="F30" s="16">
        <f>E30-E29</f>
        <v>0</v>
      </c>
      <c r="G30" s="16"/>
      <c r="H30" s="16">
        <f>H29+F30+G30</f>
        <v>285</v>
      </c>
      <c r="I30" s="16">
        <f t="shared" si="9"/>
        <v>11.875</v>
      </c>
      <c r="J30" s="17"/>
      <c r="K30" s="67" t="s">
        <v>300</v>
      </c>
      <c r="L30" s="149">
        <f t="shared" si="12"/>
        <v>3.4000000000000057</v>
      </c>
      <c r="M30" s="149">
        <v>199.1</v>
      </c>
      <c r="N30" s="149" t="s">
        <v>289</v>
      </c>
    </row>
    <row r="31" spans="2:14" x14ac:dyDescent="0.2">
      <c r="B31">
        <f t="shared" si="10"/>
        <v>26</v>
      </c>
      <c r="C31" s="14">
        <f t="shared" si="11"/>
        <v>46486</v>
      </c>
      <c r="D31" s="15"/>
      <c r="E31" s="16">
        <v>270.7</v>
      </c>
      <c r="F31" s="16">
        <f t="shared" si="5"/>
        <v>0</v>
      </c>
      <c r="G31" s="16"/>
      <c r="H31" s="16">
        <f t="shared" si="6"/>
        <v>285</v>
      </c>
      <c r="I31" s="16">
        <f t="shared" si="9"/>
        <v>11.4</v>
      </c>
      <c r="J31" s="17"/>
      <c r="K31" s="30" t="s">
        <v>284</v>
      </c>
      <c r="L31" s="149">
        <f t="shared" si="12"/>
        <v>7.5</v>
      </c>
      <c r="M31" s="149">
        <v>206.6</v>
      </c>
      <c r="N31" s="149" t="s">
        <v>62</v>
      </c>
    </row>
    <row r="32" spans="2:14" x14ac:dyDescent="0.2">
      <c r="B32">
        <f t="shared" si="10"/>
        <v>27</v>
      </c>
      <c r="C32" s="14">
        <f t="shared" si="11"/>
        <v>46487</v>
      </c>
      <c r="D32" s="15"/>
      <c r="E32" s="16">
        <v>270.7</v>
      </c>
      <c r="F32" s="16">
        <f t="shared" si="5"/>
        <v>0</v>
      </c>
      <c r="G32" s="16"/>
      <c r="H32" s="16">
        <f t="shared" si="6"/>
        <v>285</v>
      </c>
      <c r="I32" s="16">
        <f t="shared" si="9"/>
        <v>10.961538461538462</v>
      </c>
      <c r="J32" s="17"/>
      <c r="K32" s="30" t="s">
        <v>298</v>
      </c>
      <c r="L32" s="149">
        <f t="shared" si="12"/>
        <v>7.4000000000000057</v>
      </c>
      <c r="M32" s="149">
        <v>214</v>
      </c>
      <c r="N32" s="149" t="s">
        <v>63</v>
      </c>
    </row>
    <row r="33" spans="2:14" x14ac:dyDescent="0.2">
      <c r="B33">
        <f t="shared" si="10"/>
        <v>28</v>
      </c>
      <c r="C33" s="14">
        <f t="shared" si="11"/>
        <v>46488</v>
      </c>
      <c r="D33" s="18"/>
      <c r="E33" s="16">
        <v>270.7</v>
      </c>
      <c r="F33" s="16">
        <f t="shared" si="5"/>
        <v>0</v>
      </c>
      <c r="G33" s="16"/>
      <c r="H33" s="16">
        <f t="shared" si="6"/>
        <v>285</v>
      </c>
      <c r="I33" s="16">
        <f t="shared" si="9"/>
        <v>10.555555555555555</v>
      </c>
      <c r="J33" s="17"/>
      <c r="K33" s="31" t="s">
        <v>428</v>
      </c>
      <c r="L33" s="149">
        <f t="shared" si="12"/>
        <v>5.1999999999999886</v>
      </c>
      <c r="M33" s="149">
        <v>219.2</v>
      </c>
      <c r="N33" s="149" t="s">
        <v>290</v>
      </c>
    </row>
    <row r="34" spans="2:14" x14ac:dyDescent="0.2">
      <c r="B34">
        <f t="shared" si="10"/>
        <v>29</v>
      </c>
      <c r="C34" s="14">
        <f t="shared" si="11"/>
        <v>46489</v>
      </c>
      <c r="D34" s="15"/>
      <c r="E34" s="16">
        <v>270.7</v>
      </c>
      <c r="F34" s="16">
        <f t="shared" si="5"/>
        <v>0</v>
      </c>
      <c r="G34" s="16"/>
      <c r="H34" s="16">
        <f t="shared" si="6"/>
        <v>285</v>
      </c>
      <c r="I34" s="16">
        <f t="shared" si="9"/>
        <v>10.178571428571429</v>
      </c>
      <c r="J34" s="17"/>
      <c r="K34" s="13"/>
      <c r="L34" s="149">
        <f t="shared" si="12"/>
        <v>7.7000000000000171</v>
      </c>
      <c r="M34" s="149">
        <v>226.9</v>
      </c>
      <c r="N34" s="149" t="s">
        <v>291</v>
      </c>
    </row>
    <row r="35" spans="2:14" x14ac:dyDescent="0.2">
      <c r="B35">
        <f t="shared" si="10"/>
        <v>30</v>
      </c>
      <c r="C35" s="14">
        <f t="shared" si="11"/>
        <v>46490</v>
      </c>
      <c r="D35" s="58" t="s">
        <v>252</v>
      </c>
      <c r="E35" s="16">
        <v>338.7</v>
      </c>
      <c r="F35" s="16">
        <f t="shared" si="5"/>
        <v>68</v>
      </c>
      <c r="G35" s="16">
        <v>3.8</v>
      </c>
      <c r="H35" s="16">
        <f t="shared" si="6"/>
        <v>356.8</v>
      </c>
      <c r="I35" s="16">
        <f t="shared" si="9"/>
        <v>12.303448275862069</v>
      </c>
      <c r="J35" s="17">
        <v>5</v>
      </c>
      <c r="K35" s="32" t="s">
        <v>380</v>
      </c>
      <c r="L35" s="149">
        <f t="shared" si="12"/>
        <v>2.7999999999999829</v>
      </c>
      <c r="M35" s="149">
        <v>229.7</v>
      </c>
      <c r="N35" s="149" t="s">
        <v>292</v>
      </c>
    </row>
    <row r="36" spans="2:14" x14ac:dyDescent="0.2">
      <c r="B36">
        <f t="shared" si="10"/>
        <v>31</v>
      </c>
      <c r="C36" s="14">
        <f t="shared" si="11"/>
        <v>46491</v>
      </c>
      <c r="D36" s="15"/>
      <c r="E36" s="16">
        <v>338.7</v>
      </c>
      <c r="F36" s="16">
        <f t="shared" si="5"/>
        <v>0</v>
      </c>
      <c r="G36" s="16"/>
      <c r="H36" s="16">
        <f t="shared" si="6"/>
        <v>356.8</v>
      </c>
      <c r="I36" s="16">
        <f t="shared" si="9"/>
        <v>11.893333333333334</v>
      </c>
      <c r="J36" s="17"/>
      <c r="K36" s="13"/>
      <c r="L36" s="149">
        <f t="shared" si="12"/>
        <v>4.3000000000000114</v>
      </c>
      <c r="M36" s="149">
        <v>234</v>
      </c>
      <c r="N36" s="149" t="s">
        <v>65</v>
      </c>
    </row>
    <row r="37" spans="2:14" x14ac:dyDescent="0.2">
      <c r="B37">
        <f t="shared" si="10"/>
        <v>32</v>
      </c>
      <c r="C37" s="14">
        <f t="shared" si="11"/>
        <v>46492</v>
      </c>
      <c r="D37" s="15"/>
      <c r="E37" s="16">
        <v>338.7</v>
      </c>
      <c r="F37" s="16">
        <f t="shared" si="5"/>
        <v>0</v>
      </c>
      <c r="G37" s="16"/>
      <c r="H37" s="16">
        <f t="shared" si="6"/>
        <v>356.8</v>
      </c>
      <c r="I37" s="16">
        <f t="shared" si="9"/>
        <v>11.509677419354839</v>
      </c>
      <c r="J37" s="17"/>
      <c r="K37" s="13"/>
      <c r="L37" s="149">
        <f t="shared" si="12"/>
        <v>0.90000000000000568</v>
      </c>
      <c r="M37" s="149">
        <v>234.9</v>
      </c>
      <c r="N37" s="149" t="s">
        <v>293</v>
      </c>
    </row>
    <row r="38" spans="2:14" x14ac:dyDescent="0.2">
      <c r="B38">
        <f t="shared" si="10"/>
        <v>33</v>
      </c>
      <c r="C38" s="14">
        <f t="shared" si="11"/>
        <v>46493</v>
      </c>
      <c r="D38" s="15"/>
      <c r="E38" s="16">
        <v>338.7</v>
      </c>
      <c r="F38" s="16">
        <f t="shared" si="5"/>
        <v>0</v>
      </c>
      <c r="G38" s="16"/>
      <c r="H38" s="16">
        <f t="shared" si="6"/>
        <v>356.8</v>
      </c>
      <c r="I38" s="16">
        <f t="shared" si="9"/>
        <v>11.15</v>
      </c>
      <c r="J38" s="17"/>
      <c r="K38" s="54" t="s">
        <v>343</v>
      </c>
      <c r="L38" s="149">
        <f t="shared" si="12"/>
        <v>9.5999999999999943</v>
      </c>
      <c r="M38" s="149">
        <v>244.5</v>
      </c>
      <c r="N38" s="149" t="s">
        <v>66</v>
      </c>
    </row>
    <row r="39" spans="2:14" x14ac:dyDescent="0.2">
      <c r="B39">
        <f t="shared" si="10"/>
        <v>34</v>
      </c>
      <c r="C39" s="14">
        <f t="shared" si="11"/>
        <v>46494</v>
      </c>
      <c r="D39" s="15"/>
      <c r="E39" s="16">
        <v>338.7</v>
      </c>
      <c r="F39" s="16">
        <f t="shared" si="5"/>
        <v>0</v>
      </c>
      <c r="G39" s="16"/>
      <c r="H39" s="16">
        <f t="shared" si="6"/>
        <v>356.8</v>
      </c>
      <c r="I39" s="16">
        <f t="shared" si="9"/>
        <v>10.812121212121212</v>
      </c>
      <c r="J39" s="17"/>
      <c r="L39" s="149">
        <f t="shared" si="12"/>
        <v>8.1999999999999886</v>
      </c>
      <c r="M39" s="149">
        <v>252.7</v>
      </c>
      <c r="N39" s="149" t="s">
        <v>67</v>
      </c>
    </row>
    <row r="40" spans="2:14" x14ac:dyDescent="0.2">
      <c r="B40">
        <f t="shared" si="10"/>
        <v>35</v>
      </c>
      <c r="C40" s="14">
        <f t="shared" si="11"/>
        <v>46495</v>
      </c>
      <c r="D40" s="58" t="s">
        <v>253</v>
      </c>
      <c r="E40" s="16">
        <v>409.3</v>
      </c>
      <c r="F40" s="16">
        <f t="shared" si="5"/>
        <v>70.600000000000023</v>
      </c>
      <c r="G40" s="16"/>
      <c r="H40" s="16">
        <f t="shared" si="6"/>
        <v>427.40000000000003</v>
      </c>
      <c r="I40" s="16">
        <f t="shared" si="9"/>
        <v>12.570588235294119</v>
      </c>
      <c r="J40" s="17">
        <v>4</v>
      </c>
      <c r="K40" s="68" t="s">
        <v>361</v>
      </c>
      <c r="L40" s="149">
        <f t="shared" si="12"/>
        <v>4.9000000000000341</v>
      </c>
      <c r="M40" s="149">
        <v>257.60000000000002</v>
      </c>
      <c r="N40" s="149" t="s">
        <v>68</v>
      </c>
    </row>
    <row r="41" spans="2:14" x14ac:dyDescent="0.2">
      <c r="B41">
        <f t="shared" si="10"/>
        <v>36</v>
      </c>
      <c r="C41" s="14">
        <f t="shared" si="11"/>
        <v>46496</v>
      </c>
      <c r="D41" s="15"/>
      <c r="E41" s="16">
        <v>409.3</v>
      </c>
      <c r="F41" s="16">
        <f t="shared" si="5"/>
        <v>0</v>
      </c>
      <c r="G41" s="16"/>
      <c r="H41" s="16">
        <f t="shared" si="6"/>
        <v>427.40000000000003</v>
      </c>
      <c r="I41" s="16">
        <f t="shared" si="9"/>
        <v>12.211428571428572</v>
      </c>
      <c r="L41" s="149">
        <f t="shared" si="12"/>
        <v>9.8999999999999773</v>
      </c>
      <c r="M41" s="149">
        <v>267.5</v>
      </c>
      <c r="N41" s="149" t="s">
        <v>69</v>
      </c>
    </row>
    <row r="42" spans="2:14" x14ac:dyDescent="0.2">
      <c r="B42">
        <f t="shared" si="10"/>
        <v>37</v>
      </c>
      <c r="C42" s="14">
        <f t="shared" si="11"/>
        <v>46497</v>
      </c>
      <c r="D42" s="15"/>
      <c r="E42" s="16">
        <v>409.3</v>
      </c>
      <c r="F42" s="16">
        <f t="shared" si="5"/>
        <v>0</v>
      </c>
      <c r="G42" s="16"/>
      <c r="H42" s="16">
        <f t="shared" si="6"/>
        <v>427.40000000000003</v>
      </c>
      <c r="I42" s="16">
        <f t="shared" si="9"/>
        <v>11.872222222222224</v>
      </c>
      <c r="L42" s="149"/>
      <c r="M42" s="149"/>
      <c r="N42" s="149"/>
    </row>
    <row r="43" spans="2:14" x14ac:dyDescent="0.2">
      <c r="B43">
        <f t="shared" si="10"/>
        <v>38</v>
      </c>
      <c r="C43" s="14">
        <f t="shared" si="11"/>
        <v>46498</v>
      </c>
      <c r="D43" s="15"/>
      <c r="E43" s="16">
        <v>409.3</v>
      </c>
      <c r="F43" s="16">
        <f t="shared" si="5"/>
        <v>0</v>
      </c>
      <c r="G43" s="16"/>
      <c r="H43" s="16">
        <f t="shared" si="6"/>
        <v>427.40000000000003</v>
      </c>
      <c r="I43" s="16">
        <f t="shared" si="9"/>
        <v>11.551351351351352</v>
      </c>
      <c r="L43" s="149">
        <f>SUM(L23:L41)</f>
        <v>104.6</v>
      </c>
      <c r="M43" s="153">
        <f>M41-M22</f>
        <v>104.6</v>
      </c>
      <c r="N43" s="149"/>
    </row>
    <row r="44" spans="2:14" x14ac:dyDescent="0.2">
      <c r="B44">
        <f t="shared" si="10"/>
        <v>39</v>
      </c>
      <c r="C44" s="14">
        <f t="shared" si="11"/>
        <v>46499</v>
      </c>
      <c r="D44" s="58" t="s">
        <v>254</v>
      </c>
      <c r="E44" s="16">
        <v>459</v>
      </c>
      <c r="F44" s="16">
        <f t="shared" si="5"/>
        <v>49.699999999999989</v>
      </c>
      <c r="G44" s="16">
        <v>0</v>
      </c>
      <c r="H44" s="16">
        <f t="shared" si="6"/>
        <v>477.1</v>
      </c>
      <c r="I44" s="16">
        <f t="shared" si="9"/>
        <v>12.555263157894737</v>
      </c>
      <c r="J44" s="23">
        <v>6</v>
      </c>
      <c r="K44" s="34" t="s">
        <v>254</v>
      </c>
      <c r="L44" s="68" t="s">
        <v>254</v>
      </c>
    </row>
    <row r="45" spans="2:14" x14ac:dyDescent="0.2">
      <c r="B45">
        <f t="shared" si="10"/>
        <v>40</v>
      </c>
      <c r="C45" s="14">
        <f t="shared" si="11"/>
        <v>46500</v>
      </c>
      <c r="D45" s="15"/>
      <c r="E45" s="16">
        <v>459</v>
      </c>
      <c r="F45" s="16">
        <f t="shared" si="5"/>
        <v>0</v>
      </c>
      <c r="G45" s="16"/>
      <c r="H45" s="16">
        <f t="shared" si="6"/>
        <v>477.1</v>
      </c>
      <c r="I45" s="16">
        <f t="shared" si="9"/>
        <v>12.233333333333334</v>
      </c>
      <c r="K45" s="31" t="s">
        <v>329</v>
      </c>
    </row>
    <row r="46" spans="2:14" x14ac:dyDescent="0.2">
      <c r="B46">
        <f t="shared" si="10"/>
        <v>41</v>
      </c>
      <c r="C46" s="14">
        <f t="shared" si="11"/>
        <v>46501</v>
      </c>
      <c r="D46" s="15"/>
      <c r="E46" s="16">
        <v>459</v>
      </c>
      <c r="F46" s="16">
        <f t="shared" si="5"/>
        <v>0</v>
      </c>
      <c r="G46" s="16"/>
      <c r="H46" s="16">
        <f t="shared" si="6"/>
        <v>477.1</v>
      </c>
      <c r="I46" s="16">
        <f t="shared" si="9"/>
        <v>11.9275</v>
      </c>
      <c r="K46" s="11" t="s">
        <v>330</v>
      </c>
      <c r="L46" s="34"/>
    </row>
    <row r="47" spans="2:14" x14ac:dyDescent="0.2">
      <c r="B47">
        <f t="shared" si="10"/>
        <v>42</v>
      </c>
      <c r="C47" s="14">
        <f t="shared" si="11"/>
        <v>46502</v>
      </c>
      <c r="D47" s="15"/>
      <c r="E47" s="16">
        <v>459</v>
      </c>
      <c r="F47" s="16">
        <f t="shared" si="5"/>
        <v>0</v>
      </c>
      <c r="G47" s="16"/>
      <c r="H47" s="16">
        <f t="shared" si="6"/>
        <v>477.1</v>
      </c>
      <c r="I47" s="16">
        <f t="shared" si="9"/>
        <v>11.636585365853659</v>
      </c>
      <c r="K47" s="67" t="s">
        <v>394</v>
      </c>
    </row>
    <row r="48" spans="2:14" ht="12" customHeight="1" x14ac:dyDescent="0.2">
      <c r="B48">
        <f t="shared" si="10"/>
        <v>43</v>
      </c>
      <c r="C48" s="14">
        <f t="shared" si="11"/>
        <v>46503</v>
      </c>
      <c r="D48" s="15"/>
      <c r="E48" s="16">
        <v>459</v>
      </c>
      <c r="F48" s="16">
        <f t="shared" si="5"/>
        <v>0</v>
      </c>
      <c r="G48" s="16"/>
      <c r="H48" s="16">
        <f t="shared" si="6"/>
        <v>477.1</v>
      </c>
      <c r="I48" s="16">
        <f t="shared" si="9"/>
        <v>11.359523809523811</v>
      </c>
    </row>
    <row r="49" spans="2:13" x14ac:dyDescent="0.2">
      <c r="B49">
        <f t="shared" si="10"/>
        <v>44</v>
      </c>
      <c r="C49" s="14">
        <f t="shared" si="11"/>
        <v>46504</v>
      </c>
      <c r="D49" s="15"/>
      <c r="E49" s="16">
        <v>459</v>
      </c>
      <c r="F49" s="16">
        <f t="shared" si="5"/>
        <v>0</v>
      </c>
      <c r="G49" s="16"/>
      <c r="H49" s="16">
        <f t="shared" si="6"/>
        <v>477.1</v>
      </c>
      <c r="I49" s="16">
        <f t="shared" si="9"/>
        <v>11.095348837209302</v>
      </c>
    </row>
    <row r="50" spans="2:13" x14ac:dyDescent="0.2">
      <c r="B50">
        <f t="shared" si="10"/>
        <v>45</v>
      </c>
      <c r="C50" s="14">
        <f t="shared" si="11"/>
        <v>46505</v>
      </c>
      <c r="D50" s="58" t="s">
        <v>255</v>
      </c>
      <c r="E50" s="16">
        <v>534.79999999999995</v>
      </c>
      <c r="F50" s="16">
        <f t="shared" si="5"/>
        <v>75.799999999999955</v>
      </c>
      <c r="G50" s="16">
        <v>3.8</v>
      </c>
      <c r="H50" s="16">
        <f t="shared" si="6"/>
        <v>556.69999999999993</v>
      </c>
      <c r="I50" s="16">
        <f t="shared" si="9"/>
        <v>12.652272727272726</v>
      </c>
      <c r="J50" s="17">
        <v>6</v>
      </c>
      <c r="K50" s="20" t="s">
        <v>362</v>
      </c>
    </row>
    <row r="51" spans="2:13" x14ac:dyDescent="0.2">
      <c r="B51">
        <f t="shared" si="10"/>
        <v>46</v>
      </c>
      <c r="C51" s="14">
        <f t="shared" si="11"/>
        <v>46506</v>
      </c>
      <c r="D51" s="15"/>
      <c r="E51" s="16">
        <v>534.79999999999995</v>
      </c>
      <c r="F51" s="16">
        <f t="shared" si="5"/>
        <v>0</v>
      </c>
      <c r="G51" s="16"/>
      <c r="H51" s="16">
        <f t="shared" si="6"/>
        <v>556.69999999999993</v>
      </c>
      <c r="I51" s="16">
        <f t="shared" si="9"/>
        <v>12.371111111111109</v>
      </c>
    </row>
    <row r="52" spans="2:13" x14ac:dyDescent="0.2">
      <c r="B52">
        <f t="shared" si="10"/>
        <v>47</v>
      </c>
      <c r="C52" s="14">
        <f t="shared" si="11"/>
        <v>46507</v>
      </c>
      <c r="D52" s="15"/>
      <c r="E52" s="16">
        <v>534.79999999999995</v>
      </c>
      <c r="F52" s="16">
        <f t="shared" si="5"/>
        <v>0</v>
      </c>
      <c r="G52" s="16"/>
      <c r="H52" s="16">
        <f t="shared" si="6"/>
        <v>556.69999999999993</v>
      </c>
      <c r="I52" s="16">
        <f t="shared" si="9"/>
        <v>12.102173913043476</v>
      </c>
    </row>
    <row r="53" spans="2:13" x14ac:dyDescent="0.2">
      <c r="B53">
        <f t="shared" si="10"/>
        <v>48</v>
      </c>
      <c r="C53" s="14">
        <f t="shared" si="11"/>
        <v>46508</v>
      </c>
      <c r="D53" s="15"/>
      <c r="E53" s="16">
        <v>534.79999999999995</v>
      </c>
      <c r="F53" s="16">
        <f t="shared" si="5"/>
        <v>0</v>
      </c>
      <c r="G53" s="16"/>
      <c r="H53" s="16">
        <f t="shared" si="6"/>
        <v>556.69999999999993</v>
      </c>
      <c r="I53" s="16">
        <f t="shared" si="9"/>
        <v>11.844680851063828</v>
      </c>
      <c r="J53" s="17"/>
      <c r="K53" s="68" t="s">
        <v>383</v>
      </c>
    </row>
    <row r="54" spans="2:13" x14ac:dyDescent="0.2">
      <c r="B54">
        <f t="shared" si="10"/>
        <v>49</v>
      </c>
      <c r="C54" s="14">
        <f t="shared" si="11"/>
        <v>46509</v>
      </c>
      <c r="D54" s="15"/>
      <c r="E54" s="16">
        <v>534.79999999999995</v>
      </c>
      <c r="F54" s="16">
        <f t="shared" si="5"/>
        <v>0</v>
      </c>
      <c r="G54" s="16"/>
      <c r="H54" s="16">
        <f t="shared" si="6"/>
        <v>556.69999999999993</v>
      </c>
      <c r="I54" s="16">
        <f t="shared" si="9"/>
        <v>11.597916666666665</v>
      </c>
      <c r="K54" s="67" t="s">
        <v>384</v>
      </c>
    </row>
    <row r="55" spans="2:13" x14ac:dyDescent="0.2">
      <c r="B55">
        <f t="shared" si="10"/>
        <v>50</v>
      </c>
      <c r="C55" s="14">
        <f t="shared" si="11"/>
        <v>46510</v>
      </c>
      <c r="D55" s="15"/>
      <c r="E55" s="16">
        <v>534.79999999999995</v>
      </c>
      <c r="F55" s="16">
        <f t="shared" si="5"/>
        <v>0</v>
      </c>
      <c r="G55" s="16"/>
      <c r="H55" s="16">
        <f t="shared" si="6"/>
        <v>556.69999999999993</v>
      </c>
      <c r="I55" s="16">
        <f t="shared" ref="I55:I86" si="13">H55/B54</f>
        <v>11.361224489795918</v>
      </c>
      <c r="L55" s="34"/>
      <c r="M55" s="34"/>
    </row>
    <row r="56" spans="2:13" x14ac:dyDescent="0.2">
      <c r="B56">
        <f t="shared" si="10"/>
        <v>51</v>
      </c>
      <c r="C56" s="14">
        <f t="shared" si="11"/>
        <v>46511</v>
      </c>
      <c r="D56" s="58" t="s">
        <v>256</v>
      </c>
      <c r="E56" s="16">
        <v>622.1</v>
      </c>
      <c r="F56" s="16">
        <f t="shared" si="5"/>
        <v>87.300000000000068</v>
      </c>
      <c r="G56" s="16">
        <v>0</v>
      </c>
      <c r="H56" s="16">
        <f t="shared" si="6"/>
        <v>644</v>
      </c>
      <c r="I56" s="16">
        <f t="shared" si="13"/>
        <v>12.88</v>
      </c>
      <c r="J56" s="17">
        <v>6</v>
      </c>
      <c r="K56" s="68" t="s">
        <v>393</v>
      </c>
      <c r="L56" s="34"/>
      <c r="M56" s="34"/>
    </row>
    <row r="57" spans="2:13" x14ac:dyDescent="0.2">
      <c r="B57">
        <f t="shared" si="10"/>
        <v>52</v>
      </c>
      <c r="C57" s="14">
        <f t="shared" si="11"/>
        <v>46512</v>
      </c>
      <c r="D57" s="15"/>
      <c r="E57" s="16">
        <v>622.1</v>
      </c>
      <c r="F57" s="16">
        <f t="shared" si="5"/>
        <v>0</v>
      </c>
      <c r="G57" s="16"/>
      <c r="H57" s="16">
        <f t="shared" si="6"/>
        <v>644</v>
      </c>
      <c r="I57" s="16">
        <f t="shared" si="13"/>
        <v>12.627450980392156</v>
      </c>
      <c r="L57" s="34"/>
      <c r="M57" s="34"/>
    </row>
    <row r="58" spans="2:13" x14ac:dyDescent="0.2">
      <c r="B58">
        <f t="shared" si="10"/>
        <v>53</v>
      </c>
      <c r="C58" s="14">
        <f t="shared" si="11"/>
        <v>46513</v>
      </c>
      <c r="D58" s="15"/>
      <c r="E58" s="16">
        <v>622.1</v>
      </c>
      <c r="F58" s="16">
        <f t="shared" si="5"/>
        <v>0</v>
      </c>
      <c r="G58" s="16"/>
      <c r="H58" s="16">
        <f t="shared" si="6"/>
        <v>644</v>
      </c>
      <c r="I58" s="16">
        <f t="shared" si="13"/>
        <v>12.384615384615385</v>
      </c>
      <c r="L58" s="34"/>
      <c r="M58" s="34"/>
    </row>
    <row r="59" spans="2:13" x14ac:dyDescent="0.2">
      <c r="B59">
        <f t="shared" si="10"/>
        <v>54</v>
      </c>
      <c r="C59" s="14">
        <f t="shared" si="11"/>
        <v>46514</v>
      </c>
      <c r="D59" s="15"/>
      <c r="E59" s="16">
        <v>622.1</v>
      </c>
      <c r="F59" s="16">
        <f t="shared" si="5"/>
        <v>0</v>
      </c>
      <c r="G59" s="16"/>
      <c r="H59" s="16">
        <f t="shared" si="6"/>
        <v>644</v>
      </c>
      <c r="I59" s="16">
        <f t="shared" si="13"/>
        <v>12.150943396226415</v>
      </c>
      <c r="L59" s="34"/>
      <c r="M59" s="34"/>
    </row>
    <row r="60" spans="2:13" x14ac:dyDescent="0.2">
      <c r="B60">
        <f t="shared" si="10"/>
        <v>55</v>
      </c>
      <c r="C60" s="14">
        <f t="shared" si="11"/>
        <v>46515</v>
      </c>
      <c r="D60" s="15"/>
      <c r="E60" s="16">
        <v>622.1</v>
      </c>
      <c r="F60" s="16">
        <f t="shared" si="5"/>
        <v>0</v>
      </c>
      <c r="G60" s="16"/>
      <c r="H60" s="16">
        <f t="shared" si="6"/>
        <v>644</v>
      </c>
      <c r="I60" s="16">
        <f t="shared" si="13"/>
        <v>11.925925925925926</v>
      </c>
      <c r="K60" s="67" t="s">
        <v>385</v>
      </c>
      <c r="L60" s="34"/>
      <c r="M60" s="34"/>
    </row>
    <row r="61" spans="2:13" x14ac:dyDescent="0.2">
      <c r="B61">
        <f t="shared" si="10"/>
        <v>56</v>
      </c>
      <c r="C61" s="14">
        <f t="shared" si="11"/>
        <v>46516</v>
      </c>
      <c r="D61" s="15"/>
      <c r="E61" s="16">
        <v>622.1</v>
      </c>
      <c r="F61" s="16">
        <f t="shared" si="5"/>
        <v>0</v>
      </c>
      <c r="G61" s="16"/>
      <c r="H61" s="16">
        <f t="shared" si="6"/>
        <v>644</v>
      </c>
      <c r="I61" s="16">
        <f t="shared" si="13"/>
        <v>11.709090909090909</v>
      </c>
      <c r="L61" s="34"/>
      <c r="M61" s="34"/>
    </row>
    <row r="62" spans="2:13" x14ac:dyDescent="0.2">
      <c r="B62">
        <f t="shared" si="10"/>
        <v>57</v>
      </c>
      <c r="C62" s="14">
        <f t="shared" si="11"/>
        <v>46517</v>
      </c>
      <c r="D62" s="58" t="s">
        <v>257</v>
      </c>
      <c r="E62" s="16">
        <v>715.8</v>
      </c>
      <c r="F62" s="16">
        <f t="shared" si="5"/>
        <v>93.699999999999932</v>
      </c>
      <c r="G62" s="16">
        <v>0</v>
      </c>
      <c r="H62" s="16">
        <f t="shared" si="6"/>
        <v>737.69999999999993</v>
      </c>
      <c r="I62" s="16">
        <f t="shared" si="13"/>
        <v>13.173214285714284</v>
      </c>
      <c r="J62" s="17">
        <v>8</v>
      </c>
      <c r="K62" s="34" t="s">
        <v>363</v>
      </c>
      <c r="L62" s="68" t="s">
        <v>388</v>
      </c>
    </row>
    <row r="63" spans="2:13" x14ac:dyDescent="0.2">
      <c r="B63">
        <f t="shared" si="10"/>
        <v>58</v>
      </c>
      <c r="C63" s="14">
        <f t="shared" si="11"/>
        <v>46518</v>
      </c>
      <c r="D63" s="15"/>
      <c r="E63" s="16">
        <v>715.8</v>
      </c>
      <c r="F63" s="16">
        <f t="shared" si="5"/>
        <v>0</v>
      </c>
      <c r="G63" s="16"/>
      <c r="H63" s="16">
        <f t="shared" si="6"/>
        <v>737.69999999999993</v>
      </c>
      <c r="I63" s="16">
        <f t="shared" si="13"/>
        <v>12.942105263157893</v>
      </c>
    </row>
    <row r="64" spans="2:13" x14ac:dyDescent="0.2">
      <c r="B64">
        <f t="shared" si="10"/>
        <v>59</v>
      </c>
      <c r="C64" s="14">
        <f t="shared" si="11"/>
        <v>46519</v>
      </c>
      <c r="D64" s="15"/>
      <c r="E64" s="16">
        <v>715.8</v>
      </c>
      <c r="F64" s="16">
        <f t="shared" si="5"/>
        <v>0</v>
      </c>
      <c r="G64" s="16"/>
      <c r="H64" s="16">
        <f t="shared" si="6"/>
        <v>737.69999999999993</v>
      </c>
      <c r="I64" s="16">
        <f t="shared" si="13"/>
        <v>12.718965517241378</v>
      </c>
    </row>
    <row r="65" spans="2:12" x14ac:dyDescent="0.2">
      <c r="B65">
        <f t="shared" si="10"/>
        <v>60</v>
      </c>
      <c r="C65" s="14">
        <f t="shared" si="11"/>
        <v>46520</v>
      </c>
      <c r="D65" s="15"/>
      <c r="E65" s="16">
        <v>715.8</v>
      </c>
      <c r="F65" s="16">
        <f t="shared" si="5"/>
        <v>0</v>
      </c>
      <c r="G65" s="16"/>
      <c r="H65" s="16">
        <f t="shared" si="6"/>
        <v>737.69999999999993</v>
      </c>
      <c r="I65" s="16">
        <f t="shared" si="13"/>
        <v>12.503389830508473</v>
      </c>
    </row>
    <row r="66" spans="2:12" x14ac:dyDescent="0.2">
      <c r="B66">
        <f t="shared" si="10"/>
        <v>61</v>
      </c>
      <c r="C66" s="14">
        <f t="shared" si="11"/>
        <v>46521</v>
      </c>
      <c r="D66" s="15"/>
      <c r="E66" s="16">
        <v>715.8</v>
      </c>
      <c r="F66" s="16">
        <f t="shared" si="5"/>
        <v>0</v>
      </c>
      <c r="G66" s="16"/>
      <c r="H66" s="16">
        <f t="shared" si="6"/>
        <v>737.69999999999993</v>
      </c>
      <c r="I66" s="16">
        <f t="shared" si="13"/>
        <v>12.294999999999998</v>
      </c>
      <c r="K66" s="34" t="s">
        <v>303</v>
      </c>
      <c r="L66" s="68" t="s">
        <v>389</v>
      </c>
    </row>
    <row r="67" spans="2:12" x14ac:dyDescent="0.2">
      <c r="B67">
        <f t="shared" si="10"/>
        <v>62</v>
      </c>
      <c r="C67" s="14">
        <f t="shared" si="11"/>
        <v>46522</v>
      </c>
      <c r="D67" s="15"/>
      <c r="E67" s="16">
        <v>715.8</v>
      </c>
      <c r="F67" s="16">
        <f t="shared" si="5"/>
        <v>0</v>
      </c>
      <c r="G67" s="16"/>
      <c r="H67" s="16">
        <f t="shared" si="6"/>
        <v>737.69999999999993</v>
      </c>
      <c r="I67" s="16">
        <f t="shared" si="13"/>
        <v>12.093442622950819</v>
      </c>
    </row>
    <row r="68" spans="2:12" x14ac:dyDescent="0.2">
      <c r="B68">
        <f t="shared" si="10"/>
        <v>63</v>
      </c>
      <c r="C68" s="14">
        <f t="shared" si="11"/>
        <v>46523</v>
      </c>
      <c r="D68" s="15"/>
      <c r="E68" s="16">
        <v>715.8</v>
      </c>
      <c r="F68" s="16">
        <f t="shared" si="5"/>
        <v>0</v>
      </c>
      <c r="G68" s="16"/>
      <c r="H68" s="16">
        <f t="shared" si="6"/>
        <v>737.69999999999993</v>
      </c>
      <c r="I68" s="16">
        <f t="shared" si="13"/>
        <v>11.898387096774192</v>
      </c>
    </row>
    <row r="69" spans="2:12" x14ac:dyDescent="0.2">
      <c r="B69">
        <f t="shared" si="10"/>
        <v>64</v>
      </c>
      <c r="C69" s="14">
        <f t="shared" si="11"/>
        <v>46524</v>
      </c>
      <c r="D69" s="15"/>
      <c r="E69" s="16">
        <v>715.8</v>
      </c>
      <c r="F69" s="16">
        <f t="shared" si="5"/>
        <v>0</v>
      </c>
      <c r="G69" s="16"/>
      <c r="H69" s="16">
        <f t="shared" si="6"/>
        <v>737.69999999999993</v>
      </c>
      <c r="I69" s="16">
        <f t="shared" si="13"/>
        <v>11.709523809523809</v>
      </c>
    </row>
    <row r="70" spans="2:12" x14ac:dyDescent="0.2">
      <c r="B70">
        <f t="shared" si="10"/>
        <v>65</v>
      </c>
      <c r="C70" s="14">
        <f t="shared" si="11"/>
        <v>46525</v>
      </c>
      <c r="D70" s="58" t="s">
        <v>258</v>
      </c>
      <c r="E70" s="16">
        <v>848.4</v>
      </c>
      <c r="F70" s="16">
        <f t="shared" si="5"/>
        <v>132.60000000000002</v>
      </c>
      <c r="G70" s="16">
        <v>4.5</v>
      </c>
      <c r="H70" s="16">
        <f t="shared" si="6"/>
        <v>874.8</v>
      </c>
      <c r="I70" s="16">
        <f t="shared" si="13"/>
        <v>13.668749999999999</v>
      </c>
      <c r="J70" s="17">
        <v>5</v>
      </c>
      <c r="K70" s="34" t="s">
        <v>364</v>
      </c>
      <c r="L70" s="68" t="s">
        <v>395</v>
      </c>
    </row>
    <row r="71" spans="2:12" x14ac:dyDescent="0.2">
      <c r="B71">
        <f t="shared" si="10"/>
        <v>66</v>
      </c>
      <c r="C71" s="14">
        <f t="shared" si="11"/>
        <v>46526</v>
      </c>
      <c r="D71" s="15"/>
      <c r="E71" s="16">
        <v>848.4</v>
      </c>
      <c r="F71" s="16">
        <f t="shared" si="5"/>
        <v>0</v>
      </c>
      <c r="G71" s="16"/>
      <c r="H71" s="16">
        <f t="shared" ref="H71:H81" si="14">H70+F71+G71</f>
        <v>874.8</v>
      </c>
      <c r="I71" s="16">
        <f t="shared" si="13"/>
        <v>13.458461538461538</v>
      </c>
    </row>
    <row r="72" spans="2:12" x14ac:dyDescent="0.2">
      <c r="B72">
        <f t="shared" si="10"/>
        <v>67</v>
      </c>
      <c r="C72" s="14">
        <f t="shared" si="11"/>
        <v>46527</v>
      </c>
      <c r="D72" s="15"/>
      <c r="E72" s="16">
        <v>848.4</v>
      </c>
      <c r="F72" s="16">
        <f t="shared" si="5"/>
        <v>0</v>
      </c>
      <c r="G72" s="16"/>
      <c r="H72" s="16">
        <f t="shared" si="14"/>
        <v>874.8</v>
      </c>
      <c r="I72" s="16">
        <f t="shared" si="13"/>
        <v>13.254545454545454</v>
      </c>
    </row>
    <row r="73" spans="2:12" x14ac:dyDescent="0.2">
      <c r="B73">
        <f t="shared" si="10"/>
        <v>68</v>
      </c>
      <c r="C73" s="14">
        <f t="shared" si="11"/>
        <v>46528</v>
      </c>
      <c r="D73" s="15"/>
      <c r="E73" s="16">
        <v>848.4</v>
      </c>
      <c r="F73" s="16">
        <f t="shared" si="5"/>
        <v>0</v>
      </c>
      <c r="G73" s="16"/>
      <c r="H73" s="16">
        <f t="shared" si="14"/>
        <v>874.8</v>
      </c>
      <c r="I73" s="16">
        <f t="shared" si="13"/>
        <v>13.056716417910447</v>
      </c>
    </row>
    <row r="74" spans="2:12" x14ac:dyDescent="0.2">
      <c r="B74">
        <f t="shared" si="10"/>
        <v>69</v>
      </c>
      <c r="C74" s="14">
        <f t="shared" si="11"/>
        <v>46529</v>
      </c>
      <c r="D74" s="15"/>
      <c r="E74" s="16">
        <v>848.4</v>
      </c>
      <c r="F74" s="16">
        <f t="shared" ref="F74:F81" si="15">E74-E73</f>
        <v>0</v>
      </c>
      <c r="G74" s="16"/>
      <c r="H74" s="16">
        <f t="shared" si="14"/>
        <v>874.8</v>
      </c>
      <c r="I74" s="16">
        <f t="shared" si="13"/>
        <v>12.86470588235294</v>
      </c>
      <c r="J74" s="17"/>
      <c r="K74" s="13"/>
    </row>
    <row r="75" spans="2:12" x14ac:dyDescent="0.2">
      <c r="B75">
        <f t="shared" si="10"/>
        <v>70</v>
      </c>
      <c r="C75" s="14">
        <f t="shared" si="11"/>
        <v>46530</v>
      </c>
      <c r="D75" s="58" t="s">
        <v>331</v>
      </c>
      <c r="E75" s="16">
        <v>961.8</v>
      </c>
      <c r="F75" s="16">
        <f t="shared" si="15"/>
        <v>113.39999999999998</v>
      </c>
      <c r="G75" s="16">
        <v>0</v>
      </c>
      <c r="H75" s="16">
        <f t="shared" si="14"/>
        <v>988.19999999999993</v>
      </c>
      <c r="I75" s="16">
        <f t="shared" si="13"/>
        <v>14.321739130434782</v>
      </c>
      <c r="J75" s="23">
        <v>4</v>
      </c>
      <c r="K75" s="20" t="s">
        <v>259</v>
      </c>
      <c r="L75" s="68" t="s">
        <v>390</v>
      </c>
    </row>
    <row r="76" spans="2:12" x14ac:dyDescent="0.2">
      <c r="B76">
        <f t="shared" si="10"/>
        <v>71</v>
      </c>
      <c r="C76" s="14">
        <f t="shared" si="11"/>
        <v>46531</v>
      </c>
      <c r="D76" s="15"/>
      <c r="E76" s="16">
        <v>961.8</v>
      </c>
      <c r="F76" s="16">
        <f t="shared" si="15"/>
        <v>0</v>
      </c>
      <c r="G76" s="16"/>
      <c r="H76" s="16">
        <f t="shared" si="14"/>
        <v>988.19999999999993</v>
      </c>
      <c r="I76" s="16">
        <f t="shared" si="13"/>
        <v>14.117142857142856</v>
      </c>
      <c r="J76" s="17"/>
      <c r="K76" s="13"/>
    </row>
    <row r="77" spans="2:12" x14ac:dyDescent="0.2">
      <c r="B77">
        <f t="shared" si="10"/>
        <v>72</v>
      </c>
      <c r="C77" s="14">
        <f t="shared" si="11"/>
        <v>46532</v>
      </c>
      <c r="D77" s="15"/>
      <c r="E77" s="16">
        <v>961.8</v>
      </c>
      <c r="F77" s="16">
        <f t="shared" si="15"/>
        <v>0</v>
      </c>
      <c r="G77" s="16"/>
      <c r="H77" s="16">
        <f t="shared" si="14"/>
        <v>988.19999999999993</v>
      </c>
      <c r="I77" s="16">
        <f t="shared" si="13"/>
        <v>13.918309859154929</v>
      </c>
      <c r="J77" s="17"/>
      <c r="K77" s="13"/>
    </row>
    <row r="78" spans="2:12" x14ac:dyDescent="0.2">
      <c r="B78">
        <f t="shared" si="10"/>
        <v>73</v>
      </c>
      <c r="C78" s="14">
        <f t="shared" si="11"/>
        <v>46533</v>
      </c>
      <c r="D78" s="15"/>
      <c r="E78" s="16">
        <v>961.8</v>
      </c>
      <c r="F78" s="16">
        <f t="shared" si="15"/>
        <v>0</v>
      </c>
      <c r="G78" s="16"/>
      <c r="H78" s="16">
        <f t="shared" si="14"/>
        <v>988.19999999999993</v>
      </c>
      <c r="I78" s="16">
        <f t="shared" si="13"/>
        <v>13.725</v>
      </c>
      <c r="J78" s="17"/>
      <c r="K78" s="13"/>
    </row>
    <row r="79" spans="2:12" x14ac:dyDescent="0.2">
      <c r="B79">
        <f t="shared" si="10"/>
        <v>74</v>
      </c>
      <c r="C79" s="14">
        <f t="shared" si="11"/>
        <v>46534</v>
      </c>
      <c r="D79" s="58" t="s">
        <v>260</v>
      </c>
      <c r="E79" s="16">
        <v>1008.8</v>
      </c>
      <c r="F79" s="16">
        <f t="shared" si="15"/>
        <v>47</v>
      </c>
      <c r="G79" s="16">
        <v>0</v>
      </c>
      <c r="H79" s="16">
        <f t="shared" si="14"/>
        <v>1035.1999999999998</v>
      </c>
      <c r="I79" s="16">
        <f t="shared" si="13"/>
        <v>14.180821917808217</v>
      </c>
      <c r="J79" s="17">
        <v>5</v>
      </c>
      <c r="K79" s="34" t="s">
        <v>365</v>
      </c>
      <c r="L79" s="68" t="s">
        <v>260</v>
      </c>
    </row>
    <row r="80" spans="2:12" x14ac:dyDescent="0.2">
      <c r="B80">
        <f t="shared" si="10"/>
        <v>75</v>
      </c>
      <c r="C80" s="14">
        <f t="shared" si="11"/>
        <v>46535</v>
      </c>
      <c r="D80" s="15"/>
      <c r="E80" s="16">
        <v>1008.8</v>
      </c>
      <c r="F80" s="16">
        <f t="shared" si="15"/>
        <v>0</v>
      </c>
      <c r="G80" s="16"/>
      <c r="H80" s="16">
        <f t="shared" si="14"/>
        <v>1035.1999999999998</v>
      </c>
      <c r="I80" s="16">
        <f t="shared" si="13"/>
        <v>13.989189189189187</v>
      </c>
      <c r="J80" s="17"/>
      <c r="K80" s="13"/>
    </row>
    <row r="81" spans="2:12" x14ac:dyDescent="0.2">
      <c r="B81">
        <f t="shared" si="10"/>
        <v>76</v>
      </c>
      <c r="C81" s="14">
        <f t="shared" si="11"/>
        <v>46536</v>
      </c>
      <c r="D81" s="15"/>
      <c r="E81" s="16">
        <v>1008.8</v>
      </c>
      <c r="F81" s="16">
        <f t="shared" si="15"/>
        <v>0</v>
      </c>
      <c r="G81" s="16"/>
      <c r="H81" s="16">
        <f t="shared" si="14"/>
        <v>1035.1999999999998</v>
      </c>
      <c r="I81" s="16">
        <f t="shared" si="13"/>
        <v>13.802666666666664</v>
      </c>
      <c r="J81" s="17"/>
    </row>
    <row r="82" spans="2:12" x14ac:dyDescent="0.2">
      <c r="B82">
        <f t="shared" si="10"/>
        <v>77</v>
      </c>
      <c r="C82" s="14">
        <f t="shared" si="11"/>
        <v>46537</v>
      </c>
      <c r="D82" s="15"/>
      <c r="E82" s="16">
        <v>1008.8</v>
      </c>
      <c r="F82" s="16">
        <f>E82-E81</f>
        <v>0</v>
      </c>
      <c r="G82" s="16"/>
      <c r="H82" s="16">
        <f>H81+F82+G82</f>
        <v>1035.1999999999998</v>
      </c>
      <c r="I82" s="16">
        <f t="shared" si="13"/>
        <v>13.621052631578944</v>
      </c>
      <c r="J82" s="17"/>
    </row>
    <row r="83" spans="2:12" x14ac:dyDescent="0.2">
      <c r="B83">
        <f t="shared" ref="B83:C99" si="16">B82+1</f>
        <v>78</v>
      </c>
      <c r="C83" s="14">
        <f t="shared" si="10"/>
        <v>46538</v>
      </c>
      <c r="D83" s="18" t="s">
        <v>332</v>
      </c>
      <c r="E83" s="16">
        <v>1088.2</v>
      </c>
      <c r="F83" s="16">
        <f t="shared" ref="F83:F147" si="17">E83-E82</f>
        <v>79.400000000000091</v>
      </c>
      <c r="G83" s="16"/>
      <c r="H83" s="16">
        <f t="shared" ref="H83:H146" si="18">H82+F83+G83</f>
        <v>1114.5999999999999</v>
      </c>
      <c r="I83" s="16">
        <f t="shared" si="13"/>
        <v>14.475324675324675</v>
      </c>
      <c r="K83" s="31" t="s">
        <v>333</v>
      </c>
    </row>
    <row r="84" spans="2:12" x14ac:dyDescent="0.2">
      <c r="B84">
        <f t="shared" si="16"/>
        <v>79</v>
      </c>
      <c r="C84" s="14">
        <f t="shared" si="16"/>
        <v>46539</v>
      </c>
      <c r="D84" s="18" t="s">
        <v>332</v>
      </c>
      <c r="E84" s="16">
        <v>1088.2</v>
      </c>
      <c r="F84" s="16">
        <f t="shared" si="17"/>
        <v>0</v>
      </c>
      <c r="G84" s="16">
        <v>0</v>
      </c>
      <c r="H84" s="16">
        <f t="shared" si="18"/>
        <v>1114.5999999999999</v>
      </c>
      <c r="I84" s="16">
        <f t="shared" si="13"/>
        <v>14.289743589743589</v>
      </c>
      <c r="J84" s="17">
        <v>3</v>
      </c>
      <c r="K84" s="31" t="s">
        <v>333</v>
      </c>
    </row>
    <row r="85" spans="2:12" x14ac:dyDescent="0.2">
      <c r="B85">
        <f t="shared" si="16"/>
        <v>80</v>
      </c>
      <c r="C85" s="14">
        <f t="shared" si="16"/>
        <v>46540</v>
      </c>
      <c r="D85" s="18" t="s">
        <v>334</v>
      </c>
      <c r="E85" s="16">
        <v>1103.7</v>
      </c>
      <c r="F85" s="16">
        <f t="shared" si="17"/>
        <v>15.5</v>
      </c>
      <c r="G85" s="16"/>
      <c r="H85" s="16">
        <f t="shared" si="18"/>
        <v>1130.0999999999999</v>
      </c>
      <c r="I85" s="16">
        <f t="shared" si="13"/>
        <v>14.305063291139239</v>
      </c>
      <c r="J85" s="17"/>
      <c r="K85" s="20"/>
    </row>
    <row r="86" spans="2:12" x14ac:dyDescent="0.2">
      <c r="B86">
        <f t="shared" si="16"/>
        <v>81</v>
      </c>
      <c r="C86" s="14">
        <f t="shared" si="16"/>
        <v>46541</v>
      </c>
      <c r="D86" s="18" t="s">
        <v>146</v>
      </c>
      <c r="E86" s="16">
        <v>1121.9000000000001</v>
      </c>
      <c r="F86" s="16">
        <f t="shared" si="17"/>
        <v>18.200000000000045</v>
      </c>
      <c r="G86" s="16"/>
      <c r="H86" s="16">
        <f t="shared" si="18"/>
        <v>1148.3</v>
      </c>
      <c r="I86" s="16">
        <f t="shared" si="13"/>
        <v>14.35375</v>
      </c>
      <c r="K86" s="59" t="s">
        <v>366</v>
      </c>
    </row>
    <row r="87" spans="2:12" x14ac:dyDescent="0.2">
      <c r="B87">
        <f t="shared" si="16"/>
        <v>82</v>
      </c>
      <c r="C87" s="14">
        <f t="shared" si="16"/>
        <v>46542</v>
      </c>
      <c r="D87" s="58" t="s">
        <v>261</v>
      </c>
      <c r="E87" s="16">
        <v>1133.2</v>
      </c>
      <c r="F87" s="16">
        <f t="shared" si="17"/>
        <v>11.299999999999955</v>
      </c>
      <c r="G87" s="16">
        <v>0</v>
      </c>
      <c r="H87" s="16">
        <f t="shared" si="18"/>
        <v>1159.5999999999999</v>
      </c>
      <c r="I87" s="16">
        <f t="shared" ref="I87:I118" si="19">H87/B86</f>
        <v>14.316049382716049</v>
      </c>
      <c r="J87" s="17">
        <v>5</v>
      </c>
      <c r="K87" s="34" t="s">
        <v>367</v>
      </c>
      <c r="L87" s="68" t="s">
        <v>396</v>
      </c>
    </row>
    <row r="88" spans="2:12" x14ac:dyDescent="0.2">
      <c r="B88">
        <f t="shared" si="16"/>
        <v>83</v>
      </c>
      <c r="C88" s="14">
        <f t="shared" si="16"/>
        <v>46543</v>
      </c>
      <c r="D88" s="15"/>
      <c r="E88" s="16">
        <v>1133.2</v>
      </c>
      <c r="F88" s="16">
        <f t="shared" si="17"/>
        <v>0</v>
      </c>
      <c r="G88" s="16"/>
      <c r="H88" s="16">
        <f t="shared" si="18"/>
        <v>1159.5999999999999</v>
      </c>
      <c r="I88" s="16">
        <f t="shared" si="19"/>
        <v>14.141463414634146</v>
      </c>
      <c r="J88" s="17"/>
      <c r="K88" s="34"/>
    </row>
    <row r="89" spans="2:12" x14ac:dyDescent="0.2">
      <c r="B89">
        <f t="shared" si="16"/>
        <v>84</v>
      </c>
      <c r="C89" s="14">
        <f t="shared" si="16"/>
        <v>46544</v>
      </c>
      <c r="D89" s="15"/>
      <c r="E89" s="16">
        <v>1133.2</v>
      </c>
      <c r="F89" s="16">
        <f t="shared" si="17"/>
        <v>0</v>
      </c>
      <c r="G89" s="16"/>
      <c r="H89" s="16">
        <f t="shared" si="18"/>
        <v>1159.5999999999999</v>
      </c>
      <c r="I89" s="16">
        <f t="shared" si="19"/>
        <v>13.971084337349396</v>
      </c>
    </row>
    <row r="90" spans="2:12" x14ac:dyDescent="0.2">
      <c r="B90">
        <f t="shared" si="16"/>
        <v>85</v>
      </c>
      <c r="C90" s="14">
        <f t="shared" si="16"/>
        <v>46545</v>
      </c>
      <c r="D90" s="15"/>
      <c r="E90" s="16">
        <v>1133.2</v>
      </c>
      <c r="F90" s="16">
        <f t="shared" si="17"/>
        <v>0</v>
      </c>
      <c r="G90" s="16"/>
      <c r="H90" s="16">
        <f t="shared" si="18"/>
        <v>1159.5999999999999</v>
      </c>
      <c r="I90" s="16">
        <f t="shared" si="19"/>
        <v>13.804761904761904</v>
      </c>
      <c r="K90" s="19" t="s">
        <v>282</v>
      </c>
    </row>
    <row r="91" spans="2:12" x14ac:dyDescent="0.2">
      <c r="B91">
        <f t="shared" si="16"/>
        <v>86</v>
      </c>
      <c r="C91" s="14">
        <f t="shared" si="16"/>
        <v>46546</v>
      </c>
      <c r="D91" s="15"/>
      <c r="E91" s="16">
        <v>1133.2</v>
      </c>
      <c r="F91" s="16">
        <f t="shared" si="17"/>
        <v>0</v>
      </c>
      <c r="G91" s="16"/>
      <c r="H91" s="16">
        <f t="shared" si="18"/>
        <v>1159.5999999999999</v>
      </c>
      <c r="I91" s="16">
        <f t="shared" si="19"/>
        <v>13.642352941176469</v>
      </c>
    </row>
    <row r="92" spans="2:12" x14ac:dyDescent="0.2">
      <c r="B92">
        <f t="shared" si="16"/>
        <v>87</v>
      </c>
      <c r="C92" s="14">
        <f t="shared" si="16"/>
        <v>46547</v>
      </c>
      <c r="D92" s="58" t="s">
        <v>262</v>
      </c>
      <c r="E92" s="16">
        <v>1203.2</v>
      </c>
      <c r="F92" s="16">
        <f t="shared" si="17"/>
        <v>70</v>
      </c>
      <c r="G92" s="16">
        <v>0</v>
      </c>
      <c r="H92" s="16">
        <f t="shared" si="18"/>
        <v>1229.5999999999999</v>
      </c>
      <c r="I92" s="16">
        <f t="shared" si="19"/>
        <v>14.29767441860465</v>
      </c>
      <c r="J92" s="17">
        <v>5</v>
      </c>
      <c r="K92" s="34" t="s">
        <v>368</v>
      </c>
      <c r="L92" s="68" t="s">
        <v>391</v>
      </c>
    </row>
    <row r="93" spans="2:12" x14ac:dyDescent="0.2">
      <c r="B93">
        <f t="shared" si="16"/>
        <v>88</v>
      </c>
      <c r="C93" s="14">
        <f t="shared" si="16"/>
        <v>46548</v>
      </c>
      <c r="D93" s="15"/>
      <c r="E93" s="16">
        <v>1203.2</v>
      </c>
      <c r="F93" s="16">
        <f t="shared" si="17"/>
        <v>0</v>
      </c>
      <c r="G93" s="16"/>
      <c r="H93" s="16">
        <f t="shared" si="18"/>
        <v>1229.5999999999999</v>
      </c>
      <c r="I93" s="16">
        <f t="shared" si="19"/>
        <v>14.133333333333333</v>
      </c>
    </row>
    <row r="94" spans="2:12" x14ac:dyDescent="0.2">
      <c r="B94">
        <f t="shared" si="16"/>
        <v>89</v>
      </c>
      <c r="C94" s="14">
        <f t="shared" si="16"/>
        <v>46549</v>
      </c>
      <c r="D94" s="15"/>
      <c r="E94" s="16">
        <v>1203.2</v>
      </c>
      <c r="F94" s="16">
        <f t="shared" si="17"/>
        <v>0</v>
      </c>
      <c r="G94" s="16"/>
      <c r="H94" s="16">
        <f t="shared" si="18"/>
        <v>1229.5999999999999</v>
      </c>
      <c r="I94" s="16">
        <f t="shared" si="19"/>
        <v>13.972727272727271</v>
      </c>
    </row>
    <row r="95" spans="2:12" x14ac:dyDescent="0.2">
      <c r="B95">
        <f t="shared" si="16"/>
        <v>90</v>
      </c>
      <c r="C95" s="14">
        <f t="shared" si="16"/>
        <v>46550</v>
      </c>
      <c r="D95" s="15"/>
      <c r="E95" s="16">
        <v>1203.2</v>
      </c>
      <c r="F95" s="16">
        <f t="shared" si="17"/>
        <v>0</v>
      </c>
      <c r="G95" s="16"/>
      <c r="H95" s="16">
        <f t="shared" si="18"/>
        <v>1229.5999999999999</v>
      </c>
      <c r="I95" s="16">
        <f t="shared" si="19"/>
        <v>13.815730337078652</v>
      </c>
    </row>
    <row r="96" spans="2:12" x14ac:dyDescent="0.2">
      <c r="B96">
        <f t="shared" si="16"/>
        <v>91</v>
      </c>
      <c r="C96" s="14">
        <f t="shared" si="16"/>
        <v>46551</v>
      </c>
      <c r="D96" s="15"/>
      <c r="E96" s="16">
        <v>1203.2</v>
      </c>
      <c r="F96" s="16">
        <f t="shared" si="17"/>
        <v>0</v>
      </c>
      <c r="G96" s="16"/>
      <c r="H96" s="16">
        <f t="shared" si="18"/>
        <v>1229.5999999999999</v>
      </c>
      <c r="I96" s="16">
        <f t="shared" si="19"/>
        <v>13.662222222222221</v>
      </c>
    </row>
    <row r="97" spans="2:12" x14ac:dyDescent="0.2">
      <c r="B97">
        <f t="shared" si="16"/>
        <v>92</v>
      </c>
      <c r="C97" s="14">
        <f t="shared" si="16"/>
        <v>46552</v>
      </c>
      <c r="D97" s="58" t="s">
        <v>335</v>
      </c>
      <c r="E97" s="16">
        <v>1279.5</v>
      </c>
      <c r="F97" s="16">
        <f t="shared" si="17"/>
        <v>76.299999999999955</v>
      </c>
      <c r="G97" s="16">
        <v>0</v>
      </c>
      <c r="H97" s="16">
        <f t="shared" si="18"/>
        <v>1305.8999999999999</v>
      </c>
      <c r="I97" s="16">
        <f t="shared" si="19"/>
        <v>14.350549450549449</v>
      </c>
      <c r="J97" s="17">
        <v>4</v>
      </c>
      <c r="K97" s="34" t="s">
        <v>369</v>
      </c>
      <c r="L97" s="68" t="s">
        <v>392</v>
      </c>
    </row>
    <row r="98" spans="2:12" x14ac:dyDescent="0.2">
      <c r="B98">
        <f t="shared" si="16"/>
        <v>93</v>
      </c>
      <c r="C98" s="14">
        <f t="shared" si="16"/>
        <v>46553</v>
      </c>
      <c r="D98" s="15"/>
      <c r="E98" s="16">
        <v>1279.5</v>
      </c>
      <c r="F98" s="16">
        <f t="shared" si="17"/>
        <v>0</v>
      </c>
      <c r="G98" s="16"/>
      <c r="H98" s="16">
        <f t="shared" si="18"/>
        <v>1305.8999999999999</v>
      </c>
      <c r="I98" s="16">
        <f t="shared" si="19"/>
        <v>14.194565217391302</v>
      </c>
    </row>
    <row r="99" spans="2:12" x14ac:dyDescent="0.2">
      <c r="B99">
        <f t="shared" ref="B99:C115" si="20">B98+1</f>
        <v>94</v>
      </c>
      <c r="C99" s="14">
        <f t="shared" si="16"/>
        <v>46554</v>
      </c>
      <c r="D99" s="15"/>
      <c r="E99" s="16">
        <v>1279.5</v>
      </c>
      <c r="F99" s="16">
        <f t="shared" si="17"/>
        <v>0</v>
      </c>
      <c r="G99" s="16"/>
      <c r="H99" s="16">
        <f t="shared" si="18"/>
        <v>1305.8999999999999</v>
      </c>
      <c r="I99" s="16">
        <f t="shared" si="19"/>
        <v>14.041935483870967</v>
      </c>
    </row>
    <row r="100" spans="2:12" x14ac:dyDescent="0.2">
      <c r="B100">
        <f t="shared" si="20"/>
        <v>95</v>
      </c>
      <c r="C100" s="14">
        <f t="shared" si="20"/>
        <v>46555</v>
      </c>
      <c r="D100" s="15" t="s">
        <v>337</v>
      </c>
      <c r="E100" s="16">
        <v>1331</v>
      </c>
      <c r="F100" s="16">
        <f t="shared" si="17"/>
        <v>51.5</v>
      </c>
      <c r="G100" s="16"/>
      <c r="H100" s="16">
        <f t="shared" si="18"/>
        <v>1357.3999999999999</v>
      </c>
      <c r="I100" s="16">
        <f t="shared" si="19"/>
        <v>14.440425531914892</v>
      </c>
      <c r="K100" s="34" t="s">
        <v>327</v>
      </c>
      <c r="L100" s="68" t="s">
        <v>397</v>
      </c>
    </row>
    <row r="101" spans="2:12" x14ac:dyDescent="0.2">
      <c r="B101">
        <f t="shared" si="20"/>
        <v>96</v>
      </c>
      <c r="C101" s="14">
        <f t="shared" si="20"/>
        <v>46556</v>
      </c>
      <c r="D101" s="58" t="s">
        <v>336</v>
      </c>
      <c r="E101" s="16">
        <v>1342.8</v>
      </c>
      <c r="F101" s="16">
        <f t="shared" si="17"/>
        <v>11.799999999999955</v>
      </c>
      <c r="G101" s="16">
        <v>2.4</v>
      </c>
      <c r="H101" s="16">
        <f t="shared" si="18"/>
        <v>1371.6</v>
      </c>
      <c r="I101" s="16">
        <f t="shared" si="19"/>
        <v>14.437894736842104</v>
      </c>
      <c r="J101" s="17">
        <v>4</v>
      </c>
      <c r="K101" s="66" t="s">
        <v>370</v>
      </c>
      <c r="L101" s="68" t="s">
        <v>398</v>
      </c>
    </row>
    <row r="102" spans="2:12" x14ac:dyDescent="0.2">
      <c r="B102">
        <f t="shared" si="20"/>
        <v>97</v>
      </c>
      <c r="C102" s="14">
        <f t="shared" si="20"/>
        <v>46557</v>
      </c>
      <c r="D102" s="15"/>
      <c r="E102" s="16">
        <v>1342.8</v>
      </c>
      <c r="F102" s="16">
        <f t="shared" si="17"/>
        <v>0</v>
      </c>
      <c r="G102" s="16"/>
      <c r="H102" s="16">
        <f t="shared" si="18"/>
        <v>1371.6</v>
      </c>
      <c r="I102" s="16">
        <f t="shared" si="19"/>
        <v>14.2875</v>
      </c>
    </row>
    <row r="103" spans="2:12" x14ac:dyDescent="0.2">
      <c r="B103">
        <f t="shared" si="20"/>
        <v>98</v>
      </c>
      <c r="C103" s="14">
        <f t="shared" si="20"/>
        <v>46558</v>
      </c>
      <c r="D103" s="15"/>
      <c r="E103" s="16">
        <v>1342.8</v>
      </c>
      <c r="F103" s="16">
        <f t="shared" si="17"/>
        <v>0</v>
      </c>
      <c r="G103" s="16"/>
      <c r="H103" s="16">
        <f t="shared" si="18"/>
        <v>1371.6</v>
      </c>
      <c r="I103" s="16">
        <f t="shared" si="19"/>
        <v>14.14020618556701</v>
      </c>
    </row>
    <row r="104" spans="2:12" x14ac:dyDescent="0.2">
      <c r="B104">
        <f t="shared" si="20"/>
        <v>99</v>
      </c>
      <c r="C104" s="14">
        <f t="shared" si="20"/>
        <v>46559</v>
      </c>
      <c r="D104" s="15"/>
      <c r="E104" s="16">
        <v>1342.8</v>
      </c>
      <c r="F104" s="16">
        <f t="shared" si="17"/>
        <v>0</v>
      </c>
      <c r="G104" s="16"/>
      <c r="H104" s="16">
        <f t="shared" si="18"/>
        <v>1371.6</v>
      </c>
      <c r="I104" s="16">
        <f t="shared" si="19"/>
        <v>13.995918367346938</v>
      </c>
    </row>
    <row r="105" spans="2:12" x14ac:dyDescent="0.2">
      <c r="B105">
        <f t="shared" si="20"/>
        <v>100</v>
      </c>
      <c r="C105" s="14">
        <f t="shared" si="20"/>
        <v>46560</v>
      </c>
      <c r="D105" s="58" t="s">
        <v>263</v>
      </c>
      <c r="E105" s="16">
        <v>1387.8</v>
      </c>
      <c r="F105" s="16">
        <f t="shared" si="17"/>
        <v>45</v>
      </c>
      <c r="G105" s="16">
        <v>0</v>
      </c>
      <c r="H105" s="16">
        <f t="shared" si="18"/>
        <v>1416.6</v>
      </c>
      <c r="I105" s="16">
        <f t="shared" si="19"/>
        <v>14.309090909090909</v>
      </c>
      <c r="J105" s="17">
        <v>5</v>
      </c>
      <c r="K105" s="19" t="s">
        <v>371</v>
      </c>
      <c r="L105" s="68" t="s">
        <v>400</v>
      </c>
    </row>
    <row r="106" spans="2:12" x14ac:dyDescent="0.2">
      <c r="B106">
        <f t="shared" si="20"/>
        <v>101</v>
      </c>
      <c r="C106" s="14">
        <f t="shared" si="20"/>
        <v>46561</v>
      </c>
      <c r="D106" s="15"/>
      <c r="E106" s="16">
        <v>1387.8</v>
      </c>
      <c r="F106" s="16">
        <f t="shared" si="17"/>
        <v>0</v>
      </c>
      <c r="G106" s="16"/>
      <c r="H106" s="16">
        <f t="shared" si="18"/>
        <v>1416.6</v>
      </c>
      <c r="I106" s="16">
        <f t="shared" si="19"/>
        <v>14.165999999999999</v>
      </c>
    </row>
    <row r="107" spans="2:12" x14ac:dyDescent="0.2">
      <c r="B107">
        <f t="shared" si="20"/>
        <v>102</v>
      </c>
      <c r="C107" s="14">
        <f t="shared" si="20"/>
        <v>46562</v>
      </c>
      <c r="D107" s="15"/>
      <c r="E107" s="16">
        <v>1387.8</v>
      </c>
      <c r="F107" s="16">
        <f t="shared" si="17"/>
        <v>0</v>
      </c>
      <c r="G107" s="16"/>
      <c r="H107" s="16">
        <f t="shared" si="18"/>
        <v>1416.6</v>
      </c>
      <c r="I107" s="16">
        <f t="shared" si="19"/>
        <v>14.025742574257425</v>
      </c>
    </row>
    <row r="108" spans="2:12" x14ac:dyDescent="0.2">
      <c r="B108">
        <f t="shared" si="20"/>
        <v>103</v>
      </c>
      <c r="C108" s="14">
        <f t="shared" si="20"/>
        <v>46563</v>
      </c>
      <c r="D108" s="15"/>
      <c r="E108" s="16">
        <v>1387.8</v>
      </c>
      <c r="F108" s="16">
        <f t="shared" si="17"/>
        <v>0</v>
      </c>
      <c r="G108" s="16"/>
      <c r="H108" s="16">
        <f t="shared" si="18"/>
        <v>1416.6</v>
      </c>
      <c r="I108" s="16">
        <f t="shared" si="19"/>
        <v>13.888235294117646</v>
      </c>
    </row>
    <row r="109" spans="2:12" x14ac:dyDescent="0.2">
      <c r="B109">
        <f t="shared" si="20"/>
        <v>104</v>
      </c>
      <c r="C109" s="14">
        <f t="shared" si="20"/>
        <v>46564</v>
      </c>
      <c r="D109" s="58" t="s">
        <v>339</v>
      </c>
      <c r="E109" s="16">
        <v>1452.1</v>
      </c>
      <c r="F109" s="16">
        <f t="shared" si="17"/>
        <v>64.299999999999955</v>
      </c>
      <c r="G109" s="16"/>
      <c r="H109" s="16">
        <f t="shared" si="18"/>
        <v>1480.8999999999999</v>
      </c>
      <c r="I109" s="16">
        <f t="shared" si="19"/>
        <v>14.37766990291262</v>
      </c>
      <c r="J109" s="17"/>
      <c r="K109" s="19" t="s">
        <v>338</v>
      </c>
      <c r="L109" s="68" t="s">
        <v>339</v>
      </c>
    </row>
    <row r="110" spans="2:12" x14ac:dyDescent="0.2">
      <c r="B110">
        <f t="shared" si="20"/>
        <v>105</v>
      </c>
      <c r="C110" s="14">
        <f t="shared" si="20"/>
        <v>46565</v>
      </c>
      <c r="D110" s="15"/>
      <c r="E110" s="16">
        <v>1477.3</v>
      </c>
      <c r="F110" s="16">
        <f t="shared" si="17"/>
        <v>25.200000000000045</v>
      </c>
      <c r="G110" s="16">
        <v>0</v>
      </c>
      <c r="H110" s="16">
        <f t="shared" si="18"/>
        <v>1506.1</v>
      </c>
      <c r="I110" s="16">
        <f t="shared" si="19"/>
        <v>14.481730769230769</v>
      </c>
      <c r="J110" s="10">
        <v>7</v>
      </c>
      <c r="K110" s="34" t="s">
        <v>328</v>
      </c>
    </row>
    <row r="111" spans="2:12" x14ac:dyDescent="0.2">
      <c r="B111">
        <f t="shared" si="20"/>
        <v>106</v>
      </c>
      <c r="C111" s="14">
        <f t="shared" si="20"/>
        <v>46566</v>
      </c>
      <c r="D111" s="58" t="s">
        <v>264</v>
      </c>
      <c r="E111" s="16">
        <v>1484.7</v>
      </c>
      <c r="F111" s="16">
        <f t="shared" si="17"/>
        <v>7.4000000000000909</v>
      </c>
      <c r="G111" s="16"/>
      <c r="H111" s="16">
        <f t="shared" si="18"/>
        <v>1513.5</v>
      </c>
      <c r="I111" s="16">
        <f t="shared" si="19"/>
        <v>14.414285714285715</v>
      </c>
      <c r="J111" s="17"/>
      <c r="K111" s="19" t="s">
        <v>461</v>
      </c>
      <c r="L111" s="68" t="s">
        <v>264</v>
      </c>
    </row>
    <row r="112" spans="2:12" x14ac:dyDescent="0.2">
      <c r="B112">
        <f t="shared" si="20"/>
        <v>107</v>
      </c>
      <c r="C112" s="14">
        <f t="shared" si="20"/>
        <v>46567</v>
      </c>
      <c r="D112" s="15"/>
      <c r="E112" s="16">
        <v>1484.7</v>
      </c>
      <c r="F112" s="16">
        <f t="shared" si="17"/>
        <v>0</v>
      </c>
      <c r="G112" s="16"/>
      <c r="H112" s="16">
        <f t="shared" si="18"/>
        <v>1513.5</v>
      </c>
      <c r="I112" s="16">
        <f t="shared" si="19"/>
        <v>14.278301886792454</v>
      </c>
    </row>
    <row r="113" spans="2:12" x14ac:dyDescent="0.2">
      <c r="B113">
        <f t="shared" si="20"/>
        <v>108</v>
      </c>
      <c r="C113" s="14">
        <f t="shared" si="20"/>
        <v>46568</v>
      </c>
      <c r="D113" s="15"/>
      <c r="E113" s="16">
        <v>1484.7</v>
      </c>
      <c r="F113" s="16">
        <f t="shared" si="17"/>
        <v>0</v>
      </c>
      <c r="G113" s="16"/>
      <c r="H113" s="16">
        <f t="shared" si="18"/>
        <v>1513.5</v>
      </c>
      <c r="I113" s="16">
        <f t="shared" si="19"/>
        <v>14.144859813084112</v>
      </c>
    </row>
    <row r="114" spans="2:12" x14ac:dyDescent="0.2">
      <c r="B114">
        <f t="shared" si="20"/>
        <v>109</v>
      </c>
      <c r="C114" s="14">
        <f t="shared" si="20"/>
        <v>46569</v>
      </c>
      <c r="D114" s="15"/>
      <c r="E114" s="16">
        <v>1484.7</v>
      </c>
      <c r="F114" s="16">
        <f t="shared" si="17"/>
        <v>0</v>
      </c>
      <c r="G114" s="16"/>
      <c r="H114" s="16">
        <f t="shared" si="18"/>
        <v>1513.5</v>
      </c>
      <c r="I114" s="16">
        <f t="shared" si="19"/>
        <v>14.013888888888889</v>
      </c>
    </row>
    <row r="115" spans="2:12" x14ac:dyDescent="0.2">
      <c r="B115">
        <f t="shared" ref="B115:C131" si="21">B114+1</f>
        <v>110</v>
      </c>
      <c r="C115" s="14">
        <f t="shared" si="20"/>
        <v>46570</v>
      </c>
      <c r="D115" s="15"/>
      <c r="E115" s="16">
        <v>1484.7</v>
      </c>
      <c r="F115" s="16">
        <f t="shared" si="17"/>
        <v>0</v>
      </c>
      <c r="G115" s="16"/>
      <c r="H115" s="16">
        <f t="shared" si="18"/>
        <v>1513.5</v>
      </c>
      <c r="I115" s="16">
        <f t="shared" si="19"/>
        <v>13.885321100917432</v>
      </c>
    </row>
    <row r="116" spans="2:12" x14ac:dyDescent="0.2">
      <c r="B116">
        <f t="shared" si="21"/>
        <v>111</v>
      </c>
      <c r="C116" s="14">
        <f t="shared" si="21"/>
        <v>46571</v>
      </c>
      <c r="D116" s="58" t="s">
        <v>265</v>
      </c>
      <c r="E116" s="16">
        <v>1555</v>
      </c>
      <c r="F116" s="16">
        <f t="shared" si="17"/>
        <v>70.299999999999955</v>
      </c>
      <c r="G116" s="16"/>
      <c r="H116" s="16">
        <f t="shared" si="18"/>
        <v>1583.8</v>
      </c>
      <c r="I116" s="16">
        <f t="shared" si="19"/>
        <v>14.398181818181818</v>
      </c>
      <c r="J116" s="17"/>
      <c r="K116" s="19" t="s">
        <v>460</v>
      </c>
      <c r="L116" s="68" t="s">
        <v>265</v>
      </c>
    </row>
    <row r="117" spans="2:12" x14ac:dyDescent="0.2">
      <c r="B117">
        <f t="shared" si="21"/>
        <v>112</v>
      </c>
      <c r="C117" s="14">
        <f t="shared" si="21"/>
        <v>46572</v>
      </c>
      <c r="D117" s="58" t="s">
        <v>266</v>
      </c>
      <c r="E117" s="16">
        <v>1563.6</v>
      </c>
      <c r="F117" s="16">
        <f t="shared" si="17"/>
        <v>8.5999999999999091</v>
      </c>
      <c r="G117" s="16">
        <v>0</v>
      </c>
      <c r="H117" s="16">
        <f t="shared" si="18"/>
        <v>1592.3999999999999</v>
      </c>
      <c r="I117" s="16">
        <f t="shared" si="19"/>
        <v>14.345945945945944</v>
      </c>
      <c r="J117" s="10">
        <v>6</v>
      </c>
      <c r="K117" s="34" t="s">
        <v>458</v>
      </c>
      <c r="L117" s="68" t="s">
        <v>401</v>
      </c>
    </row>
    <row r="118" spans="2:12" x14ac:dyDescent="0.2">
      <c r="B118">
        <f t="shared" si="21"/>
        <v>113</v>
      </c>
      <c r="C118" s="14">
        <f t="shared" si="21"/>
        <v>46573</v>
      </c>
      <c r="D118" s="58" t="s">
        <v>340</v>
      </c>
      <c r="E118" s="16">
        <v>1578.3</v>
      </c>
      <c r="F118" s="16">
        <f t="shared" si="17"/>
        <v>14.700000000000045</v>
      </c>
      <c r="G118" s="16"/>
      <c r="H118" s="16">
        <f t="shared" si="18"/>
        <v>1607.1</v>
      </c>
      <c r="I118" s="16">
        <f t="shared" si="19"/>
        <v>14.349107142857141</v>
      </c>
      <c r="J118" s="17"/>
      <c r="K118" s="19" t="s">
        <v>459</v>
      </c>
      <c r="L118" s="68" t="s">
        <v>340</v>
      </c>
    </row>
    <row r="119" spans="2:12" x14ac:dyDescent="0.2">
      <c r="B119">
        <f t="shared" si="21"/>
        <v>114</v>
      </c>
      <c r="C119" s="14">
        <f t="shared" si="21"/>
        <v>46574</v>
      </c>
      <c r="D119" s="15"/>
      <c r="E119" s="16">
        <v>1578.3</v>
      </c>
      <c r="F119" s="16">
        <f t="shared" si="17"/>
        <v>0</v>
      </c>
      <c r="G119" s="16"/>
      <c r="H119" s="16">
        <f t="shared" si="18"/>
        <v>1607.1</v>
      </c>
      <c r="I119" s="16">
        <f t="shared" ref="I119:I150" si="22">H119/B118</f>
        <v>14.222123893805309</v>
      </c>
      <c r="J119" s="17"/>
      <c r="K119" s="13"/>
    </row>
    <row r="120" spans="2:12" x14ac:dyDescent="0.2">
      <c r="B120">
        <f t="shared" si="21"/>
        <v>115</v>
      </c>
      <c r="C120" s="14">
        <f t="shared" si="21"/>
        <v>46575</v>
      </c>
      <c r="D120" s="15"/>
      <c r="E120" s="16">
        <v>1578.3</v>
      </c>
      <c r="F120" s="16">
        <f t="shared" si="17"/>
        <v>0</v>
      </c>
      <c r="G120" s="16"/>
      <c r="H120" s="16">
        <f t="shared" si="18"/>
        <v>1607.1</v>
      </c>
      <c r="I120" s="16">
        <f t="shared" si="22"/>
        <v>14.09736842105263</v>
      </c>
      <c r="J120" s="17"/>
      <c r="K120" s="13"/>
    </row>
    <row r="121" spans="2:12" x14ac:dyDescent="0.2">
      <c r="B121">
        <f t="shared" si="21"/>
        <v>116</v>
      </c>
      <c r="C121" s="14">
        <f t="shared" si="21"/>
        <v>46576</v>
      </c>
      <c r="D121" s="15"/>
      <c r="E121" s="16">
        <v>1578.3</v>
      </c>
      <c r="F121" s="16">
        <f t="shared" si="17"/>
        <v>0</v>
      </c>
      <c r="G121" s="16"/>
      <c r="H121" s="16">
        <f t="shared" si="18"/>
        <v>1607.1</v>
      </c>
      <c r="I121" s="16">
        <f t="shared" si="22"/>
        <v>13.974782608695651</v>
      </c>
      <c r="J121" s="17"/>
      <c r="K121" s="13"/>
    </row>
    <row r="122" spans="2:12" x14ac:dyDescent="0.2">
      <c r="B122">
        <f t="shared" si="21"/>
        <v>117</v>
      </c>
      <c r="C122" s="14">
        <f t="shared" si="21"/>
        <v>46577</v>
      </c>
      <c r="D122" s="15"/>
      <c r="E122" s="16">
        <v>1578.3</v>
      </c>
      <c r="F122" s="16">
        <f t="shared" si="17"/>
        <v>0</v>
      </c>
      <c r="G122" s="16"/>
      <c r="H122" s="16">
        <f t="shared" si="18"/>
        <v>1607.1</v>
      </c>
      <c r="I122" s="16">
        <f t="shared" si="22"/>
        <v>13.854310344827585</v>
      </c>
      <c r="J122" s="17"/>
      <c r="K122" s="13"/>
    </row>
    <row r="123" spans="2:12" x14ac:dyDescent="0.2">
      <c r="B123">
        <f t="shared" si="21"/>
        <v>118</v>
      </c>
      <c r="C123" s="14">
        <f t="shared" si="21"/>
        <v>46578</v>
      </c>
      <c r="D123" s="58" t="s">
        <v>267</v>
      </c>
      <c r="E123" s="16">
        <v>1636.8</v>
      </c>
      <c r="F123" s="16">
        <f t="shared" si="17"/>
        <v>58.5</v>
      </c>
      <c r="G123" s="16">
        <v>5.5</v>
      </c>
      <c r="H123" s="16">
        <f t="shared" si="18"/>
        <v>1671.1</v>
      </c>
      <c r="I123" s="16">
        <f t="shared" si="22"/>
        <v>14.282905982905982</v>
      </c>
      <c r="J123" s="17">
        <v>6</v>
      </c>
      <c r="K123" s="32" t="s">
        <v>462</v>
      </c>
      <c r="L123" s="68" t="s">
        <v>267</v>
      </c>
    </row>
    <row r="124" spans="2:12" x14ac:dyDescent="0.2">
      <c r="B124">
        <f t="shared" si="21"/>
        <v>119</v>
      </c>
      <c r="C124" s="14">
        <f t="shared" si="21"/>
        <v>46579</v>
      </c>
      <c r="D124" s="15"/>
      <c r="E124" s="16">
        <v>1636.8</v>
      </c>
      <c r="F124" s="16">
        <f t="shared" si="17"/>
        <v>0</v>
      </c>
      <c r="G124" s="16"/>
      <c r="H124" s="16">
        <f t="shared" si="18"/>
        <v>1671.1</v>
      </c>
      <c r="I124" s="16">
        <f t="shared" si="22"/>
        <v>14.16186440677966</v>
      </c>
      <c r="J124" s="17"/>
      <c r="K124" s="13"/>
    </row>
    <row r="125" spans="2:12" x14ac:dyDescent="0.2">
      <c r="B125">
        <f t="shared" si="21"/>
        <v>120</v>
      </c>
      <c r="C125" s="14">
        <f t="shared" si="21"/>
        <v>46580</v>
      </c>
      <c r="D125" s="15"/>
      <c r="E125" s="16">
        <v>1636.8</v>
      </c>
      <c r="F125" s="16">
        <f t="shared" si="17"/>
        <v>0</v>
      </c>
      <c r="G125" s="16"/>
      <c r="H125" s="16">
        <f t="shared" si="18"/>
        <v>1671.1</v>
      </c>
      <c r="I125" s="16">
        <f t="shared" si="22"/>
        <v>14.042857142857143</v>
      </c>
      <c r="J125" s="17"/>
      <c r="K125" s="13"/>
    </row>
    <row r="126" spans="2:12" x14ac:dyDescent="0.2">
      <c r="B126">
        <f t="shared" si="21"/>
        <v>121</v>
      </c>
      <c r="C126" s="14">
        <f t="shared" si="21"/>
        <v>46581</v>
      </c>
      <c r="D126" s="15"/>
      <c r="E126" s="16">
        <v>1636.8</v>
      </c>
      <c r="F126" s="16">
        <f t="shared" si="17"/>
        <v>0</v>
      </c>
      <c r="G126" s="16"/>
      <c r="H126" s="16">
        <f t="shared" si="18"/>
        <v>1671.1</v>
      </c>
      <c r="I126" s="16">
        <f t="shared" si="22"/>
        <v>13.925833333333333</v>
      </c>
      <c r="J126" s="17"/>
      <c r="K126" s="13"/>
    </row>
    <row r="127" spans="2:12" x14ac:dyDescent="0.2">
      <c r="B127">
        <f t="shared" si="21"/>
        <v>122</v>
      </c>
      <c r="C127" s="14">
        <f t="shared" si="21"/>
        <v>46582</v>
      </c>
      <c r="D127" s="15"/>
      <c r="E127" s="16">
        <v>1636.8</v>
      </c>
      <c r="F127" s="16">
        <f t="shared" si="17"/>
        <v>0</v>
      </c>
      <c r="G127" s="16"/>
      <c r="H127" s="16">
        <f t="shared" si="18"/>
        <v>1671.1</v>
      </c>
      <c r="I127" s="16">
        <f t="shared" si="22"/>
        <v>13.810743801652892</v>
      </c>
      <c r="J127" s="17"/>
      <c r="K127" s="13"/>
    </row>
    <row r="128" spans="2:12" x14ac:dyDescent="0.2">
      <c r="B128">
        <f t="shared" si="21"/>
        <v>123</v>
      </c>
      <c r="C128" s="14">
        <f t="shared" si="21"/>
        <v>46583</v>
      </c>
      <c r="D128" s="15"/>
      <c r="E128" s="16">
        <v>1636.8</v>
      </c>
      <c r="F128" s="16">
        <f t="shared" si="17"/>
        <v>0</v>
      </c>
      <c r="G128" s="16"/>
      <c r="H128" s="16">
        <f t="shared" si="18"/>
        <v>1671.1</v>
      </c>
      <c r="I128" s="16">
        <f t="shared" si="22"/>
        <v>13.697540983606556</v>
      </c>
      <c r="J128" s="17"/>
      <c r="K128" s="66" t="s">
        <v>399</v>
      </c>
    </row>
    <row r="129" spans="2:12" x14ac:dyDescent="0.2">
      <c r="B129">
        <f t="shared" si="21"/>
        <v>124</v>
      </c>
      <c r="C129" s="14">
        <f t="shared" si="21"/>
        <v>46584</v>
      </c>
      <c r="D129" s="58" t="s">
        <v>268</v>
      </c>
      <c r="E129" s="16">
        <v>1732.7</v>
      </c>
      <c r="F129" s="16">
        <f t="shared" si="17"/>
        <v>95.900000000000091</v>
      </c>
      <c r="G129" s="16">
        <v>0</v>
      </c>
      <c r="H129" s="16">
        <f t="shared" si="18"/>
        <v>1767</v>
      </c>
      <c r="I129" s="16">
        <f t="shared" si="22"/>
        <v>14.365853658536585</v>
      </c>
      <c r="J129" s="17">
        <v>5</v>
      </c>
      <c r="K129" s="32" t="s">
        <v>452</v>
      </c>
      <c r="L129" s="68" t="s">
        <v>268</v>
      </c>
    </row>
    <row r="130" spans="2:12" x14ac:dyDescent="0.2">
      <c r="B130">
        <f t="shared" si="21"/>
        <v>125</v>
      </c>
      <c r="C130" s="14">
        <f t="shared" si="21"/>
        <v>46585</v>
      </c>
      <c r="D130" s="15"/>
      <c r="E130" s="16">
        <v>1732.7</v>
      </c>
      <c r="F130" s="16">
        <f t="shared" si="17"/>
        <v>0</v>
      </c>
      <c r="G130" s="16"/>
      <c r="H130" s="16">
        <f t="shared" si="18"/>
        <v>1767</v>
      </c>
      <c r="I130" s="16">
        <f t="shared" si="22"/>
        <v>14.25</v>
      </c>
      <c r="J130" s="17"/>
      <c r="K130" s="13"/>
    </row>
    <row r="131" spans="2:12" x14ac:dyDescent="0.2">
      <c r="B131">
        <f t="shared" ref="B131:C147" si="23">B130+1</f>
        <v>126</v>
      </c>
      <c r="C131" s="14">
        <f t="shared" si="21"/>
        <v>46586</v>
      </c>
      <c r="D131" s="15"/>
      <c r="E131" s="16">
        <v>1732.7</v>
      </c>
      <c r="F131" s="16">
        <f t="shared" si="17"/>
        <v>0</v>
      </c>
      <c r="G131" s="16"/>
      <c r="H131" s="16">
        <f t="shared" si="18"/>
        <v>1767</v>
      </c>
      <c r="I131" s="16">
        <f t="shared" si="22"/>
        <v>14.135999999999999</v>
      </c>
      <c r="J131" s="17"/>
      <c r="K131" s="13"/>
    </row>
    <row r="132" spans="2:12" x14ac:dyDescent="0.2">
      <c r="B132">
        <f t="shared" si="23"/>
        <v>127</v>
      </c>
      <c r="C132" s="14">
        <f t="shared" si="23"/>
        <v>46587</v>
      </c>
      <c r="D132" s="15"/>
      <c r="E132" s="16">
        <v>1732.7</v>
      </c>
      <c r="F132" s="16">
        <f t="shared" si="17"/>
        <v>0</v>
      </c>
      <c r="G132" s="16"/>
      <c r="H132" s="16">
        <f t="shared" si="18"/>
        <v>1767</v>
      </c>
      <c r="I132" s="16">
        <f t="shared" si="22"/>
        <v>14.023809523809524</v>
      </c>
      <c r="J132" s="17"/>
      <c r="K132" s="13"/>
    </row>
    <row r="133" spans="2:12" x14ac:dyDescent="0.2">
      <c r="B133">
        <f t="shared" si="23"/>
        <v>128</v>
      </c>
      <c r="C133" s="14">
        <f t="shared" si="23"/>
        <v>46588</v>
      </c>
      <c r="D133" s="15"/>
      <c r="E133" s="16">
        <v>1732.7</v>
      </c>
      <c r="F133" s="16">
        <f t="shared" si="17"/>
        <v>0</v>
      </c>
      <c r="G133" s="16"/>
      <c r="H133" s="16">
        <f t="shared" si="18"/>
        <v>1767</v>
      </c>
      <c r="I133" s="16">
        <f t="shared" si="22"/>
        <v>13.913385826771654</v>
      </c>
      <c r="J133" s="17"/>
      <c r="K133" s="13"/>
    </row>
    <row r="134" spans="2:12" x14ac:dyDescent="0.2">
      <c r="B134">
        <f t="shared" si="23"/>
        <v>129</v>
      </c>
      <c r="C134" s="14">
        <f t="shared" si="23"/>
        <v>46589</v>
      </c>
      <c r="D134" s="58" t="s">
        <v>269</v>
      </c>
      <c r="E134" s="16">
        <v>1776.1</v>
      </c>
      <c r="F134" s="16">
        <f t="shared" si="17"/>
        <v>43.399999999999864</v>
      </c>
      <c r="G134" s="16">
        <v>0</v>
      </c>
      <c r="H134" s="16">
        <f t="shared" si="18"/>
        <v>1810.3999999999999</v>
      </c>
      <c r="I134" s="16">
        <f t="shared" si="22"/>
        <v>14.143749999999999</v>
      </c>
      <c r="J134" s="17">
        <v>3</v>
      </c>
      <c r="K134" s="19" t="s">
        <v>463</v>
      </c>
      <c r="L134" s="68" t="s">
        <v>269</v>
      </c>
    </row>
    <row r="135" spans="2:12" x14ac:dyDescent="0.2">
      <c r="B135">
        <f t="shared" si="23"/>
        <v>130</v>
      </c>
      <c r="C135" s="14">
        <f t="shared" si="23"/>
        <v>46590</v>
      </c>
      <c r="D135" s="15"/>
      <c r="E135" s="16">
        <v>1776.1</v>
      </c>
      <c r="F135" s="16">
        <f t="shared" si="17"/>
        <v>0</v>
      </c>
      <c r="G135" s="16"/>
      <c r="H135" s="16">
        <f t="shared" si="18"/>
        <v>1810.3999999999999</v>
      </c>
      <c r="I135" s="16">
        <f t="shared" si="22"/>
        <v>14.034108527131782</v>
      </c>
      <c r="J135" s="17"/>
      <c r="K135" s="13"/>
    </row>
    <row r="136" spans="2:12" x14ac:dyDescent="0.2">
      <c r="B136">
        <f t="shared" si="23"/>
        <v>131</v>
      </c>
      <c r="C136" s="14">
        <f t="shared" si="23"/>
        <v>46591</v>
      </c>
      <c r="D136" s="15"/>
      <c r="E136" s="16">
        <v>1776.1</v>
      </c>
      <c r="F136" s="16">
        <f t="shared" si="17"/>
        <v>0</v>
      </c>
      <c r="G136" s="16"/>
      <c r="H136" s="16">
        <f t="shared" si="18"/>
        <v>1810.3999999999999</v>
      </c>
      <c r="I136" s="16">
        <f t="shared" si="22"/>
        <v>13.926153846153845</v>
      </c>
      <c r="J136" s="17"/>
      <c r="K136" s="13"/>
    </row>
    <row r="137" spans="2:12" x14ac:dyDescent="0.2">
      <c r="B137">
        <f t="shared" si="23"/>
        <v>132</v>
      </c>
      <c r="C137" s="14">
        <f t="shared" si="23"/>
        <v>46592</v>
      </c>
      <c r="D137" s="58" t="s">
        <v>341</v>
      </c>
      <c r="E137" s="16">
        <v>1801.9</v>
      </c>
      <c r="F137" s="16">
        <f t="shared" si="17"/>
        <v>25.800000000000182</v>
      </c>
      <c r="G137" s="16">
        <v>5.8</v>
      </c>
      <c r="H137" s="16">
        <f t="shared" si="18"/>
        <v>1842</v>
      </c>
      <c r="I137" s="16">
        <f t="shared" si="22"/>
        <v>14.061068702290076</v>
      </c>
      <c r="J137" s="17">
        <v>5</v>
      </c>
      <c r="K137" s="19" t="s">
        <v>320</v>
      </c>
      <c r="L137" s="68" t="s">
        <v>402</v>
      </c>
    </row>
    <row r="138" spans="2:12" x14ac:dyDescent="0.2">
      <c r="B138">
        <f t="shared" si="23"/>
        <v>133</v>
      </c>
      <c r="C138" s="14">
        <f t="shared" si="23"/>
        <v>46593</v>
      </c>
      <c r="D138" s="15"/>
      <c r="E138" s="16">
        <v>1801.9</v>
      </c>
      <c r="F138" s="16">
        <f t="shared" si="17"/>
        <v>0</v>
      </c>
      <c r="G138" s="16"/>
      <c r="H138" s="16">
        <f t="shared" si="18"/>
        <v>1842</v>
      </c>
      <c r="I138" s="16">
        <f t="shared" si="22"/>
        <v>13.954545454545455</v>
      </c>
      <c r="J138" s="17"/>
      <c r="K138" s="13"/>
    </row>
    <row r="139" spans="2:12" x14ac:dyDescent="0.2">
      <c r="B139">
        <f t="shared" si="23"/>
        <v>134</v>
      </c>
      <c r="C139" s="14">
        <f t="shared" si="23"/>
        <v>46594</v>
      </c>
      <c r="D139" s="15"/>
      <c r="E139" s="16">
        <v>1801.9</v>
      </c>
      <c r="F139" s="16">
        <f t="shared" si="17"/>
        <v>0</v>
      </c>
      <c r="G139" s="16"/>
      <c r="H139" s="16">
        <f t="shared" si="18"/>
        <v>1842</v>
      </c>
      <c r="I139" s="16">
        <f t="shared" si="22"/>
        <v>13.849624060150376</v>
      </c>
      <c r="J139" s="17"/>
      <c r="K139" s="13"/>
    </row>
    <row r="140" spans="2:12" x14ac:dyDescent="0.2">
      <c r="B140">
        <f t="shared" si="23"/>
        <v>135</v>
      </c>
      <c r="C140" s="14">
        <f t="shared" si="23"/>
        <v>46595</v>
      </c>
      <c r="D140" s="15"/>
      <c r="E140" s="16">
        <v>1801.9</v>
      </c>
      <c r="F140" s="16">
        <f t="shared" si="17"/>
        <v>0</v>
      </c>
      <c r="G140" s="16"/>
      <c r="H140" s="16">
        <f t="shared" si="18"/>
        <v>1842</v>
      </c>
      <c r="I140" s="16">
        <f t="shared" si="22"/>
        <v>13.746268656716419</v>
      </c>
      <c r="J140" s="17"/>
      <c r="K140" s="13"/>
    </row>
    <row r="141" spans="2:12" x14ac:dyDescent="0.2">
      <c r="B141">
        <f t="shared" si="23"/>
        <v>136</v>
      </c>
      <c r="C141" s="14">
        <f t="shared" si="23"/>
        <v>46596</v>
      </c>
      <c r="D141" s="15"/>
      <c r="E141" s="16">
        <v>1801.9</v>
      </c>
      <c r="F141" s="16">
        <f t="shared" si="17"/>
        <v>0</v>
      </c>
      <c r="G141" s="16"/>
      <c r="H141" s="16">
        <f t="shared" si="18"/>
        <v>1842</v>
      </c>
      <c r="I141" s="16">
        <f t="shared" si="22"/>
        <v>13.644444444444444</v>
      </c>
    </row>
    <row r="142" spans="2:12" x14ac:dyDescent="0.2">
      <c r="B142">
        <f t="shared" si="23"/>
        <v>137</v>
      </c>
      <c r="C142" s="14">
        <f t="shared" si="23"/>
        <v>46597</v>
      </c>
      <c r="D142" s="58" t="s">
        <v>270</v>
      </c>
      <c r="E142" s="16">
        <v>1855.6</v>
      </c>
      <c r="F142" s="16">
        <f t="shared" si="17"/>
        <v>53.699999999999818</v>
      </c>
      <c r="G142" s="16">
        <v>3.6</v>
      </c>
      <c r="H142" s="16">
        <f t="shared" si="18"/>
        <v>1899.2999999999997</v>
      </c>
      <c r="I142" s="16">
        <f t="shared" si="22"/>
        <v>13.965441176470586</v>
      </c>
      <c r="J142" s="17">
        <v>5</v>
      </c>
      <c r="K142" s="32" t="s">
        <v>464</v>
      </c>
      <c r="L142" s="68" t="s">
        <v>270</v>
      </c>
    </row>
    <row r="143" spans="2:12" x14ac:dyDescent="0.2">
      <c r="B143">
        <f t="shared" si="23"/>
        <v>138</v>
      </c>
      <c r="C143" s="14">
        <f t="shared" si="23"/>
        <v>46598</v>
      </c>
      <c r="D143" s="15"/>
      <c r="E143" s="16">
        <v>1855.6</v>
      </c>
      <c r="F143" s="16">
        <f t="shared" si="17"/>
        <v>0</v>
      </c>
      <c r="G143" s="16"/>
      <c r="H143" s="16">
        <f t="shared" si="18"/>
        <v>1899.2999999999997</v>
      </c>
      <c r="I143" s="16">
        <f t="shared" si="22"/>
        <v>13.863503649635035</v>
      </c>
    </row>
    <row r="144" spans="2:12" x14ac:dyDescent="0.2">
      <c r="B144">
        <f t="shared" si="23"/>
        <v>139</v>
      </c>
      <c r="C144" s="14">
        <f t="shared" si="23"/>
        <v>46599</v>
      </c>
      <c r="D144" s="15"/>
      <c r="E144" s="16">
        <v>1855.6</v>
      </c>
      <c r="F144" s="16">
        <v>0</v>
      </c>
      <c r="G144" s="16"/>
      <c r="H144" s="16">
        <f t="shared" si="18"/>
        <v>1899.2999999999997</v>
      </c>
      <c r="I144" s="16">
        <f t="shared" si="22"/>
        <v>13.763043478260867</v>
      </c>
    </row>
    <row r="145" spans="2:12" x14ac:dyDescent="0.2">
      <c r="B145">
        <f t="shared" si="23"/>
        <v>140</v>
      </c>
      <c r="C145" s="14">
        <f t="shared" si="23"/>
        <v>46600</v>
      </c>
      <c r="D145" s="15"/>
      <c r="E145" s="16">
        <v>1855.6</v>
      </c>
      <c r="F145" s="16">
        <f>E145-E143</f>
        <v>0</v>
      </c>
      <c r="G145" s="16"/>
      <c r="H145" s="16">
        <f t="shared" si="18"/>
        <v>1899.2999999999997</v>
      </c>
      <c r="I145" s="16">
        <f t="shared" si="22"/>
        <v>13.664028776978416</v>
      </c>
    </row>
    <row r="146" spans="2:12" x14ac:dyDescent="0.2">
      <c r="B146">
        <f t="shared" si="23"/>
        <v>141</v>
      </c>
      <c r="C146" s="14">
        <f t="shared" si="23"/>
        <v>46601</v>
      </c>
      <c r="D146" s="15"/>
      <c r="E146" s="16">
        <v>1855.6</v>
      </c>
      <c r="F146" s="16">
        <f t="shared" si="17"/>
        <v>0</v>
      </c>
      <c r="G146" s="16"/>
      <c r="H146" s="16">
        <f t="shared" si="18"/>
        <v>1899.2999999999997</v>
      </c>
      <c r="I146" s="16">
        <f t="shared" si="22"/>
        <v>13.566428571428569</v>
      </c>
    </row>
    <row r="147" spans="2:12" x14ac:dyDescent="0.2">
      <c r="B147">
        <f t="shared" ref="B147:C163" si="24">B146+1</f>
        <v>142</v>
      </c>
      <c r="C147" s="14">
        <f t="shared" si="23"/>
        <v>46602</v>
      </c>
      <c r="D147" s="58" t="s">
        <v>271</v>
      </c>
      <c r="E147" s="16">
        <v>1918.1</v>
      </c>
      <c r="F147" s="16">
        <f t="shared" si="17"/>
        <v>62.5</v>
      </c>
      <c r="G147" s="16">
        <v>8</v>
      </c>
      <c r="H147" s="16">
        <f t="shared" ref="H147:H210" si="25">H146+F147+G147</f>
        <v>1969.7999999999997</v>
      </c>
      <c r="I147" s="16">
        <f t="shared" si="22"/>
        <v>13.970212765957445</v>
      </c>
      <c r="J147" s="17">
        <v>6</v>
      </c>
      <c r="K147" s="19" t="s">
        <v>372</v>
      </c>
      <c r="L147" s="68" t="s">
        <v>271</v>
      </c>
    </row>
    <row r="148" spans="2:12" x14ac:dyDescent="0.2">
      <c r="B148">
        <f t="shared" si="24"/>
        <v>143</v>
      </c>
      <c r="C148" s="14">
        <f t="shared" si="24"/>
        <v>46603</v>
      </c>
      <c r="D148" s="15"/>
      <c r="E148" s="16">
        <v>1918.1</v>
      </c>
      <c r="F148" s="16">
        <f t="shared" ref="F148:F211" si="26">E148-E147</f>
        <v>0</v>
      </c>
      <c r="G148" s="16"/>
      <c r="H148" s="16">
        <f t="shared" si="25"/>
        <v>1969.7999999999997</v>
      </c>
      <c r="I148" s="16">
        <f t="shared" si="22"/>
        <v>13.871830985915491</v>
      </c>
      <c r="J148" s="17"/>
      <c r="K148" s="19"/>
    </row>
    <row r="149" spans="2:12" x14ac:dyDescent="0.2">
      <c r="B149">
        <f t="shared" si="24"/>
        <v>144</v>
      </c>
      <c r="C149" s="14">
        <f t="shared" si="24"/>
        <v>46604</v>
      </c>
      <c r="D149" s="15"/>
      <c r="E149" s="16">
        <v>1918.1</v>
      </c>
      <c r="F149" s="16">
        <f t="shared" si="26"/>
        <v>0</v>
      </c>
      <c r="G149" s="16"/>
      <c r="H149" s="16">
        <f t="shared" si="25"/>
        <v>1969.7999999999997</v>
      </c>
      <c r="I149" s="16">
        <f t="shared" si="22"/>
        <v>13.774825174825173</v>
      </c>
    </row>
    <row r="150" spans="2:12" x14ac:dyDescent="0.2">
      <c r="B150">
        <f t="shared" si="24"/>
        <v>145</v>
      </c>
      <c r="C150" s="14">
        <f t="shared" si="24"/>
        <v>46605</v>
      </c>
      <c r="D150" s="15"/>
      <c r="E150" s="16">
        <v>1918.1</v>
      </c>
      <c r="F150" s="16">
        <f t="shared" si="26"/>
        <v>0</v>
      </c>
      <c r="G150" s="16"/>
      <c r="H150" s="16">
        <f t="shared" si="25"/>
        <v>1969.7999999999997</v>
      </c>
      <c r="I150" s="16">
        <f t="shared" si="22"/>
        <v>13.679166666666665</v>
      </c>
      <c r="L150" s="68" t="s">
        <v>403</v>
      </c>
    </row>
    <row r="151" spans="2:12" x14ac:dyDescent="0.2">
      <c r="B151">
        <f t="shared" si="24"/>
        <v>146</v>
      </c>
      <c r="C151" s="14">
        <f t="shared" si="24"/>
        <v>46606</v>
      </c>
      <c r="D151" s="15"/>
      <c r="E151" s="16">
        <v>1918.1</v>
      </c>
      <c r="F151" s="16">
        <f t="shared" si="26"/>
        <v>0</v>
      </c>
      <c r="G151" s="16"/>
      <c r="H151" s="16">
        <f t="shared" si="25"/>
        <v>1969.7999999999997</v>
      </c>
      <c r="I151" s="16">
        <f t="shared" ref="I151:I182" si="27">H151/B150</f>
        <v>13.584827586206895</v>
      </c>
    </row>
    <row r="152" spans="2:12" x14ac:dyDescent="0.2">
      <c r="B152">
        <f t="shared" si="24"/>
        <v>147</v>
      </c>
      <c r="C152" s="14">
        <f t="shared" si="24"/>
        <v>46607</v>
      </c>
      <c r="D152" s="15"/>
      <c r="E152" s="16">
        <v>1918.1</v>
      </c>
      <c r="F152" s="16">
        <f t="shared" si="26"/>
        <v>0</v>
      </c>
      <c r="G152" s="16"/>
      <c r="H152" s="16">
        <f t="shared" si="25"/>
        <v>1969.7999999999997</v>
      </c>
      <c r="I152" s="16">
        <f t="shared" si="27"/>
        <v>13.491780821917807</v>
      </c>
    </row>
    <row r="153" spans="2:12" x14ac:dyDescent="0.2">
      <c r="B153">
        <f t="shared" si="24"/>
        <v>148</v>
      </c>
      <c r="C153" s="14">
        <f t="shared" si="24"/>
        <v>46608</v>
      </c>
      <c r="D153" s="58" t="s">
        <v>272</v>
      </c>
      <c r="E153" s="16">
        <v>1986.8</v>
      </c>
      <c r="F153" s="16">
        <f t="shared" si="26"/>
        <v>68.700000000000045</v>
      </c>
      <c r="G153" s="16"/>
      <c r="H153" s="16">
        <f t="shared" si="25"/>
        <v>2038.4999999999998</v>
      </c>
      <c r="I153" s="16">
        <f t="shared" si="27"/>
        <v>13.867346938775508</v>
      </c>
      <c r="J153" s="17">
        <v>6</v>
      </c>
      <c r="K153" s="32" t="s">
        <v>465</v>
      </c>
      <c r="L153" s="68" t="s">
        <v>404</v>
      </c>
    </row>
    <row r="154" spans="2:12" x14ac:dyDescent="0.2">
      <c r="B154">
        <f t="shared" si="24"/>
        <v>149</v>
      </c>
      <c r="C154" s="14">
        <f t="shared" si="24"/>
        <v>46609</v>
      </c>
      <c r="D154" s="15"/>
      <c r="E154" s="16">
        <v>1986.8</v>
      </c>
      <c r="F154" s="16">
        <f t="shared" si="26"/>
        <v>0</v>
      </c>
      <c r="G154" s="16"/>
      <c r="H154" s="16">
        <f t="shared" si="25"/>
        <v>2038.4999999999998</v>
      </c>
      <c r="I154" s="16">
        <f t="shared" si="27"/>
        <v>13.773648648648647</v>
      </c>
    </row>
    <row r="155" spans="2:12" x14ac:dyDescent="0.2">
      <c r="B155">
        <f t="shared" si="24"/>
        <v>150</v>
      </c>
      <c r="C155" s="14">
        <f t="shared" si="24"/>
        <v>46610</v>
      </c>
      <c r="D155" s="15"/>
      <c r="E155" s="16">
        <v>1986.8</v>
      </c>
      <c r="F155" s="16">
        <f t="shared" si="26"/>
        <v>0</v>
      </c>
      <c r="G155" s="16"/>
      <c r="H155" s="16">
        <f t="shared" si="25"/>
        <v>2038.4999999999998</v>
      </c>
      <c r="I155" s="16">
        <f t="shared" si="27"/>
        <v>13.681208053691273</v>
      </c>
    </row>
    <row r="156" spans="2:12" x14ac:dyDescent="0.2">
      <c r="B156">
        <f t="shared" si="24"/>
        <v>151</v>
      </c>
      <c r="C156" s="14">
        <f t="shared" si="24"/>
        <v>46611</v>
      </c>
      <c r="E156" s="16">
        <v>2023.4</v>
      </c>
      <c r="F156" s="16">
        <f t="shared" si="26"/>
        <v>36.600000000000136</v>
      </c>
      <c r="G156" s="16"/>
      <c r="H156" s="16">
        <f t="shared" si="25"/>
        <v>2075.1</v>
      </c>
      <c r="I156" s="16">
        <f t="shared" si="27"/>
        <v>13.834</v>
      </c>
      <c r="J156" s="17"/>
      <c r="K156" s="32" t="s">
        <v>373</v>
      </c>
      <c r="L156" s="68" t="s">
        <v>405</v>
      </c>
    </row>
    <row r="157" spans="2:12" x14ac:dyDescent="0.2">
      <c r="B157">
        <f t="shared" si="24"/>
        <v>152</v>
      </c>
      <c r="C157" s="14">
        <f t="shared" si="24"/>
        <v>46612</v>
      </c>
      <c r="D157" s="15"/>
      <c r="E157" s="16">
        <v>2023.4</v>
      </c>
      <c r="F157" s="16">
        <f t="shared" si="26"/>
        <v>0</v>
      </c>
      <c r="G157" s="16"/>
      <c r="H157" s="16">
        <f t="shared" si="25"/>
        <v>2075.1</v>
      </c>
      <c r="I157" s="16">
        <f t="shared" si="27"/>
        <v>13.742384105960264</v>
      </c>
      <c r="J157" s="22"/>
      <c r="K157" s="19"/>
    </row>
    <row r="158" spans="2:12" ht="25.5" x14ac:dyDescent="0.2">
      <c r="B158">
        <f t="shared" si="24"/>
        <v>153</v>
      </c>
      <c r="C158" s="14">
        <f t="shared" si="24"/>
        <v>46613</v>
      </c>
      <c r="D158" s="58" t="s">
        <v>345</v>
      </c>
      <c r="E158" s="16">
        <v>2060.1</v>
      </c>
      <c r="F158" s="16">
        <f t="shared" si="26"/>
        <v>36.699999999999818</v>
      </c>
      <c r="G158" s="16"/>
      <c r="H158" s="16">
        <f t="shared" si="25"/>
        <v>2111.7999999999997</v>
      </c>
      <c r="I158" s="16">
        <f t="shared" si="27"/>
        <v>13.893421052631577</v>
      </c>
      <c r="J158" s="10">
        <v>7</v>
      </c>
      <c r="K158" s="54" t="s">
        <v>467</v>
      </c>
      <c r="L158" s="68" t="s">
        <v>406</v>
      </c>
    </row>
    <row r="159" spans="2:12" x14ac:dyDescent="0.2">
      <c r="B159">
        <f t="shared" si="24"/>
        <v>154</v>
      </c>
      <c r="C159" s="14">
        <f t="shared" si="24"/>
        <v>46614</v>
      </c>
      <c r="D159" s="15"/>
      <c r="E159" s="16">
        <v>2060.1</v>
      </c>
      <c r="F159" s="16">
        <f t="shared" si="26"/>
        <v>0</v>
      </c>
      <c r="G159" s="16"/>
      <c r="H159" s="16">
        <f t="shared" si="25"/>
        <v>2111.7999999999997</v>
      </c>
      <c r="I159" s="16">
        <f t="shared" si="27"/>
        <v>13.802614379084966</v>
      </c>
    </row>
    <row r="160" spans="2:12" x14ac:dyDescent="0.2">
      <c r="B160">
        <f t="shared" si="24"/>
        <v>155</v>
      </c>
      <c r="C160" s="14">
        <f t="shared" si="24"/>
        <v>46615</v>
      </c>
      <c r="D160" s="15"/>
      <c r="E160" s="16">
        <v>2060.1</v>
      </c>
      <c r="F160" s="16">
        <f t="shared" si="26"/>
        <v>0</v>
      </c>
      <c r="G160" s="16"/>
      <c r="H160" s="16">
        <f t="shared" si="25"/>
        <v>2111.7999999999997</v>
      </c>
      <c r="I160" s="16">
        <f t="shared" si="27"/>
        <v>13.712987012987011</v>
      </c>
    </row>
    <row r="161" spans="2:11" x14ac:dyDescent="0.2">
      <c r="B161">
        <f t="shared" si="24"/>
        <v>156</v>
      </c>
      <c r="C161" s="14">
        <f t="shared" si="24"/>
        <v>46616</v>
      </c>
      <c r="D161" s="15"/>
      <c r="E161" s="16">
        <v>2060.1</v>
      </c>
      <c r="F161" s="16">
        <f t="shared" si="26"/>
        <v>0</v>
      </c>
      <c r="G161" s="16"/>
      <c r="H161" s="16">
        <f t="shared" si="25"/>
        <v>2111.7999999999997</v>
      </c>
      <c r="I161" s="16">
        <f t="shared" si="27"/>
        <v>13.624516129032257</v>
      </c>
    </row>
    <row r="162" spans="2:11" x14ac:dyDescent="0.2">
      <c r="B162">
        <f t="shared" si="24"/>
        <v>157</v>
      </c>
      <c r="C162" s="14">
        <f t="shared" si="24"/>
        <v>46617</v>
      </c>
      <c r="D162" s="15"/>
      <c r="E162" s="16">
        <v>2060.1</v>
      </c>
      <c r="F162" s="16">
        <f t="shared" si="26"/>
        <v>0</v>
      </c>
      <c r="G162" s="16"/>
      <c r="H162" s="16">
        <f t="shared" si="25"/>
        <v>2111.7999999999997</v>
      </c>
      <c r="I162" s="16">
        <f t="shared" si="27"/>
        <v>13.537179487179486</v>
      </c>
    </row>
    <row r="163" spans="2:11" x14ac:dyDescent="0.2">
      <c r="B163">
        <f t="shared" ref="B163:C179" si="28">B162+1</f>
        <v>158</v>
      </c>
      <c r="C163" s="14">
        <f t="shared" si="24"/>
        <v>46618</v>
      </c>
      <c r="D163" s="15"/>
      <c r="E163" s="16">
        <v>2060.1</v>
      </c>
      <c r="F163" s="16">
        <f t="shared" si="26"/>
        <v>0</v>
      </c>
      <c r="G163" s="16"/>
      <c r="H163" s="16">
        <f t="shared" si="25"/>
        <v>2111.7999999999997</v>
      </c>
      <c r="I163" s="16">
        <f t="shared" si="27"/>
        <v>13.450955414012737</v>
      </c>
      <c r="J163" s="17"/>
      <c r="K163" s="32"/>
    </row>
    <row r="164" spans="2:11" x14ac:dyDescent="0.2">
      <c r="B164">
        <f t="shared" si="28"/>
        <v>159</v>
      </c>
      <c r="C164" s="14">
        <f t="shared" si="28"/>
        <v>46619</v>
      </c>
      <c r="D164" s="58" t="s">
        <v>273</v>
      </c>
      <c r="E164" s="16">
        <v>2159.5</v>
      </c>
      <c r="F164" s="16">
        <f t="shared" si="26"/>
        <v>99.400000000000091</v>
      </c>
      <c r="G164" s="16"/>
      <c r="H164" s="16">
        <f t="shared" si="25"/>
        <v>2211.1999999999998</v>
      </c>
      <c r="I164" s="16">
        <f t="shared" si="27"/>
        <v>13.994936708860758</v>
      </c>
      <c r="J164" s="17">
        <v>4</v>
      </c>
      <c r="K164" s="19" t="s">
        <v>466</v>
      </c>
    </row>
    <row r="165" spans="2:11" x14ac:dyDescent="0.2">
      <c r="B165">
        <f t="shared" si="28"/>
        <v>160</v>
      </c>
      <c r="C165" s="14">
        <f t="shared" si="28"/>
        <v>46620</v>
      </c>
      <c r="D165" s="58"/>
      <c r="E165" s="16">
        <v>2160.1999999999998</v>
      </c>
      <c r="F165" s="16">
        <f t="shared" si="26"/>
        <v>0.6999999999998181</v>
      </c>
      <c r="G165" s="16"/>
      <c r="H165" s="16">
        <f t="shared" si="25"/>
        <v>2211.8999999999996</v>
      </c>
      <c r="I165" s="16">
        <f t="shared" si="27"/>
        <v>13.911320754716979</v>
      </c>
      <c r="J165" s="17"/>
      <c r="K165" s="19" t="s">
        <v>274</v>
      </c>
    </row>
    <row r="166" spans="2:11" x14ac:dyDescent="0.2">
      <c r="B166">
        <f t="shared" si="28"/>
        <v>161</v>
      </c>
      <c r="C166" s="14">
        <f t="shared" si="28"/>
        <v>46621</v>
      </c>
      <c r="D166" s="15"/>
      <c r="E166" s="16">
        <v>2169.4</v>
      </c>
      <c r="F166" s="16">
        <f t="shared" si="26"/>
        <v>9.2000000000002728</v>
      </c>
      <c r="G166" s="16"/>
      <c r="H166" s="16">
        <f t="shared" si="25"/>
        <v>2221.1</v>
      </c>
      <c r="I166" s="16">
        <f t="shared" si="27"/>
        <v>13.881874999999999</v>
      </c>
      <c r="J166" s="17"/>
      <c r="K166" s="31" t="s">
        <v>407</v>
      </c>
    </row>
    <row r="167" spans="2:11" x14ac:dyDescent="0.2">
      <c r="B167">
        <f t="shared" si="28"/>
        <v>162</v>
      </c>
      <c r="C167" s="14">
        <f t="shared" si="28"/>
        <v>46622</v>
      </c>
      <c r="D167" s="15"/>
      <c r="E167" s="16">
        <v>2174.6</v>
      </c>
      <c r="F167" s="16">
        <f t="shared" si="26"/>
        <v>5.1999999999998181</v>
      </c>
      <c r="G167" s="16"/>
      <c r="H167" s="16">
        <f t="shared" si="25"/>
        <v>2226.2999999999997</v>
      </c>
      <c r="I167" s="16">
        <f t="shared" si="27"/>
        <v>13.827950310559004</v>
      </c>
      <c r="J167" s="17"/>
      <c r="K167" s="11" t="s">
        <v>342</v>
      </c>
    </row>
    <row r="168" spans="2:11" x14ac:dyDescent="0.2">
      <c r="B168">
        <f t="shared" si="28"/>
        <v>163</v>
      </c>
      <c r="C168" s="14">
        <f t="shared" si="28"/>
        <v>46623</v>
      </c>
      <c r="D168" s="15"/>
      <c r="E168" s="16">
        <v>2174.6</v>
      </c>
      <c r="F168" s="16">
        <f t="shared" si="26"/>
        <v>0</v>
      </c>
      <c r="G168" s="16"/>
      <c r="H168" s="16">
        <f t="shared" si="25"/>
        <v>2226.2999999999997</v>
      </c>
      <c r="I168" s="16">
        <f t="shared" si="27"/>
        <v>13.74259259259259</v>
      </c>
      <c r="J168" s="17"/>
    </row>
    <row r="169" spans="2:11" ht="25.5" x14ac:dyDescent="0.2">
      <c r="B169">
        <f t="shared" si="28"/>
        <v>164</v>
      </c>
      <c r="C169" s="14">
        <f t="shared" si="28"/>
        <v>46624</v>
      </c>
      <c r="D169" s="15"/>
      <c r="E169" s="16"/>
      <c r="F169" s="16"/>
      <c r="G169" s="16">
        <f>SUM(G2:G168)</f>
        <v>42.9</v>
      </c>
      <c r="H169" s="16"/>
      <c r="I169" s="16">
        <f t="shared" si="27"/>
        <v>0</v>
      </c>
      <c r="J169" s="17"/>
      <c r="K169" s="13" t="s">
        <v>283</v>
      </c>
    </row>
    <row r="170" spans="2:11" x14ac:dyDescent="0.2">
      <c r="B170">
        <f t="shared" si="28"/>
        <v>165</v>
      </c>
      <c r="C170" s="14">
        <f t="shared" si="28"/>
        <v>46625</v>
      </c>
      <c r="D170" s="76" t="str">
        <f>("Year: "&amp;YEAR(C170))</f>
        <v>Year: 2027</v>
      </c>
      <c r="E170" s="16"/>
      <c r="F170" s="16">
        <f t="shared" si="26"/>
        <v>0</v>
      </c>
      <c r="G170" s="16"/>
      <c r="H170" s="16">
        <f t="shared" si="25"/>
        <v>0</v>
      </c>
      <c r="I170" s="16">
        <f t="shared" si="27"/>
        <v>0</v>
      </c>
      <c r="J170" s="17">
        <f>SUM(J2:J169)</f>
        <v>165</v>
      </c>
      <c r="K170" s="19" t="s">
        <v>275</v>
      </c>
    </row>
    <row r="171" spans="2:11" x14ac:dyDescent="0.2">
      <c r="B171">
        <f t="shared" si="28"/>
        <v>166</v>
      </c>
      <c r="C171" s="14">
        <f t="shared" si="28"/>
        <v>46626</v>
      </c>
      <c r="D171" s="15"/>
      <c r="E171" s="16"/>
      <c r="F171" s="16">
        <f t="shared" si="26"/>
        <v>0</v>
      </c>
      <c r="G171" s="16"/>
      <c r="H171" s="16">
        <f t="shared" si="25"/>
        <v>0</v>
      </c>
      <c r="I171" s="16">
        <f t="shared" si="27"/>
        <v>0</v>
      </c>
      <c r="J171" s="17">
        <v>31</v>
      </c>
      <c r="K171" s="13" t="s">
        <v>374</v>
      </c>
    </row>
    <row r="172" spans="2:11" x14ac:dyDescent="0.2">
      <c r="B172">
        <f t="shared" si="28"/>
        <v>167</v>
      </c>
      <c r="C172" s="14">
        <f t="shared" si="28"/>
        <v>46627</v>
      </c>
      <c r="D172" s="15"/>
      <c r="E172" s="16"/>
      <c r="F172" s="16">
        <f t="shared" si="26"/>
        <v>0</v>
      </c>
      <c r="G172" s="16"/>
      <c r="H172" s="16">
        <f t="shared" si="25"/>
        <v>0</v>
      </c>
      <c r="I172" s="16">
        <f t="shared" si="27"/>
        <v>0</v>
      </c>
      <c r="J172" s="17"/>
      <c r="K172" s="55" t="s">
        <v>344</v>
      </c>
    </row>
    <row r="173" spans="2:11" x14ac:dyDescent="0.2">
      <c r="B173">
        <f t="shared" si="28"/>
        <v>168</v>
      </c>
      <c r="C173" s="14">
        <f t="shared" si="28"/>
        <v>46628</v>
      </c>
      <c r="D173" s="15"/>
      <c r="E173" s="16"/>
      <c r="F173" s="16">
        <f t="shared" si="26"/>
        <v>0</v>
      </c>
      <c r="G173" s="16"/>
      <c r="H173" s="16">
        <f t="shared" si="25"/>
        <v>0</v>
      </c>
      <c r="I173" s="16">
        <f t="shared" si="27"/>
        <v>0</v>
      </c>
      <c r="J173" s="17"/>
      <c r="K173" s="32" t="s">
        <v>349</v>
      </c>
    </row>
    <row r="174" spans="2:11" x14ac:dyDescent="0.2">
      <c r="B174">
        <f t="shared" si="28"/>
        <v>169</v>
      </c>
      <c r="C174" s="14">
        <f t="shared" si="28"/>
        <v>46629</v>
      </c>
      <c r="D174" s="15"/>
      <c r="E174" s="16"/>
      <c r="F174" s="16">
        <f t="shared" si="26"/>
        <v>0</v>
      </c>
      <c r="G174" s="16"/>
      <c r="H174" s="16">
        <f t="shared" si="25"/>
        <v>0</v>
      </c>
      <c r="I174" s="16">
        <f t="shared" si="27"/>
        <v>0</v>
      </c>
      <c r="J174" s="17"/>
      <c r="K174" s="60" t="s">
        <v>348</v>
      </c>
    </row>
    <row r="175" spans="2:11" x14ac:dyDescent="0.2">
      <c r="B175">
        <f t="shared" si="28"/>
        <v>170</v>
      </c>
      <c r="C175" s="14">
        <f t="shared" si="28"/>
        <v>46630</v>
      </c>
      <c r="D175" s="15"/>
      <c r="E175" s="16"/>
      <c r="F175" s="16">
        <f t="shared" si="26"/>
        <v>0</v>
      </c>
      <c r="G175" s="16"/>
      <c r="H175" s="16">
        <f t="shared" si="25"/>
        <v>0</v>
      </c>
      <c r="I175" s="16">
        <f t="shared" si="27"/>
        <v>0</v>
      </c>
      <c r="J175" s="17"/>
      <c r="K175" s="66" t="s">
        <v>346</v>
      </c>
    </row>
    <row r="176" spans="2:11" x14ac:dyDescent="0.2">
      <c r="B176">
        <f t="shared" si="28"/>
        <v>171</v>
      </c>
      <c r="C176" s="14">
        <f t="shared" si="28"/>
        <v>46631</v>
      </c>
      <c r="D176" s="15"/>
      <c r="E176" s="16"/>
      <c r="F176" s="16">
        <f t="shared" si="26"/>
        <v>0</v>
      </c>
      <c r="G176" s="16"/>
      <c r="H176" s="16">
        <f t="shared" si="25"/>
        <v>0</v>
      </c>
      <c r="I176" s="16">
        <f t="shared" si="27"/>
        <v>0</v>
      </c>
      <c r="J176" s="17"/>
      <c r="K176" s="19" t="s">
        <v>427</v>
      </c>
    </row>
    <row r="177" spans="2:11" x14ac:dyDescent="0.2">
      <c r="B177">
        <f t="shared" si="28"/>
        <v>172</v>
      </c>
      <c r="C177" s="14">
        <f t="shared" si="28"/>
        <v>46632</v>
      </c>
      <c r="D177" s="15"/>
      <c r="E177" s="16"/>
      <c r="F177" s="16">
        <f t="shared" si="26"/>
        <v>0</v>
      </c>
      <c r="G177" s="16"/>
      <c r="H177" s="16">
        <f t="shared" si="25"/>
        <v>0</v>
      </c>
      <c r="I177" s="16">
        <f t="shared" si="27"/>
        <v>0</v>
      </c>
      <c r="J177" s="17"/>
      <c r="K177" s="19" t="s">
        <v>377</v>
      </c>
    </row>
    <row r="178" spans="2:11" x14ac:dyDescent="0.2">
      <c r="B178">
        <f t="shared" si="28"/>
        <v>173</v>
      </c>
      <c r="C178" s="14">
        <f t="shared" si="28"/>
        <v>46633</v>
      </c>
      <c r="D178" s="15"/>
      <c r="E178" s="16"/>
      <c r="F178" s="16">
        <f t="shared" si="26"/>
        <v>0</v>
      </c>
      <c r="G178" s="16"/>
      <c r="H178" s="16">
        <f t="shared" si="25"/>
        <v>0</v>
      </c>
      <c r="I178" s="16">
        <f t="shared" si="27"/>
        <v>0</v>
      </c>
      <c r="J178" s="17"/>
      <c r="K178" s="19" t="s">
        <v>347</v>
      </c>
    </row>
    <row r="179" spans="2:11" x14ac:dyDescent="0.2">
      <c r="B179">
        <f t="shared" ref="B179:C195" si="29">B178+1</f>
        <v>174</v>
      </c>
      <c r="C179" s="14">
        <f t="shared" si="28"/>
        <v>46634</v>
      </c>
      <c r="D179" s="15"/>
      <c r="E179" s="16"/>
      <c r="F179" s="16">
        <f t="shared" si="26"/>
        <v>0</v>
      </c>
      <c r="G179" s="16"/>
      <c r="H179" s="16">
        <f t="shared" si="25"/>
        <v>0</v>
      </c>
      <c r="I179" s="16">
        <f t="shared" si="27"/>
        <v>0</v>
      </c>
      <c r="J179" s="17"/>
      <c r="K179" s="13"/>
    </row>
    <row r="180" spans="2:11" x14ac:dyDescent="0.2">
      <c r="B180">
        <f t="shared" si="29"/>
        <v>175</v>
      </c>
      <c r="C180" s="14">
        <f t="shared" si="29"/>
        <v>46635</v>
      </c>
      <c r="D180" s="15"/>
      <c r="E180" s="16"/>
      <c r="F180" s="16">
        <f t="shared" si="26"/>
        <v>0</v>
      </c>
      <c r="G180" s="16"/>
      <c r="H180" s="16">
        <f t="shared" si="25"/>
        <v>0</v>
      </c>
      <c r="I180" s="16">
        <f t="shared" si="27"/>
        <v>0</v>
      </c>
      <c r="J180" s="17"/>
    </row>
    <row r="181" spans="2:11" x14ac:dyDescent="0.2">
      <c r="B181">
        <f t="shared" si="29"/>
        <v>176</v>
      </c>
      <c r="C181" s="14">
        <f t="shared" si="29"/>
        <v>46636</v>
      </c>
      <c r="D181" s="15"/>
      <c r="E181" s="16"/>
      <c r="F181" s="16">
        <f t="shared" si="26"/>
        <v>0</v>
      </c>
      <c r="G181" s="16"/>
      <c r="H181" s="16">
        <f t="shared" si="25"/>
        <v>0</v>
      </c>
      <c r="I181" s="16">
        <f t="shared" si="27"/>
        <v>0</v>
      </c>
      <c r="J181" s="17"/>
    </row>
    <row r="182" spans="2:11" x14ac:dyDescent="0.2">
      <c r="B182">
        <f t="shared" si="29"/>
        <v>177</v>
      </c>
      <c r="C182" s="14">
        <f t="shared" si="29"/>
        <v>46637</v>
      </c>
      <c r="D182" s="15"/>
      <c r="E182" s="16"/>
      <c r="F182" s="16">
        <f t="shared" si="26"/>
        <v>0</v>
      </c>
      <c r="G182" s="16"/>
      <c r="H182" s="16">
        <f t="shared" si="25"/>
        <v>0</v>
      </c>
      <c r="I182" s="16">
        <f t="shared" si="27"/>
        <v>0</v>
      </c>
      <c r="J182" s="17"/>
    </row>
    <row r="183" spans="2:11" x14ac:dyDescent="0.2">
      <c r="B183">
        <f t="shared" si="29"/>
        <v>178</v>
      </c>
      <c r="C183" s="14">
        <f t="shared" si="29"/>
        <v>46638</v>
      </c>
      <c r="D183" s="15"/>
      <c r="E183" s="16"/>
      <c r="F183" s="16">
        <f t="shared" si="26"/>
        <v>0</v>
      </c>
      <c r="G183" s="16"/>
      <c r="H183" s="16">
        <f t="shared" si="25"/>
        <v>0</v>
      </c>
      <c r="I183" s="16">
        <f t="shared" ref="I183:I213" si="30">H183/B182</f>
        <v>0</v>
      </c>
      <c r="J183" s="17"/>
      <c r="K183" s="63" t="s">
        <v>360</v>
      </c>
    </row>
    <row r="184" spans="2:11" x14ac:dyDescent="0.2">
      <c r="B184">
        <f t="shared" si="29"/>
        <v>179</v>
      </c>
      <c r="C184" s="14">
        <f t="shared" si="29"/>
        <v>46639</v>
      </c>
      <c r="D184" s="15"/>
      <c r="E184" s="16"/>
      <c r="F184" s="16">
        <f t="shared" si="26"/>
        <v>0</v>
      </c>
      <c r="G184" s="16"/>
      <c r="H184" s="16">
        <f t="shared" si="25"/>
        <v>0</v>
      </c>
      <c r="I184" s="16">
        <f t="shared" si="30"/>
        <v>0</v>
      </c>
      <c r="J184" s="17"/>
      <c r="K184" s="31" t="s">
        <v>307</v>
      </c>
    </row>
    <row r="185" spans="2:11" x14ac:dyDescent="0.2">
      <c r="B185">
        <f t="shared" si="29"/>
        <v>180</v>
      </c>
      <c r="C185" s="14">
        <f t="shared" si="29"/>
        <v>46640</v>
      </c>
      <c r="D185" s="15"/>
      <c r="E185" s="16"/>
      <c r="F185" s="16">
        <f t="shared" si="26"/>
        <v>0</v>
      </c>
      <c r="G185" s="16"/>
      <c r="H185" s="16">
        <f t="shared" si="25"/>
        <v>0</v>
      </c>
      <c r="I185" s="16">
        <f t="shared" si="30"/>
        <v>0</v>
      </c>
      <c r="J185" s="17"/>
      <c r="K185" s="11" t="s">
        <v>358</v>
      </c>
    </row>
    <row r="186" spans="2:11" x14ac:dyDescent="0.2">
      <c r="B186">
        <f t="shared" si="29"/>
        <v>181</v>
      </c>
      <c r="C186" s="14">
        <f t="shared" si="29"/>
        <v>46641</v>
      </c>
      <c r="D186" s="15"/>
      <c r="E186" s="16"/>
      <c r="F186" s="16">
        <f t="shared" si="26"/>
        <v>0</v>
      </c>
      <c r="G186" s="16"/>
      <c r="H186" s="16">
        <f t="shared" si="25"/>
        <v>0</v>
      </c>
      <c r="I186" s="16">
        <f t="shared" si="30"/>
        <v>0</v>
      </c>
      <c r="J186" s="17"/>
      <c r="K186" s="11" t="s">
        <v>311</v>
      </c>
    </row>
    <row r="187" spans="2:11" x14ac:dyDescent="0.2">
      <c r="B187">
        <f t="shared" si="29"/>
        <v>182</v>
      </c>
      <c r="C187" s="14">
        <f t="shared" si="29"/>
        <v>46642</v>
      </c>
      <c r="D187" s="15"/>
      <c r="E187" s="16"/>
      <c r="F187" s="16">
        <f t="shared" si="26"/>
        <v>0</v>
      </c>
      <c r="G187" s="16"/>
      <c r="H187" s="16">
        <f t="shared" si="25"/>
        <v>0</v>
      </c>
      <c r="I187" s="16">
        <f t="shared" si="30"/>
        <v>0</v>
      </c>
      <c r="J187" s="17"/>
      <c r="K187" s="11" t="s">
        <v>357</v>
      </c>
    </row>
    <row r="188" spans="2:11" x14ac:dyDescent="0.2">
      <c r="B188">
        <f t="shared" si="29"/>
        <v>183</v>
      </c>
      <c r="C188" s="14">
        <f t="shared" si="29"/>
        <v>46643</v>
      </c>
      <c r="D188" s="15"/>
      <c r="E188" s="16"/>
      <c r="F188" s="16">
        <f t="shared" si="26"/>
        <v>0</v>
      </c>
      <c r="G188" s="16"/>
      <c r="H188" s="16">
        <f t="shared" si="25"/>
        <v>0</v>
      </c>
      <c r="I188" s="16">
        <f t="shared" si="30"/>
        <v>0</v>
      </c>
      <c r="J188" s="17"/>
      <c r="K188" s="19" t="s">
        <v>359</v>
      </c>
    </row>
    <row r="189" spans="2:11" x14ac:dyDescent="0.2">
      <c r="B189">
        <f t="shared" si="29"/>
        <v>184</v>
      </c>
      <c r="C189" s="14">
        <f t="shared" si="29"/>
        <v>46644</v>
      </c>
      <c r="D189" s="15"/>
      <c r="E189" s="16"/>
      <c r="F189" s="16">
        <f t="shared" si="26"/>
        <v>0</v>
      </c>
      <c r="G189" s="16"/>
      <c r="H189" s="16">
        <f t="shared" si="25"/>
        <v>0</v>
      </c>
      <c r="I189" s="16">
        <f t="shared" si="30"/>
        <v>0</v>
      </c>
      <c r="J189" s="17"/>
      <c r="K189" s="13" t="s">
        <v>356</v>
      </c>
    </row>
    <row r="190" spans="2:11" x14ac:dyDescent="0.2">
      <c r="B190">
        <f t="shared" si="29"/>
        <v>185</v>
      </c>
      <c r="C190" s="14">
        <f t="shared" si="29"/>
        <v>46645</v>
      </c>
      <c r="D190" s="15"/>
      <c r="E190" s="16"/>
      <c r="F190" s="16">
        <f t="shared" si="26"/>
        <v>0</v>
      </c>
      <c r="G190" s="16"/>
      <c r="H190" s="16">
        <f t="shared" si="25"/>
        <v>0</v>
      </c>
      <c r="I190" s="16">
        <f t="shared" si="30"/>
        <v>0</v>
      </c>
      <c r="J190" s="17"/>
      <c r="K190" s="13" t="s">
        <v>355</v>
      </c>
    </row>
    <row r="191" spans="2:11" x14ac:dyDescent="0.2">
      <c r="B191">
        <f t="shared" si="29"/>
        <v>186</v>
      </c>
      <c r="C191" s="14">
        <f t="shared" si="29"/>
        <v>46646</v>
      </c>
      <c r="D191" s="15"/>
      <c r="E191" s="16"/>
      <c r="F191" s="16">
        <f t="shared" si="26"/>
        <v>0</v>
      </c>
      <c r="G191" s="16"/>
      <c r="H191" s="16">
        <f t="shared" si="25"/>
        <v>0</v>
      </c>
      <c r="I191" s="16">
        <f t="shared" si="30"/>
        <v>0</v>
      </c>
      <c r="J191" s="17"/>
      <c r="K191" s="13" t="s">
        <v>354</v>
      </c>
    </row>
    <row r="192" spans="2:11" x14ac:dyDescent="0.2">
      <c r="B192">
        <f t="shared" si="29"/>
        <v>187</v>
      </c>
      <c r="C192" s="14">
        <f t="shared" si="29"/>
        <v>46647</v>
      </c>
      <c r="D192" s="15"/>
      <c r="E192" s="16"/>
      <c r="F192" s="16">
        <f t="shared" si="26"/>
        <v>0</v>
      </c>
      <c r="G192" s="16"/>
      <c r="H192" s="16">
        <f t="shared" si="25"/>
        <v>0</v>
      </c>
      <c r="I192" s="16">
        <f t="shared" si="30"/>
        <v>0</v>
      </c>
      <c r="J192" s="17"/>
      <c r="K192" s="13" t="s">
        <v>353</v>
      </c>
    </row>
    <row r="193" spans="2:11" x14ac:dyDescent="0.2">
      <c r="B193">
        <f t="shared" si="29"/>
        <v>188</v>
      </c>
      <c r="C193" s="14">
        <f t="shared" si="29"/>
        <v>46648</v>
      </c>
      <c r="D193" s="15"/>
      <c r="E193" s="16"/>
      <c r="F193" s="16">
        <f t="shared" si="26"/>
        <v>0</v>
      </c>
      <c r="G193" s="16"/>
      <c r="H193" s="16">
        <f t="shared" si="25"/>
        <v>0</v>
      </c>
      <c r="I193" s="16">
        <f t="shared" si="30"/>
        <v>0</v>
      </c>
      <c r="J193" s="17"/>
      <c r="K193" s="13" t="s">
        <v>352</v>
      </c>
    </row>
    <row r="194" spans="2:11" x14ac:dyDescent="0.2">
      <c r="B194">
        <f t="shared" si="29"/>
        <v>189</v>
      </c>
      <c r="C194" s="14">
        <f t="shared" si="29"/>
        <v>46649</v>
      </c>
      <c r="D194" s="15"/>
      <c r="E194" s="16"/>
      <c r="F194" s="16">
        <f t="shared" si="26"/>
        <v>0</v>
      </c>
      <c r="G194" s="16"/>
      <c r="H194" s="16">
        <f t="shared" si="25"/>
        <v>0</v>
      </c>
      <c r="I194" s="16">
        <f t="shared" si="30"/>
        <v>0</v>
      </c>
      <c r="J194" s="17"/>
      <c r="K194" s="13" t="s">
        <v>351</v>
      </c>
    </row>
    <row r="195" spans="2:11" x14ac:dyDescent="0.2">
      <c r="B195">
        <f t="shared" ref="B195:C211" si="31">B194+1</f>
        <v>190</v>
      </c>
      <c r="C195" s="14">
        <f t="shared" si="29"/>
        <v>46650</v>
      </c>
      <c r="D195" s="15"/>
      <c r="E195" s="16"/>
      <c r="F195" s="16">
        <f t="shared" si="26"/>
        <v>0</v>
      </c>
      <c r="G195" s="16"/>
      <c r="H195" s="16">
        <f t="shared" si="25"/>
        <v>0</v>
      </c>
      <c r="I195" s="16">
        <f t="shared" si="30"/>
        <v>0</v>
      </c>
      <c r="J195" s="17"/>
      <c r="K195" s="13" t="s">
        <v>319</v>
      </c>
    </row>
    <row r="196" spans="2:11" x14ac:dyDescent="0.2">
      <c r="B196">
        <f t="shared" si="31"/>
        <v>191</v>
      </c>
      <c r="C196" s="14">
        <f t="shared" si="31"/>
        <v>46651</v>
      </c>
      <c r="D196" s="15"/>
      <c r="E196" s="16"/>
      <c r="F196" s="16">
        <f t="shared" si="26"/>
        <v>0</v>
      </c>
      <c r="G196" s="16"/>
      <c r="H196" s="16">
        <f t="shared" si="25"/>
        <v>0</v>
      </c>
      <c r="I196" s="16">
        <f t="shared" si="30"/>
        <v>0</v>
      </c>
      <c r="J196" s="17"/>
      <c r="K196" s="61" t="s">
        <v>350</v>
      </c>
    </row>
    <row r="197" spans="2:11" x14ac:dyDescent="0.2">
      <c r="B197">
        <f t="shared" si="31"/>
        <v>192</v>
      </c>
      <c r="C197" s="14">
        <f t="shared" si="31"/>
        <v>46652</v>
      </c>
      <c r="D197" s="15"/>
      <c r="E197" s="16"/>
      <c r="F197" s="16">
        <f t="shared" si="26"/>
        <v>0</v>
      </c>
      <c r="G197" s="16"/>
      <c r="H197" s="16">
        <f t="shared" si="25"/>
        <v>0</v>
      </c>
      <c r="I197" s="16">
        <f t="shared" si="30"/>
        <v>0</v>
      </c>
      <c r="J197" s="17"/>
      <c r="K197" s="62"/>
    </row>
    <row r="198" spans="2:11" x14ac:dyDescent="0.2">
      <c r="B198">
        <f t="shared" si="31"/>
        <v>193</v>
      </c>
      <c r="C198" s="14">
        <f t="shared" si="31"/>
        <v>46653</v>
      </c>
      <c r="D198" s="15"/>
      <c r="E198" s="16"/>
      <c r="F198" s="16">
        <f t="shared" si="26"/>
        <v>0</v>
      </c>
      <c r="G198" s="16"/>
      <c r="H198" s="16">
        <f t="shared" si="25"/>
        <v>0</v>
      </c>
      <c r="I198" s="16">
        <f t="shared" si="30"/>
        <v>0</v>
      </c>
      <c r="J198" s="17"/>
      <c r="K198" s="62"/>
    </row>
    <row r="199" spans="2:11" x14ac:dyDescent="0.2">
      <c r="B199">
        <f t="shared" si="31"/>
        <v>194</v>
      </c>
      <c r="C199" s="14">
        <f t="shared" si="31"/>
        <v>46654</v>
      </c>
      <c r="D199" s="15"/>
      <c r="E199" s="16"/>
      <c r="F199" s="16">
        <f t="shared" si="26"/>
        <v>0</v>
      </c>
      <c r="G199" s="16"/>
      <c r="H199" s="16">
        <f t="shared" si="25"/>
        <v>0</v>
      </c>
      <c r="I199" s="16">
        <f t="shared" si="30"/>
        <v>0</v>
      </c>
      <c r="J199" s="17"/>
      <c r="K199" s="62"/>
    </row>
    <row r="200" spans="2:11" x14ac:dyDescent="0.2">
      <c r="B200">
        <f t="shared" si="31"/>
        <v>195</v>
      </c>
      <c r="C200" s="14">
        <f t="shared" si="31"/>
        <v>46655</v>
      </c>
      <c r="D200" s="15"/>
      <c r="E200" s="16"/>
      <c r="F200" s="16">
        <f t="shared" si="26"/>
        <v>0</v>
      </c>
      <c r="G200" s="16"/>
      <c r="H200" s="16">
        <f t="shared" si="25"/>
        <v>0</v>
      </c>
      <c r="I200" s="16">
        <f t="shared" si="30"/>
        <v>0</v>
      </c>
      <c r="J200" s="17"/>
      <c r="K200" s="61"/>
    </row>
    <row r="201" spans="2:11" x14ac:dyDescent="0.2">
      <c r="B201">
        <f t="shared" si="31"/>
        <v>196</v>
      </c>
      <c r="C201" s="14">
        <f t="shared" si="31"/>
        <v>46656</v>
      </c>
      <c r="D201" s="15"/>
      <c r="E201" s="16"/>
      <c r="F201" s="16">
        <f t="shared" si="26"/>
        <v>0</v>
      </c>
      <c r="G201" s="16"/>
      <c r="H201" s="16">
        <f t="shared" si="25"/>
        <v>0</v>
      </c>
      <c r="I201" s="16">
        <f t="shared" si="30"/>
        <v>0</v>
      </c>
      <c r="J201" s="17"/>
      <c r="K201" s="13"/>
    </row>
    <row r="202" spans="2:11" x14ac:dyDescent="0.2">
      <c r="B202">
        <f t="shared" si="31"/>
        <v>197</v>
      </c>
      <c r="C202" s="14">
        <f t="shared" si="31"/>
        <v>46657</v>
      </c>
      <c r="D202" s="15"/>
      <c r="E202" s="16"/>
      <c r="F202" s="16">
        <f t="shared" si="26"/>
        <v>0</v>
      </c>
      <c r="G202" s="16"/>
      <c r="H202" s="16">
        <f t="shared" si="25"/>
        <v>0</v>
      </c>
      <c r="I202" s="16">
        <f t="shared" si="30"/>
        <v>0</v>
      </c>
      <c r="J202" s="17"/>
      <c r="K202" s="13"/>
    </row>
    <row r="203" spans="2:11" x14ac:dyDescent="0.2">
      <c r="B203">
        <f t="shared" si="31"/>
        <v>198</v>
      </c>
      <c r="C203" s="14">
        <f t="shared" si="31"/>
        <v>46658</v>
      </c>
      <c r="D203" s="15"/>
      <c r="E203" s="16"/>
      <c r="F203" s="16">
        <f t="shared" si="26"/>
        <v>0</v>
      </c>
      <c r="G203" s="16"/>
      <c r="H203" s="16">
        <f t="shared" si="25"/>
        <v>0</v>
      </c>
      <c r="I203" s="16">
        <f t="shared" si="30"/>
        <v>0</v>
      </c>
      <c r="J203" s="17"/>
      <c r="K203" s="13"/>
    </row>
    <row r="204" spans="2:11" x14ac:dyDescent="0.2">
      <c r="B204">
        <f t="shared" si="31"/>
        <v>199</v>
      </c>
      <c r="C204" s="14">
        <f t="shared" si="31"/>
        <v>46659</v>
      </c>
      <c r="D204" s="15"/>
      <c r="E204" s="16"/>
      <c r="F204" s="16">
        <f t="shared" si="26"/>
        <v>0</v>
      </c>
      <c r="G204" s="16"/>
      <c r="H204" s="16">
        <f t="shared" si="25"/>
        <v>0</v>
      </c>
      <c r="I204" s="16">
        <f t="shared" si="30"/>
        <v>0</v>
      </c>
      <c r="J204" s="17"/>
      <c r="K204" s="13"/>
    </row>
    <row r="205" spans="2:11" x14ac:dyDescent="0.2">
      <c r="B205">
        <f t="shared" si="31"/>
        <v>200</v>
      </c>
      <c r="C205" s="14">
        <f t="shared" si="31"/>
        <v>46660</v>
      </c>
      <c r="D205" s="15"/>
      <c r="E205" s="16"/>
      <c r="F205" s="16">
        <f t="shared" si="26"/>
        <v>0</v>
      </c>
      <c r="G205" s="16"/>
      <c r="H205" s="16">
        <f t="shared" si="25"/>
        <v>0</v>
      </c>
      <c r="I205" s="16">
        <f t="shared" si="30"/>
        <v>0</v>
      </c>
      <c r="J205" s="17"/>
      <c r="K205" s="13"/>
    </row>
    <row r="206" spans="2:11" x14ac:dyDescent="0.2">
      <c r="B206">
        <f t="shared" si="31"/>
        <v>201</v>
      </c>
      <c r="C206" s="14">
        <f t="shared" si="31"/>
        <v>46661</v>
      </c>
      <c r="D206" s="15"/>
      <c r="E206" s="16"/>
      <c r="F206" s="16">
        <f t="shared" si="26"/>
        <v>0</v>
      </c>
      <c r="G206" s="16"/>
      <c r="H206" s="16">
        <f t="shared" si="25"/>
        <v>0</v>
      </c>
      <c r="I206" s="16">
        <f t="shared" si="30"/>
        <v>0</v>
      </c>
      <c r="J206" s="17"/>
      <c r="K206" s="13"/>
    </row>
    <row r="207" spans="2:11" x14ac:dyDescent="0.2">
      <c r="B207">
        <f t="shared" si="31"/>
        <v>202</v>
      </c>
      <c r="C207" s="14">
        <f t="shared" si="31"/>
        <v>46662</v>
      </c>
      <c r="D207" s="15"/>
      <c r="E207" s="16"/>
      <c r="F207" s="16">
        <f t="shared" si="26"/>
        <v>0</v>
      </c>
      <c r="G207" s="16"/>
      <c r="H207" s="16">
        <f t="shared" si="25"/>
        <v>0</v>
      </c>
      <c r="I207" s="16">
        <f t="shared" si="30"/>
        <v>0</v>
      </c>
      <c r="J207" s="17"/>
      <c r="K207" s="13"/>
    </row>
    <row r="208" spans="2:11" x14ac:dyDescent="0.2">
      <c r="B208">
        <f t="shared" si="31"/>
        <v>203</v>
      </c>
      <c r="C208" s="14">
        <f t="shared" si="31"/>
        <v>46663</v>
      </c>
      <c r="D208" s="15"/>
      <c r="E208" s="16"/>
      <c r="F208" s="16">
        <f t="shared" si="26"/>
        <v>0</v>
      </c>
      <c r="G208" s="16"/>
      <c r="H208" s="16">
        <f t="shared" si="25"/>
        <v>0</v>
      </c>
      <c r="I208" s="16">
        <f t="shared" si="30"/>
        <v>0</v>
      </c>
      <c r="J208" s="17"/>
      <c r="K208" s="13"/>
    </row>
    <row r="209" spans="2:11" x14ac:dyDescent="0.2">
      <c r="B209">
        <f t="shared" si="31"/>
        <v>204</v>
      </c>
      <c r="C209" s="14">
        <f t="shared" si="31"/>
        <v>46664</v>
      </c>
      <c r="D209" s="15"/>
      <c r="E209" s="16"/>
      <c r="F209" s="16">
        <f t="shared" si="26"/>
        <v>0</v>
      </c>
      <c r="G209" s="16"/>
      <c r="H209" s="16">
        <f t="shared" si="25"/>
        <v>0</v>
      </c>
      <c r="I209" s="16">
        <f t="shared" si="30"/>
        <v>0</v>
      </c>
      <c r="J209" s="17"/>
      <c r="K209" s="13"/>
    </row>
    <row r="210" spans="2:11" x14ac:dyDescent="0.2">
      <c r="B210">
        <f t="shared" si="31"/>
        <v>205</v>
      </c>
      <c r="C210" s="14">
        <f t="shared" si="31"/>
        <v>46665</v>
      </c>
      <c r="D210" s="15"/>
      <c r="E210" s="16"/>
      <c r="F210" s="16">
        <f t="shared" si="26"/>
        <v>0</v>
      </c>
      <c r="G210" s="16"/>
      <c r="H210" s="16">
        <f t="shared" si="25"/>
        <v>0</v>
      </c>
      <c r="I210" s="16">
        <f t="shared" si="30"/>
        <v>0</v>
      </c>
      <c r="J210" s="17"/>
      <c r="K210" s="13"/>
    </row>
    <row r="211" spans="2:11" x14ac:dyDescent="0.2">
      <c r="B211">
        <f t="shared" ref="B211:C213" si="32">B210+1</f>
        <v>206</v>
      </c>
      <c r="C211" s="14">
        <f t="shared" si="31"/>
        <v>46666</v>
      </c>
      <c r="D211" s="15"/>
      <c r="E211" s="16"/>
      <c r="F211" s="16">
        <f t="shared" si="26"/>
        <v>0</v>
      </c>
      <c r="G211" s="16"/>
      <c r="H211" s="16">
        <f t="shared" ref="H211" si="33">H210+F211+G211</f>
        <v>0</v>
      </c>
      <c r="I211" s="16">
        <f t="shared" si="30"/>
        <v>0</v>
      </c>
      <c r="J211" s="17"/>
      <c r="K211" s="13"/>
    </row>
    <row r="212" spans="2:11" x14ac:dyDescent="0.2">
      <c r="B212">
        <f t="shared" si="32"/>
        <v>207</v>
      </c>
      <c r="C212" s="14">
        <f t="shared" si="32"/>
        <v>46667</v>
      </c>
      <c r="D212" s="15"/>
      <c r="E212" s="16"/>
      <c r="F212" s="16">
        <f>E212-E211</f>
        <v>0</v>
      </c>
      <c r="G212" s="16"/>
      <c r="H212" s="16">
        <f>H211+F212+G212</f>
        <v>0</v>
      </c>
      <c r="I212" s="16">
        <f t="shared" si="30"/>
        <v>0</v>
      </c>
      <c r="J212" s="17"/>
      <c r="K212" s="13"/>
    </row>
    <row r="213" spans="2:11" x14ac:dyDescent="0.2">
      <c r="C213" s="14">
        <f t="shared" si="32"/>
        <v>46668</v>
      </c>
      <c r="D213" s="15"/>
      <c r="E213" s="16"/>
      <c r="F213" s="16">
        <f>E213-E212</f>
        <v>0</v>
      </c>
      <c r="G213" s="16"/>
      <c r="H213" s="16">
        <f>H212+F213+G213</f>
        <v>0</v>
      </c>
      <c r="I213" s="16">
        <f t="shared" si="30"/>
        <v>0</v>
      </c>
      <c r="J213" s="17"/>
      <c r="K213" s="13"/>
    </row>
    <row r="214" spans="2:11" x14ac:dyDescent="0.2">
      <c r="C214" s="15"/>
      <c r="D214" s="15"/>
      <c r="E214" s="16"/>
      <c r="F214" s="16"/>
      <c r="G214" s="16"/>
      <c r="H214" s="16"/>
      <c r="I214" s="16"/>
      <c r="J214" s="17"/>
      <c r="K214" s="13"/>
    </row>
    <row r="215" spans="2:11" x14ac:dyDescent="0.2">
      <c r="C215" s="15"/>
      <c r="D215" s="15"/>
      <c r="E215" s="16"/>
      <c r="F215" s="16"/>
      <c r="G215" s="16"/>
      <c r="H215" s="16"/>
      <c r="I215" s="16"/>
      <c r="J215" s="17"/>
      <c r="K215" s="13"/>
    </row>
    <row r="216" spans="2:11" x14ac:dyDescent="0.2">
      <c r="C216" s="15"/>
      <c r="D216" s="15"/>
      <c r="E216" s="16"/>
      <c r="F216" s="16"/>
      <c r="G216" s="16"/>
      <c r="H216" s="16"/>
      <c r="I216" s="16"/>
      <c r="J216" s="17"/>
      <c r="K216" s="13"/>
    </row>
    <row r="217" spans="2:11" x14ac:dyDescent="0.2">
      <c r="C217" s="15"/>
      <c r="D217" s="15"/>
      <c r="E217" s="16"/>
      <c r="F217" s="16"/>
      <c r="G217" s="16"/>
      <c r="H217" s="16"/>
      <c r="I217" s="16"/>
      <c r="J217" s="17"/>
      <c r="K217" s="13"/>
    </row>
    <row r="218" spans="2:11" x14ac:dyDescent="0.2">
      <c r="C218" s="15"/>
      <c r="D218" s="15"/>
      <c r="E218" s="16"/>
      <c r="F218" s="16"/>
      <c r="G218" s="16"/>
      <c r="H218" s="16"/>
      <c r="I218" s="16"/>
      <c r="J218" s="17"/>
      <c r="K218" s="13"/>
    </row>
    <row r="219" spans="2:11" x14ac:dyDescent="0.2">
      <c r="C219" s="15"/>
      <c r="D219" s="15"/>
      <c r="E219" s="16"/>
      <c r="F219" s="16"/>
      <c r="G219" s="16"/>
      <c r="H219" s="16"/>
      <c r="I219" s="16"/>
      <c r="J219" s="17"/>
      <c r="K219" s="13"/>
    </row>
    <row r="220" spans="2:11" x14ac:dyDescent="0.2">
      <c r="C220" s="15"/>
      <c r="D220" s="15"/>
      <c r="E220" s="16"/>
      <c r="F220" s="16"/>
      <c r="G220" s="16"/>
      <c r="H220" s="16"/>
      <c r="I220" s="16"/>
      <c r="J220" s="17"/>
      <c r="K220" s="13"/>
    </row>
    <row r="221" spans="2:11" x14ac:dyDescent="0.2">
      <c r="C221" s="15"/>
      <c r="D221" s="15"/>
      <c r="E221" s="16"/>
      <c r="F221" s="16"/>
      <c r="G221" s="16"/>
      <c r="H221" s="16"/>
      <c r="I221" s="16"/>
      <c r="J221" s="17"/>
      <c r="K221" s="13"/>
    </row>
    <row r="222" spans="2:11" x14ac:dyDescent="0.2">
      <c r="C222" s="15"/>
      <c r="D222" s="15"/>
      <c r="E222" s="16"/>
      <c r="F222" s="16"/>
      <c r="G222" s="16"/>
      <c r="H222" s="16"/>
      <c r="I222" s="16"/>
      <c r="J222" s="17"/>
      <c r="K222" s="13"/>
    </row>
    <row r="223" spans="2:11" x14ac:dyDescent="0.2">
      <c r="C223" s="15"/>
      <c r="D223" s="15"/>
      <c r="E223" s="16"/>
      <c r="F223" s="16"/>
      <c r="G223" s="16"/>
      <c r="H223" s="16"/>
      <c r="I223" s="16"/>
      <c r="J223" s="17"/>
      <c r="K223" s="13"/>
    </row>
    <row r="224" spans="2:11" x14ac:dyDescent="0.2">
      <c r="C224" s="15"/>
      <c r="D224" s="15"/>
      <c r="E224" s="16"/>
      <c r="F224" s="16"/>
      <c r="G224" s="16"/>
      <c r="H224" s="16"/>
      <c r="I224" s="16"/>
      <c r="J224" s="17"/>
      <c r="K224" s="13"/>
    </row>
    <row r="225" spans="3:11" x14ac:dyDescent="0.2">
      <c r="C225" s="15"/>
      <c r="D225" s="15"/>
      <c r="E225" s="16"/>
      <c r="F225" s="16"/>
      <c r="G225" s="16"/>
      <c r="H225" s="16"/>
      <c r="I225" s="16"/>
      <c r="J225" s="17"/>
      <c r="K225" s="13"/>
    </row>
    <row r="226" spans="3:11" x14ac:dyDescent="0.2">
      <c r="C226" s="15"/>
      <c r="D226" s="15"/>
      <c r="E226" s="16"/>
      <c r="F226" s="16"/>
      <c r="G226" s="16"/>
      <c r="H226" s="16"/>
      <c r="I226" s="16"/>
      <c r="J226" s="17"/>
      <c r="K226" s="13"/>
    </row>
  </sheetData>
  <conditionalFormatting sqref="D2:D260">
    <cfRule type="containsText" dxfId="8" priority="2" operator="containsText" text="Shelter">
      <formula>NOT(ISERROR(SEARCH("Shelter",D2)))</formula>
    </cfRule>
  </conditionalFormatting>
  <conditionalFormatting sqref="K2:K260">
    <cfRule type="containsText" dxfId="7" priority="1" operator="containsText" text="Shelter">
      <formula>NOT(ISERROR(SEARCH("Shelter",K2)))</formula>
    </cfRule>
  </conditionalFormatting>
  <hyperlinks>
    <hyperlink ref="M1" r:id="rId1" xr:uid="{F831DBA2-A766-4DD6-BC15-2035941E9B6A}"/>
    <hyperlink ref="M2" r:id="rId2" xr:uid="{4A4B107D-6795-494C-810C-B84AF73552BD}"/>
  </hyperlinks>
  <printOptions gridLines="1"/>
  <pageMargins left="0.5" right="0.5" top="0.5" bottom="0.5" header="0.5" footer="0.5"/>
  <pageSetup orientation="landscape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BB7A-C819-4BD8-806B-301A79BC036A}">
  <sheetPr codeName="Sheet1"/>
  <dimension ref="A1:L1034"/>
  <sheetViews>
    <sheetView workbookViewId="0">
      <pane ySplit="4" topLeftCell="A5" activePane="bottomLeft" state="frozen"/>
      <selection pane="bottomLeft" activeCell="B30" sqref="B30"/>
    </sheetView>
  </sheetViews>
  <sheetFormatPr defaultRowHeight="12.75" x14ac:dyDescent="0.2"/>
  <cols>
    <col min="2" max="2" width="31.85546875" customWidth="1"/>
    <col min="4" max="4" width="14.28515625" customWidth="1"/>
    <col min="13" max="13" width="1.7109375" customWidth="1"/>
    <col min="14" max="14" width="30.7109375" customWidth="1"/>
  </cols>
  <sheetData>
    <row r="1" spans="1:12" x14ac:dyDescent="0.2">
      <c r="B1" s="20" t="s">
        <v>2093</v>
      </c>
    </row>
    <row r="2" spans="1:12" x14ac:dyDescent="0.2">
      <c r="A2" s="226" t="s">
        <v>1163</v>
      </c>
      <c r="B2" s="227" t="s">
        <v>1164</v>
      </c>
      <c r="C2" s="217" t="s">
        <v>1165</v>
      </c>
      <c r="D2" s="217" t="s">
        <v>1167</v>
      </c>
      <c r="E2" s="217" t="s">
        <v>1169</v>
      </c>
      <c r="F2" s="217" t="s">
        <v>1170</v>
      </c>
      <c r="G2" s="217" t="s">
        <v>472</v>
      </c>
      <c r="H2" s="217" t="s">
        <v>1174</v>
      </c>
      <c r="I2" s="217" t="s">
        <v>1174</v>
      </c>
      <c r="J2" s="217" t="s">
        <v>1174</v>
      </c>
      <c r="K2" s="217" t="s">
        <v>1174</v>
      </c>
      <c r="L2" s="217" t="s">
        <v>1177</v>
      </c>
    </row>
    <row r="3" spans="1:12" x14ac:dyDescent="0.2">
      <c r="A3" s="226"/>
      <c r="B3" s="227"/>
      <c r="C3" s="217" t="s">
        <v>1166</v>
      </c>
      <c r="D3" s="217" t="s">
        <v>1168</v>
      </c>
      <c r="E3" s="217" t="s">
        <v>1166</v>
      </c>
      <c r="F3" s="217" t="s">
        <v>1171</v>
      </c>
      <c r="G3" s="217" t="s">
        <v>1172</v>
      </c>
      <c r="H3" s="217" t="s">
        <v>472</v>
      </c>
      <c r="I3" s="217" t="s">
        <v>1171</v>
      </c>
      <c r="J3" s="217" t="s">
        <v>1175</v>
      </c>
      <c r="K3" s="217" t="s">
        <v>1176</v>
      </c>
      <c r="L3" s="217" t="s">
        <v>1178</v>
      </c>
    </row>
    <row r="4" spans="1:12" x14ac:dyDescent="0.2">
      <c r="A4" s="226"/>
      <c r="B4" s="227"/>
      <c r="C4" s="217"/>
      <c r="D4" s="217"/>
      <c r="E4" s="217"/>
      <c r="F4" s="217"/>
      <c r="G4" s="217" t="s">
        <v>1173</v>
      </c>
      <c r="H4" s="217"/>
      <c r="I4" s="217"/>
      <c r="J4" s="217"/>
      <c r="K4" s="217"/>
      <c r="L4" s="217"/>
    </row>
    <row r="5" spans="1:12" x14ac:dyDescent="0.2">
      <c r="A5" s="218"/>
      <c r="B5" s="219" t="s">
        <v>1179</v>
      </c>
      <c r="C5" s="220">
        <v>0</v>
      </c>
      <c r="D5" s="220" t="s">
        <v>1180</v>
      </c>
      <c r="E5" s="220">
        <v>0</v>
      </c>
      <c r="F5" s="220">
        <v>0</v>
      </c>
      <c r="G5" s="220">
        <v>0</v>
      </c>
      <c r="H5" s="220">
        <v>0</v>
      </c>
      <c r="I5" s="220">
        <v>0</v>
      </c>
      <c r="J5" s="220">
        <v>0</v>
      </c>
      <c r="K5" s="220" t="s">
        <v>1181</v>
      </c>
      <c r="L5" s="220"/>
    </row>
    <row r="6" spans="1:12" x14ac:dyDescent="0.2">
      <c r="A6" s="221"/>
      <c r="B6" s="222" t="s">
        <v>36</v>
      </c>
      <c r="C6" s="223">
        <v>0.2</v>
      </c>
      <c r="D6" s="223" t="s">
        <v>1180</v>
      </c>
      <c r="E6" s="223">
        <v>0.2</v>
      </c>
      <c r="F6" s="223">
        <v>0</v>
      </c>
      <c r="G6" s="223">
        <v>0.2</v>
      </c>
      <c r="H6" s="223"/>
      <c r="I6" s="223"/>
      <c r="J6" s="223"/>
      <c r="K6" s="223"/>
      <c r="L6" s="223"/>
    </row>
    <row r="7" spans="1:12" x14ac:dyDescent="0.2">
      <c r="A7" s="218"/>
      <c r="B7" s="224" t="s">
        <v>1182</v>
      </c>
      <c r="C7" s="220">
        <v>1</v>
      </c>
      <c r="D7" s="220" t="s">
        <v>1180</v>
      </c>
      <c r="E7" s="220">
        <v>1</v>
      </c>
      <c r="F7" s="220">
        <v>0.1</v>
      </c>
      <c r="G7" s="220">
        <v>0.8</v>
      </c>
      <c r="H7" s="220"/>
      <c r="I7" s="220"/>
      <c r="J7" s="220"/>
      <c r="K7" s="220"/>
      <c r="L7" s="220"/>
    </row>
    <row r="8" spans="1:12" x14ac:dyDescent="0.2">
      <c r="A8" s="221"/>
      <c r="B8" s="222" t="s">
        <v>37</v>
      </c>
      <c r="C8" s="223">
        <v>2.6</v>
      </c>
      <c r="D8" s="223" t="s">
        <v>1180</v>
      </c>
      <c r="E8" s="223">
        <v>2.6</v>
      </c>
      <c r="F8" s="223">
        <v>0.2</v>
      </c>
      <c r="G8" s="223">
        <v>1.6</v>
      </c>
      <c r="H8" s="223"/>
      <c r="I8" s="223"/>
      <c r="J8" s="223"/>
      <c r="K8" s="223"/>
      <c r="L8" s="223"/>
    </row>
    <row r="9" spans="1:12" x14ac:dyDescent="0.2">
      <c r="A9" s="218"/>
      <c r="B9" s="224" t="s">
        <v>1183</v>
      </c>
      <c r="C9" s="220">
        <v>4.3</v>
      </c>
      <c r="D9" s="220" t="s">
        <v>1180</v>
      </c>
      <c r="E9" s="220">
        <v>4.3</v>
      </c>
      <c r="F9" s="220">
        <v>0.4</v>
      </c>
      <c r="G9" s="220">
        <v>1.8</v>
      </c>
      <c r="H9" s="220"/>
      <c r="I9" s="220"/>
      <c r="J9" s="220"/>
      <c r="K9" s="220"/>
      <c r="L9" s="220"/>
    </row>
    <row r="10" spans="1:12" x14ac:dyDescent="0.2">
      <c r="A10" s="221"/>
      <c r="B10" s="222" t="s">
        <v>38</v>
      </c>
      <c r="C10" s="223">
        <v>8.1</v>
      </c>
      <c r="D10" s="223" t="s">
        <v>1180</v>
      </c>
      <c r="E10" s="223">
        <v>8.1</v>
      </c>
      <c r="F10" s="223">
        <v>0.7</v>
      </c>
      <c r="G10" s="223">
        <v>3.8</v>
      </c>
      <c r="H10" s="223"/>
      <c r="I10" s="223"/>
      <c r="J10" s="223"/>
      <c r="K10" s="223"/>
      <c r="L10" s="223"/>
    </row>
    <row r="11" spans="1:12" x14ac:dyDescent="0.2">
      <c r="A11" s="218"/>
      <c r="B11" s="224" t="s">
        <v>1184</v>
      </c>
      <c r="C11" s="220">
        <v>8.6</v>
      </c>
      <c r="D11" s="220" t="s">
        <v>1180</v>
      </c>
      <c r="E11" s="220">
        <v>8.6</v>
      </c>
      <c r="F11" s="220">
        <v>0.8</v>
      </c>
      <c r="G11" s="220">
        <v>0.5</v>
      </c>
      <c r="H11" s="220"/>
      <c r="I11" s="220"/>
      <c r="J11" s="220"/>
      <c r="K11" s="220"/>
      <c r="L11" s="220"/>
    </row>
    <row r="12" spans="1:12" x14ac:dyDescent="0.2">
      <c r="A12" s="221"/>
      <c r="B12" s="222" t="s">
        <v>1185</v>
      </c>
      <c r="C12" s="223">
        <v>10.5</v>
      </c>
      <c r="D12" s="223" t="s">
        <v>1180</v>
      </c>
      <c r="E12" s="223">
        <v>10.5</v>
      </c>
      <c r="F12" s="223">
        <v>0.9</v>
      </c>
      <c r="G12" s="223">
        <v>1.9</v>
      </c>
      <c r="H12" s="223"/>
      <c r="I12" s="223"/>
      <c r="J12" s="223"/>
      <c r="K12" s="223"/>
      <c r="L12" s="223"/>
    </row>
    <row r="13" spans="1:12" x14ac:dyDescent="0.2">
      <c r="A13" s="218"/>
      <c r="B13" s="224" t="s">
        <v>1186</v>
      </c>
      <c r="C13" s="220">
        <v>12.2</v>
      </c>
      <c r="D13" s="220" t="s">
        <v>1187</v>
      </c>
      <c r="E13" s="220">
        <v>12.2</v>
      </c>
      <c r="F13" s="220">
        <v>1.1000000000000001</v>
      </c>
      <c r="G13" s="220">
        <v>1.7</v>
      </c>
      <c r="H13" s="220"/>
      <c r="I13" s="220"/>
      <c r="J13" s="220"/>
      <c r="K13" s="220"/>
      <c r="L13" s="220"/>
    </row>
    <row r="14" spans="1:12" x14ac:dyDescent="0.2">
      <c r="A14" s="221"/>
      <c r="B14" s="222" t="s">
        <v>1188</v>
      </c>
      <c r="C14" s="223">
        <v>12.2</v>
      </c>
      <c r="D14" s="223" t="s">
        <v>1187</v>
      </c>
      <c r="E14" s="223">
        <v>12.2</v>
      </c>
      <c r="F14" s="223">
        <v>1.1000000000000001</v>
      </c>
      <c r="G14" s="223">
        <v>0</v>
      </c>
      <c r="H14" s="223"/>
      <c r="I14" s="223"/>
      <c r="J14" s="223"/>
      <c r="K14" s="223"/>
      <c r="L14" s="223"/>
    </row>
    <row r="15" spans="1:12" x14ac:dyDescent="0.2">
      <c r="A15" s="218"/>
      <c r="B15" s="224" t="s">
        <v>39</v>
      </c>
      <c r="C15" s="220">
        <v>15.7</v>
      </c>
      <c r="D15" s="220" t="s">
        <v>1187</v>
      </c>
      <c r="E15" s="220">
        <v>15.7</v>
      </c>
      <c r="F15" s="220">
        <v>1.4</v>
      </c>
      <c r="G15" s="220">
        <v>3.5</v>
      </c>
      <c r="H15" s="220"/>
      <c r="I15" s="220"/>
      <c r="J15" s="220"/>
      <c r="K15" s="220"/>
      <c r="L15" s="220"/>
    </row>
    <row r="16" spans="1:12" x14ac:dyDescent="0.2">
      <c r="A16" s="221"/>
      <c r="B16" s="222" t="s">
        <v>1189</v>
      </c>
      <c r="C16" s="223">
        <v>17.100000000000001</v>
      </c>
      <c r="D16" s="223" t="s">
        <v>1187</v>
      </c>
      <c r="E16" s="223">
        <v>17.100000000000001</v>
      </c>
      <c r="F16" s="223">
        <v>1.6</v>
      </c>
      <c r="G16" s="223">
        <v>1.5</v>
      </c>
      <c r="H16" s="223"/>
      <c r="I16" s="223"/>
      <c r="J16" s="223"/>
      <c r="K16" s="223"/>
      <c r="L16" s="223"/>
    </row>
    <row r="17" spans="1:12" x14ac:dyDescent="0.2">
      <c r="A17" s="218"/>
      <c r="B17" s="224" t="s">
        <v>1190</v>
      </c>
      <c r="C17" s="220">
        <v>17.2</v>
      </c>
      <c r="D17" s="220" t="s">
        <v>1187</v>
      </c>
      <c r="E17" s="220">
        <v>17.2</v>
      </c>
      <c r="F17" s="220">
        <v>1.6</v>
      </c>
      <c r="G17" s="220">
        <v>0.1</v>
      </c>
      <c r="H17" s="220"/>
      <c r="I17" s="220"/>
      <c r="J17" s="220"/>
      <c r="K17" s="220"/>
      <c r="L17" s="220"/>
    </row>
    <row r="18" spans="1:12" ht="22.5" x14ac:dyDescent="0.2">
      <c r="A18" s="221"/>
      <c r="B18" s="222" t="s">
        <v>1191</v>
      </c>
      <c r="C18" s="223">
        <v>21.1</v>
      </c>
      <c r="D18" s="223" t="s">
        <v>1187</v>
      </c>
      <c r="E18" s="223">
        <v>21.1</v>
      </c>
      <c r="F18" s="223">
        <v>1.9</v>
      </c>
      <c r="G18" s="223">
        <v>3.8</v>
      </c>
      <c r="H18" s="223"/>
      <c r="I18" s="223"/>
      <c r="J18" s="223"/>
      <c r="K18" s="223"/>
      <c r="L18" s="223"/>
    </row>
    <row r="19" spans="1:12" x14ac:dyDescent="0.2">
      <c r="A19" s="218"/>
      <c r="B19" s="224" t="s">
        <v>40</v>
      </c>
      <c r="C19" s="220">
        <v>28</v>
      </c>
      <c r="D19" s="220" t="s">
        <v>1192</v>
      </c>
      <c r="E19" s="220">
        <v>28</v>
      </c>
      <c r="F19" s="220">
        <v>2.5</v>
      </c>
      <c r="G19" s="220">
        <v>7</v>
      </c>
      <c r="H19" s="220"/>
      <c r="I19" s="220"/>
      <c r="J19" s="220"/>
      <c r="K19" s="220"/>
      <c r="L19" s="220"/>
    </row>
    <row r="20" spans="1:12" x14ac:dyDescent="0.2">
      <c r="A20" s="221"/>
      <c r="B20" s="222" t="s">
        <v>41</v>
      </c>
      <c r="C20" s="223">
        <v>29.7</v>
      </c>
      <c r="D20" s="223" t="s">
        <v>1192</v>
      </c>
      <c r="E20" s="223">
        <v>29.7</v>
      </c>
      <c r="F20" s="223">
        <v>2.7</v>
      </c>
      <c r="G20" s="223">
        <v>1.7</v>
      </c>
      <c r="H20" s="223"/>
      <c r="I20" s="223"/>
      <c r="J20" s="223"/>
      <c r="K20" s="223"/>
      <c r="L20" s="223"/>
    </row>
    <row r="21" spans="1:12" x14ac:dyDescent="0.2">
      <c r="A21" s="218"/>
      <c r="B21" s="224" t="s">
        <v>1193</v>
      </c>
      <c r="C21" s="220">
        <v>31.8</v>
      </c>
      <c r="D21" s="220" t="s">
        <v>1192</v>
      </c>
      <c r="E21" s="220">
        <v>31.7</v>
      </c>
      <c r="F21" s="220">
        <v>2.9</v>
      </c>
      <c r="G21" s="220">
        <v>2.1</v>
      </c>
      <c r="H21" s="220"/>
      <c r="I21" s="220"/>
      <c r="J21" s="220"/>
      <c r="K21" s="220"/>
      <c r="L21" s="220"/>
    </row>
    <row r="22" spans="1:12" x14ac:dyDescent="0.2">
      <c r="A22" s="221"/>
      <c r="B22" s="222" t="s">
        <v>1194</v>
      </c>
      <c r="C22" s="223">
        <v>32.1</v>
      </c>
      <c r="D22" s="223" t="s">
        <v>1192</v>
      </c>
      <c r="E22" s="223">
        <v>32.1</v>
      </c>
      <c r="F22" s="223">
        <v>2.9</v>
      </c>
      <c r="G22" s="223">
        <v>0.4</v>
      </c>
      <c r="H22" s="223"/>
      <c r="I22" s="223"/>
      <c r="J22" s="223"/>
      <c r="K22" s="223"/>
      <c r="L22" s="223"/>
    </row>
    <row r="23" spans="1:12" x14ac:dyDescent="0.2">
      <c r="A23" s="218"/>
      <c r="B23" s="224" t="s">
        <v>1195</v>
      </c>
      <c r="C23" s="220">
        <v>32.200000000000003</v>
      </c>
      <c r="D23" s="220" t="s">
        <v>1192</v>
      </c>
      <c r="E23" s="220">
        <v>32.200000000000003</v>
      </c>
      <c r="F23" s="220">
        <v>2.9</v>
      </c>
      <c r="G23" s="220">
        <v>0</v>
      </c>
      <c r="H23" s="220"/>
      <c r="I23" s="220"/>
      <c r="J23" s="220"/>
      <c r="K23" s="220"/>
      <c r="L23" s="220"/>
    </row>
    <row r="24" spans="1:12" ht="22.5" x14ac:dyDescent="0.2">
      <c r="A24" s="221"/>
      <c r="B24" s="222" t="s">
        <v>1196</v>
      </c>
      <c r="C24" s="223">
        <v>32.200000000000003</v>
      </c>
      <c r="D24" s="223" t="s">
        <v>1192</v>
      </c>
      <c r="E24" s="223">
        <v>32.200000000000003</v>
      </c>
      <c r="F24" s="223">
        <v>2.9</v>
      </c>
      <c r="G24" s="223">
        <v>0</v>
      </c>
      <c r="H24" s="223"/>
      <c r="I24" s="223"/>
      <c r="J24" s="223"/>
      <c r="K24" s="223"/>
      <c r="L24" s="223"/>
    </row>
    <row r="25" spans="1:12" x14ac:dyDescent="0.2">
      <c r="A25" s="218"/>
      <c r="B25" s="224" t="s">
        <v>1197</v>
      </c>
      <c r="C25" s="220">
        <v>38</v>
      </c>
      <c r="D25" s="220" t="s">
        <v>1198</v>
      </c>
      <c r="E25" s="220">
        <v>38</v>
      </c>
      <c r="F25" s="220">
        <v>3.4</v>
      </c>
      <c r="G25" s="220">
        <v>5.9</v>
      </c>
      <c r="H25" s="220"/>
      <c r="I25" s="220"/>
      <c r="J25" s="220"/>
      <c r="K25" s="220"/>
      <c r="L25" s="220"/>
    </row>
    <row r="26" spans="1:12" x14ac:dyDescent="0.2">
      <c r="A26" s="221"/>
      <c r="B26" s="222" t="s">
        <v>1199</v>
      </c>
      <c r="C26" s="223">
        <v>38.9</v>
      </c>
      <c r="D26" s="223" t="s">
        <v>1198</v>
      </c>
      <c r="E26" s="223">
        <v>38.9</v>
      </c>
      <c r="F26" s="223">
        <v>3.5</v>
      </c>
      <c r="G26" s="223">
        <v>0.9</v>
      </c>
      <c r="H26" s="223"/>
      <c r="I26" s="223"/>
      <c r="J26" s="223"/>
      <c r="K26" s="223"/>
      <c r="L26" s="223"/>
    </row>
    <row r="27" spans="1:12" x14ac:dyDescent="0.2">
      <c r="A27" s="218"/>
      <c r="B27" s="224" t="s">
        <v>1200</v>
      </c>
      <c r="C27" s="220">
        <v>39</v>
      </c>
      <c r="D27" s="220" t="s">
        <v>1198</v>
      </c>
      <c r="E27" s="220">
        <v>39</v>
      </c>
      <c r="F27" s="220">
        <v>3.5</v>
      </c>
      <c r="G27" s="220">
        <v>0.1</v>
      </c>
      <c r="H27" s="220"/>
      <c r="I27" s="220"/>
      <c r="J27" s="220"/>
      <c r="K27" s="220"/>
      <c r="L27" s="220"/>
    </row>
    <row r="28" spans="1:12" x14ac:dyDescent="0.2">
      <c r="A28" s="221"/>
      <c r="B28" s="222" t="s">
        <v>43</v>
      </c>
      <c r="C28" s="223">
        <v>43.7</v>
      </c>
      <c r="D28" s="223" t="s">
        <v>1198</v>
      </c>
      <c r="E28" s="223">
        <v>43.7</v>
      </c>
      <c r="F28" s="223">
        <v>3.9</v>
      </c>
      <c r="G28" s="223">
        <v>4.7</v>
      </c>
      <c r="H28" s="223"/>
      <c r="I28" s="223"/>
      <c r="J28" s="223"/>
      <c r="K28" s="223"/>
      <c r="L28" s="223"/>
    </row>
    <row r="29" spans="1:12" x14ac:dyDescent="0.2">
      <c r="A29" s="218"/>
      <c r="B29" s="224" t="s">
        <v>44</v>
      </c>
      <c r="C29" s="220">
        <v>51</v>
      </c>
      <c r="D29" s="220" t="s">
        <v>1201</v>
      </c>
      <c r="E29" s="220">
        <v>51</v>
      </c>
      <c r="F29" s="220">
        <v>4.5999999999999996</v>
      </c>
      <c r="G29" s="220">
        <v>7.4</v>
      </c>
      <c r="H29" s="220"/>
      <c r="I29" s="220"/>
      <c r="J29" s="220"/>
      <c r="K29" s="220"/>
      <c r="L29" s="220"/>
    </row>
    <row r="30" spans="1:12" ht="66.75" customHeight="1" x14ac:dyDescent="0.2">
      <c r="A30" s="218"/>
      <c r="B30" s="225" t="s">
        <v>1202</v>
      </c>
      <c r="C30" s="223">
        <v>53.3</v>
      </c>
      <c r="D30" s="223" t="s">
        <v>1201</v>
      </c>
      <c r="E30" s="223">
        <v>53.2</v>
      </c>
      <c r="F30" s="223">
        <v>4.8</v>
      </c>
      <c r="G30" s="223">
        <v>2.2000000000000002</v>
      </c>
      <c r="H30" s="223">
        <v>53.2</v>
      </c>
      <c r="I30" s="223">
        <v>4.8</v>
      </c>
      <c r="J30" s="223">
        <v>11.1</v>
      </c>
      <c r="K30" s="223">
        <v>5</v>
      </c>
      <c r="L30" s="223">
        <v>0.5</v>
      </c>
    </row>
    <row r="31" spans="1:12" x14ac:dyDescent="0.2">
      <c r="A31" s="221"/>
      <c r="B31" s="225"/>
      <c r="C31" s="223"/>
      <c r="D31" s="223" t="s">
        <v>1203</v>
      </c>
      <c r="E31" s="223"/>
      <c r="F31" s="223"/>
      <c r="G31" s="223"/>
      <c r="H31" s="223"/>
      <c r="I31" s="223"/>
      <c r="J31" s="223"/>
      <c r="K31" s="223"/>
      <c r="L31" s="223"/>
    </row>
    <row r="32" spans="1:12" ht="22.5" x14ac:dyDescent="0.2">
      <c r="A32" s="218"/>
      <c r="B32" s="224" t="s">
        <v>1204</v>
      </c>
      <c r="C32" s="220">
        <v>55.8</v>
      </c>
      <c r="D32" s="220" t="s">
        <v>1203</v>
      </c>
      <c r="E32" s="220">
        <v>55.8</v>
      </c>
      <c r="F32" s="220">
        <v>5.6</v>
      </c>
      <c r="G32" s="220">
        <v>2.6</v>
      </c>
      <c r="H32" s="220"/>
      <c r="I32" s="220"/>
      <c r="J32" s="220"/>
      <c r="K32" s="220"/>
      <c r="L32" s="220"/>
    </row>
    <row r="33" spans="1:12" x14ac:dyDescent="0.2">
      <c r="A33" s="221"/>
      <c r="B33" s="222" t="s">
        <v>1205</v>
      </c>
      <c r="C33" s="223">
        <v>57.6</v>
      </c>
      <c r="D33" s="223" t="s">
        <v>1203</v>
      </c>
      <c r="E33" s="223">
        <v>57.6</v>
      </c>
      <c r="F33" s="223">
        <v>5.8</v>
      </c>
      <c r="G33" s="223">
        <v>1.8</v>
      </c>
      <c r="H33" s="223"/>
      <c r="I33" s="223"/>
      <c r="J33" s="223"/>
      <c r="K33" s="223"/>
      <c r="L33" s="223"/>
    </row>
    <row r="34" spans="1:12" x14ac:dyDescent="0.2">
      <c r="A34" s="218"/>
      <c r="B34" s="224" t="s">
        <v>45</v>
      </c>
      <c r="C34" s="220">
        <v>58.9</v>
      </c>
      <c r="D34" s="220" t="s">
        <v>1203</v>
      </c>
      <c r="E34" s="220">
        <v>58.9</v>
      </c>
      <c r="F34" s="220">
        <v>5.9</v>
      </c>
      <c r="G34" s="220">
        <v>1.3</v>
      </c>
      <c r="H34" s="220"/>
      <c r="I34" s="220"/>
      <c r="J34" s="220"/>
      <c r="K34" s="220"/>
      <c r="L34" s="220"/>
    </row>
    <row r="35" spans="1:12" x14ac:dyDescent="0.2">
      <c r="A35" s="221"/>
      <c r="B35" s="222" t="s">
        <v>46</v>
      </c>
      <c r="C35" s="223">
        <v>66.2</v>
      </c>
      <c r="D35" s="223" t="s">
        <v>1206</v>
      </c>
      <c r="E35" s="223">
        <v>66.2</v>
      </c>
      <c r="F35" s="223">
        <v>6.7</v>
      </c>
      <c r="G35" s="223">
        <v>7.3</v>
      </c>
      <c r="H35" s="223"/>
      <c r="I35" s="223"/>
      <c r="J35" s="223"/>
      <c r="K35" s="223"/>
      <c r="L35" s="223"/>
    </row>
    <row r="36" spans="1:12" x14ac:dyDescent="0.2">
      <c r="A36" s="218"/>
      <c r="B36" s="224" t="s">
        <v>1207</v>
      </c>
      <c r="C36" s="220">
        <v>69.8</v>
      </c>
      <c r="D36" s="220" t="s">
        <v>1208</v>
      </c>
      <c r="E36" s="220">
        <v>69.8</v>
      </c>
      <c r="F36" s="220">
        <v>7</v>
      </c>
      <c r="G36" s="220">
        <v>3.6</v>
      </c>
      <c r="H36" s="220"/>
      <c r="I36" s="220"/>
      <c r="J36" s="220"/>
      <c r="K36" s="220"/>
      <c r="L36" s="220"/>
    </row>
    <row r="37" spans="1:12" x14ac:dyDescent="0.2">
      <c r="A37" s="221"/>
      <c r="B37" s="222" t="s">
        <v>982</v>
      </c>
      <c r="C37" s="223">
        <v>74.5</v>
      </c>
      <c r="D37" s="223" t="s">
        <v>1208</v>
      </c>
      <c r="E37" s="223">
        <v>74.5</v>
      </c>
      <c r="F37" s="223">
        <v>7.5</v>
      </c>
      <c r="G37" s="223">
        <v>4.5999999999999996</v>
      </c>
      <c r="H37" s="223"/>
      <c r="I37" s="223"/>
      <c r="J37" s="223"/>
      <c r="K37" s="223"/>
      <c r="L37" s="223"/>
    </row>
    <row r="38" spans="1:12" x14ac:dyDescent="0.2">
      <c r="A38" s="218"/>
      <c r="B38" s="224" t="s">
        <v>1209</v>
      </c>
      <c r="C38" s="220">
        <v>75.7</v>
      </c>
      <c r="D38" s="220" t="s">
        <v>1208</v>
      </c>
      <c r="E38" s="220">
        <v>75.7</v>
      </c>
      <c r="F38" s="220">
        <v>7.6</v>
      </c>
      <c r="G38" s="220">
        <v>1.2</v>
      </c>
      <c r="H38" s="220"/>
      <c r="I38" s="220"/>
      <c r="J38" s="220"/>
      <c r="K38" s="220"/>
      <c r="L38" s="220"/>
    </row>
    <row r="39" spans="1:12" x14ac:dyDescent="0.2">
      <c r="A39" s="221"/>
      <c r="B39" s="222" t="s">
        <v>47</v>
      </c>
      <c r="C39" s="223">
        <v>81.8</v>
      </c>
      <c r="D39" s="223" t="s">
        <v>1210</v>
      </c>
      <c r="E39" s="223">
        <v>81.7</v>
      </c>
      <c r="F39" s="223">
        <v>8.3000000000000007</v>
      </c>
      <c r="G39" s="223">
        <v>6</v>
      </c>
      <c r="H39" s="223"/>
      <c r="I39" s="223"/>
      <c r="J39" s="223"/>
      <c r="K39" s="223"/>
      <c r="L39" s="223"/>
    </row>
    <row r="40" spans="1:12" x14ac:dyDescent="0.2">
      <c r="A40" s="218"/>
      <c r="B40" s="224" t="s">
        <v>1211</v>
      </c>
      <c r="C40" s="220">
        <v>85.7</v>
      </c>
      <c r="D40" s="220" t="s">
        <v>1210</v>
      </c>
      <c r="E40" s="220">
        <v>85.7</v>
      </c>
      <c r="F40" s="220">
        <v>8.6999999999999993</v>
      </c>
      <c r="G40" s="220">
        <v>4</v>
      </c>
      <c r="H40" s="220"/>
      <c r="I40" s="220"/>
      <c r="J40" s="220"/>
      <c r="K40" s="220"/>
      <c r="L40" s="220"/>
    </row>
    <row r="41" spans="1:12" x14ac:dyDescent="0.2">
      <c r="A41" s="221"/>
      <c r="B41" s="222" t="s">
        <v>48</v>
      </c>
      <c r="C41" s="223">
        <v>86.7</v>
      </c>
      <c r="D41" s="223" t="s">
        <v>1210</v>
      </c>
      <c r="E41" s="223">
        <v>86.7</v>
      </c>
      <c r="F41" s="223">
        <v>8.8000000000000007</v>
      </c>
      <c r="G41" s="223">
        <v>0.9</v>
      </c>
      <c r="H41" s="223"/>
      <c r="I41" s="223"/>
      <c r="J41" s="223"/>
      <c r="K41" s="223"/>
      <c r="L41" s="223"/>
    </row>
    <row r="42" spans="1:12" x14ac:dyDescent="0.2">
      <c r="A42" s="218"/>
      <c r="B42" s="224" t="s">
        <v>1212</v>
      </c>
      <c r="C42" s="220">
        <v>94.4</v>
      </c>
      <c r="D42" s="220" t="s">
        <v>1213</v>
      </c>
      <c r="E42" s="220">
        <v>94.4</v>
      </c>
      <c r="F42" s="220">
        <v>9.6</v>
      </c>
      <c r="G42" s="220">
        <v>7.7</v>
      </c>
      <c r="H42" s="220"/>
      <c r="I42" s="220"/>
      <c r="J42" s="220"/>
      <c r="K42" s="220"/>
      <c r="L42" s="220"/>
    </row>
    <row r="43" spans="1:12" x14ac:dyDescent="0.2">
      <c r="A43" s="221"/>
      <c r="B43" s="222" t="s">
        <v>985</v>
      </c>
      <c r="C43" s="223">
        <v>94.4</v>
      </c>
      <c r="D43" s="223" t="s">
        <v>1213</v>
      </c>
      <c r="E43" s="223">
        <v>94.4</v>
      </c>
      <c r="F43" s="223">
        <v>9.6</v>
      </c>
      <c r="G43" s="223">
        <v>0.1</v>
      </c>
      <c r="H43" s="223"/>
      <c r="I43" s="223"/>
      <c r="J43" s="223"/>
      <c r="K43" s="223"/>
      <c r="L43" s="223"/>
    </row>
    <row r="44" spans="1:12" x14ac:dyDescent="0.2">
      <c r="A44" s="218"/>
      <c r="B44" s="224" t="s">
        <v>1214</v>
      </c>
      <c r="C44" s="220">
        <v>100.7</v>
      </c>
      <c r="D44" s="220" t="s">
        <v>1215</v>
      </c>
      <c r="E44" s="220">
        <v>100.7</v>
      </c>
      <c r="F44" s="220">
        <v>10.199999999999999</v>
      </c>
      <c r="G44" s="220">
        <v>6.2</v>
      </c>
      <c r="H44" s="220"/>
      <c r="I44" s="220"/>
      <c r="J44" s="220"/>
      <c r="K44" s="220"/>
      <c r="L44" s="220"/>
    </row>
    <row r="45" spans="1:12" x14ac:dyDescent="0.2">
      <c r="A45" s="221"/>
      <c r="B45" s="222" t="s">
        <v>1216</v>
      </c>
      <c r="C45" s="223">
        <v>101.2</v>
      </c>
      <c r="D45" s="223" t="s">
        <v>1215</v>
      </c>
      <c r="E45" s="223">
        <v>101.2</v>
      </c>
      <c r="F45" s="223">
        <v>10.3</v>
      </c>
      <c r="G45" s="223">
        <v>0.5</v>
      </c>
      <c r="H45" s="223"/>
      <c r="I45" s="223"/>
      <c r="J45" s="223"/>
      <c r="K45" s="223"/>
      <c r="L45" s="223"/>
    </row>
    <row r="46" spans="1:12" x14ac:dyDescent="0.2">
      <c r="A46" s="218"/>
      <c r="B46" s="224" t="s">
        <v>49</v>
      </c>
      <c r="C46" s="220">
        <v>106.6</v>
      </c>
      <c r="D46" s="220" t="s">
        <v>1215</v>
      </c>
      <c r="E46" s="220">
        <v>106.6</v>
      </c>
      <c r="F46" s="220">
        <v>10.8</v>
      </c>
      <c r="G46" s="220">
        <v>5.4</v>
      </c>
      <c r="H46" s="220"/>
      <c r="I46" s="220"/>
      <c r="J46" s="220"/>
      <c r="K46" s="220"/>
      <c r="L46" s="220"/>
    </row>
    <row r="47" spans="1:12" x14ac:dyDescent="0.2">
      <c r="A47" s="221"/>
      <c r="B47" s="222" t="s">
        <v>1217</v>
      </c>
      <c r="C47" s="223">
        <v>106.8</v>
      </c>
      <c r="D47" s="223" t="s">
        <v>1215</v>
      </c>
      <c r="E47" s="223">
        <v>106.8</v>
      </c>
      <c r="F47" s="223">
        <v>10.8</v>
      </c>
      <c r="G47" s="223">
        <v>0.2</v>
      </c>
      <c r="H47" s="223"/>
      <c r="I47" s="223"/>
      <c r="J47" s="223"/>
      <c r="K47" s="223"/>
      <c r="L47" s="223"/>
    </row>
    <row r="48" spans="1:12" x14ac:dyDescent="0.2">
      <c r="A48" s="218"/>
      <c r="B48" s="224" t="s">
        <v>1218</v>
      </c>
      <c r="C48" s="220">
        <v>107.4</v>
      </c>
      <c r="D48" s="220" t="s">
        <v>1215</v>
      </c>
      <c r="E48" s="220">
        <v>107.4</v>
      </c>
      <c r="F48" s="220">
        <v>10.9</v>
      </c>
      <c r="G48" s="220">
        <v>0.6</v>
      </c>
      <c r="H48" s="220"/>
      <c r="I48" s="220"/>
      <c r="J48" s="220"/>
      <c r="K48" s="220"/>
      <c r="L48" s="220"/>
    </row>
    <row r="49" spans="1:12" x14ac:dyDescent="0.2">
      <c r="A49" s="221"/>
      <c r="B49" s="222" t="s">
        <v>1219</v>
      </c>
      <c r="C49" s="223">
        <v>107.4</v>
      </c>
      <c r="D49" s="223" t="s">
        <v>1215</v>
      </c>
      <c r="E49" s="223">
        <v>107.4</v>
      </c>
      <c r="F49" s="223">
        <v>10.9</v>
      </c>
      <c r="G49" s="223">
        <v>0</v>
      </c>
      <c r="H49" s="223"/>
      <c r="I49" s="223"/>
      <c r="J49" s="223"/>
      <c r="K49" s="223"/>
      <c r="L49" s="223"/>
    </row>
    <row r="50" spans="1:12" x14ac:dyDescent="0.2">
      <c r="A50" s="218"/>
      <c r="B50" s="224" t="s">
        <v>1220</v>
      </c>
      <c r="C50" s="220">
        <v>110.5</v>
      </c>
      <c r="D50" s="220" t="s">
        <v>1221</v>
      </c>
      <c r="E50" s="220">
        <v>110.5</v>
      </c>
      <c r="F50" s="220">
        <v>11.2</v>
      </c>
      <c r="G50" s="220">
        <v>3.1</v>
      </c>
      <c r="H50" s="220"/>
      <c r="I50" s="220"/>
      <c r="J50" s="220"/>
      <c r="K50" s="220"/>
      <c r="L50" s="220"/>
    </row>
    <row r="51" spans="1:12" ht="92.25" customHeight="1" x14ac:dyDescent="0.2">
      <c r="A51" s="228"/>
      <c r="B51" s="229" t="s">
        <v>1222</v>
      </c>
      <c r="C51" s="230">
        <v>110.6</v>
      </c>
      <c r="D51" s="223" t="s">
        <v>1221</v>
      </c>
      <c r="E51" s="230">
        <v>110.6</v>
      </c>
      <c r="F51" s="230">
        <v>11.2</v>
      </c>
      <c r="G51" s="230">
        <v>0.1</v>
      </c>
      <c r="H51" s="230">
        <v>57.3</v>
      </c>
      <c r="I51" s="230">
        <v>5.9</v>
      </c>
      <c r="J51" s="230">
        <v>9.6999999999999993</v>
      </c>
      <c r="K51" s="230">
        <v>6</v>
      </c>
      <c r="L51" s="230"/>
    </row>
    <row r="52" spans="1:12" x14ac:dyDescent="0.2">
      <c r="A52" s="228"/>
      <c r="B52" s="229"/>
      <c r="C52" s="230"/>
      <c r="D52" s="223" t="s">
        <v>1221</v>
      </c>
      <c r="E52" s="230"/>
      <c r="F52" s="230"/>
      <c r="G52" s="230"/>
      <c r="H52" s="230"/>
      <c r="I52" s="230"/>
      <c r="J52" s="230"/>
      <c r="K52" s="230"/>
      <c r="L52" s="230"/>
    </row>
    <row r="53" spans="1:12" x14ac:dyDescent="0.2">
      <c r="A53" s="218"/>
      <c r="B53" s="224" t="s">
        <v>1223</v>
      </c>
      <c r="C53" s="220">
        <v>114.6</v>
      </c>
      <c r="D53" s="220" t="s">
        <v>1224</v>
      </c>
      <c r="E53" s="220">
        <v>114.6</v>
      </c>
      <c r="F53" s="220">
        <v>12.3</v>
      </c>
      <c r="G53" s="220">
        <v>4.0999999999999996</v>
      </c>
      <c r="H53" s="220"/>
      <c r="I53" s="220"/>
      <c r="J53" s="220"/>
      <c r="K53" s="220"/>
      <c r="L53" s="220"/>
    </row>
    <row r="54" spans="1:12" x14ac:dyDescent="0.2">
      <c r="A54" s="221"/>
      <c r="B54" s="222" t="s">
        <v>1225</v>
      </c>
      <c r="C54" s="223">
        <v>116.5</v>
      </c>
      <c r="D54" s="223" t="s">
        <v>1224</v>
      </c>
      <c r="E54" s="223">
        <v>116.5</v>
      </c>
      <c r="F54" s="223">
        <v>12.5</v>
      </c>
      <c r="G54" s="223">
        <v>1.9</v>
      </c>
      <c r="H54" s="223"/>
      <c r="I54" s="223"/>
      <c r="J54" s="223"/>
      <c r="K54" s="223"/>
      <c r="L54" s="223"/>
    </row>
    <row r="55" spans="1:12" x14ac:dyDescent="0.2">
      <c r="A55" s="218"/>
      <c r="B55" s="224" t="s">
        <v>1226</v>
      </c>
      <c r="C55" s="220">
        <v>116.6</v>
      </c>
      <c r="D55" s="220" t="s">
        <v>1224</v>
      </c>
      <c r="E55" s="220">
        <v>116.6</v>
      </c>
      <c r="F55" s="220">
        <v>12.5</v>
      </c>
      <c r="G55" s="220">
        <v>0.1</v>
      </c>
      <c r="H55" s="220"/>
      <c r="I55" s="220"/>
      <c r="J55" s="220"/>
      <c r="K55" s="220"/>
      <c r="L55" s="220"/>
    </row>
    <row r="56" spans="1:12" ht="22.5" x14ac:dyDescent="0.2">
      <c r="A56" s="221"/>
      <c r="B56" s="222" t="s">
        <v>1227</v>
      </c>
      <c r="C56" s="223">
        <v>117.9</v>
      </c>
      <c r="D56" s="223" t="s">
        <v>1224</v>
      </c>
      <c r="E56" s="223">
        <v>117.9</v>
      </c>
      <c r="F56" s="223">
        <v>12.6</v>
      </c>
      <c r="G56" s="223">
        <v>1.3</v>
      </c>
      <c r="H56" s="223"/>
      <c r="I56" s="223"/>
      <c r="J56" s="223"/>
      <c r="K56" s="223"/>
      <c r="L56" s="223"/>
    </row>
    <row r="57" spans="1:12" x14ac:dyDescent="0.2">
      <c r="A57" s="218"/>
      <c r="B57" s="224" t="s">
        <v>1228</v>
      </c>
      <c r="C57" s="220">
        <v>120.6</v>
      </c>
      <c r="D57" s="220" t="s">
        <v>1224</v>
      </c>
      <c r="E57" s="220">
        <v>120.6</v>
      </c>
      <c r="F57" s="220">
        <v>12.9</v>
      </c>
      <c r="G57" s="220">
        <v>2.7</v>
      </c>
      <c r="H57" s="220"/>
      <c r="I57" s="220"/>
      <c r="J57" s="220"/>
      <c r="K57" s="220"/>
      <c r="L57" s="220"/>
    </row>
    <row r="58" spans="1:12" x14ac:dyDescent="0.2">
      <c r="A58" s="221"/>
      <c r="B58" s="222" t="s">
        <v>1229</v>
      </c>
      <c r="C58" s="223">
        <v>121.7</v>
      </c>
      <c r="D58" s="223" t="s">
        <v>1224</v>
      </c>
      <c r="E58" s="223">
        <v>121.7</v>
      </c>
      <c r="F58" s="223">
        <v>13</v>
      </c>
      <c r="G58" s="223">
        <v>1.1000000000000001</v>
      </c>
      <c r="H58" s="223"/>
      <c r="I58" s="223"/>
      <c r="J58" s="223"/>
      <c r="K58" s="223"/>
      <c r="L58" s="223"/>
    </row>
    <row r="59" spans="1:12" x14ac:dyDescent="0.2">
      <c r="A59" s="218"/>
      <c r="B59" s="224" t="s">
        <v>1230</v>
      </c>
      <c r="C59" s="220">
        <v>125.5</v>
      </c>
      <c r="D59" s="220" t="s">
        <v>1231</v>
      </c>
      <c r="E59" s="220">
        <v>125.5</v>
      </c>
      <c r="F59" s="220">
        <v>13.3</v>
      </c>
      <c r="G59" s="220">
        <v>3.8</v>
      </c>
      <c r="H59" s="220"/>
      <c r="I59" s="220"/>
      <c r="J59" s="220"/>
      <c r="K59" s="220"/>
      <c r="L59" s="220"/>
    </row>
    <row r="60" spans="1:12" x14ac:dyDescent="0.2">
      <c r="A60" s="221"/>
      <c r="B60" s="222" t="s">
        <v>50</v>
      </c>
      <c r="C60" s="223">
        <v>126.7</v>
      </c>
      <c r="D60" s="223" t="s">
        <v>1231</v>
      </c>
      <c r="E60" s="223">
        <v>126.7</v>
      </c>
      <c r="F60" s="223">
        <v>13.4</v>
      </c>
      <c r="G60" s="223">
        <v>1.2</v>
      </c>
      <c r="H60" s="223"/>
      <c r="I60" s="223"/>
      <c r="J60" s="223"/>
      <c r="K60" s="223"/>
      <c r="L60" s="223"/>
    </row>
    <row r="61" spans="1:12" x14ac:dyDescent="0.2">
      <c r="A61" s="218"/>
      <c r="B61" s="224" t="s">
        <v>1232</v>
      </c>
      <c r="C61" s="220">
        <v>130.4</v>
      </c>
      <c r="D61" s="220" t="s">
        <v>1231</v>
      </c>
      <c r="E61" s="220">
        <v>130.4</v>
      </c>
      <c r="F61" s="220">
        <v>13.7</v>
      </c>
      <c r="G61" s="220">
        <v>3.7</v>
      </c>
      <c r="H61" s="220"/>
      <c r="I61" s="220"/>
      <c r="J61" s="220"/>
      <c r="K61" s="220"/>
      <c r="L61" s="220"/>
    </row>
    <row r="62" spans="1:12" x14ac:dyDescent="0.2">
      <c r="A62" s="221"/>
      <c r="B62" s="222" t="s">
        <v>1233</v>
      </c>
      <c r="C62" s="223">
        <v>130.4</v>
      </c>
      <c r="D62" s="223" t="s">
        <v>1231</v>
      </c>
      <c r="E62" s="223">
        <v>130.4</v>
      </c>
      <c r="F62" s="223">
        <v>13.7</v>
      </c>
      <c r="G62" s="223">
        <v>0</v>
      </c>
      <c r="H62" s="223"/>
      <c r="I62" s="223"/>
      <c r="J62" s="223"/>
      <c r="K62" s="223"/>
      <c r="L62" s="223"/>
    </row>
    <row r="63" spans="1:12" x14ac:dyDescent="0.2">
      <c r="A63" s="218"/>
      <c r="B63" s="224" t="s">
        <v>51</v>
      </c>
      <c r="C63" s="220">
        <v>132.69999999999999</v>
      </c>
      <c r="D63" s="220" t="s">
        <v>1231</v>
      </c>
      <c r="E63" s="220">
        <v>132.69999999999999</v>
      </c>
      <c r="F63" s="220">
        <v>13.9</v>
      </c>
      <c r="G63" s="220">
        <v>2.2999999999999998</v>
      </c>
      <c r="H63" s="220"/>
      <c r="I63" s="220"/>
      <c r="J63" s="220"/>
      <c r="K63" s="220"/>
      <c r="L63" s="220"/>
    </row>
    <row r="64" spans="1:12" x14ac:dyDescent="0.2">
      <c r="A64" s="221"/>
      <c r="B64" s="222" t="s">
        <v>1234</v>
      </c>
      <c r="C64" s="223">
        <v>137.6</v>
      </c>
      <c r="D64" s="223" t="s">
        <v>1235</v>
      </c>
      <c r="E64" s="223">
        <v>137.6</v>
      </c>
      <c r="F64" s="223">
        <v>14.3</v>
      </c>
      <c r="G64" s="223">
        <v>4.9000000000000004</v>
      </c>
      <c r="H64" s="223"/>
      <c r="I64" s="223"/>
      <c r="J64" s="223"/>
      <c r="K64" s="223"/>
      <c r="L64" s="223"/>
    </row>
    <row r="65" spans="1:12" x14ac:dyDescent="0.2">
      <c r="A65" s="218"/>
      <c r="B65" s="224" t="s">
        <v>1236</v>
      </c>
      <c r="C65" s="220">
        <v>138.4</v>
      </c>
      <c r="D65" s="220" t="s">
        <v>1235</v>
      </c>
      <c r="E65" s="220">
        <v>138.4</v>
      </c>
      <c r="F65" s="220">
        <v>14.4</v>
      </c>
      <c r="G65" s="220">
        <v>0.8</v>
      </c>
      <c r="H65" s="220"/>
      <c r="I65" s="220"/>
      <c r="J65" s="220"/>
      <c r="K65" s="220"/>
      <c r="L65" s="220"/>
    </row>
    <row r="66" spans="1:12" x14ac:dyDescent="0.2">
      <c r="A66" s="228"/>
      <c r="B66" s="229" t="s">
        <v>1237</v>
      </c>
      <c r="C66" s="230">
        <v>138.4</v>
      </c>
      <c r="D66" s="223" t="s">
        <v>1235</v>
      </c>
      <c r="E66" s="230">
        <v>138.4</v>
      </c>
      <c r="F66" s="230">
        <v>14.4</v>
      </c>
      <c r="G66" s="230">
        <v>0</v>
      </c>
      <c r="H66" s="230">
        <v>27.9</v>
      </c>
      <c r="I66" s="230">
        <v>2.4</v>
      </c>
      <c r="J66" s="230">
        <v>11.4</v>
      </c>
      <c r="K66" s="230">
        <v>5</v>
      </c>
      <c r="L66" s="230"/>
    </row>
    <row r="67" spans="1:12" x14ac:dyDescent="0.2">
      <c r="A67" s="228"/>
      <c r="B67" s="229"/>
      <c r="C67" s="230"/>
      <c r="D67" s="223" t="s">
        <v>1235</v>
      </c>
      <c r="E67" s="230"/>
      <c r="F67" s="230"/>
      <c r="G67" s="230"/>
      <c r="H67" s="230"/>
      <c r="I67" s="230"/>
      <c r="J67" s="230"/>
      <c r="K67" s="230"/>
      <c r="L67" s="230"/>
    </row>
    <row r="68" spans="1:12" x14ac:dyDescent="0.2">
      <c r="A68" s="218"/>
      <c r="B68" s="224" t="s">
        <v>1238</v>
      </c>
      <c r="C68" s="220">
        <v>145.4</v>
      </c>
      <c r="D68" s="220" t="s">
        <v>1239</v>
      </c>
      <c r="E68" s="220">
        <v>145.4</v>
      </c>
      <c r="F68" s="220">
        <v>15.5</v>
      </c>
      <c r="G68" s="220">
        <v>6.9</v>
      </c>
      <c r="H68" s="220"/>
      <c r="I68" s="220"/>
      <c r="J68" s="220"/>
      <c r="K68" s="220"/>
      <c r="L68" s="220"/>
    </row>
    <row r="69" spans="1:12" x14ac:dyDescent="0.2">
      <c r="A69" s="221"/>
      <c r="B69" s="222" t="s">
        <v>1240</v>
      </c>
      <c r="C69" s="223">
        <v>152.30000000000001</v>
      </c>
      <c r="D69" s="223" t="s">
        <v>1241</v>
      </c>
      <c r="E69" s="223">
        <v>152.30000000000001</v>
      </c>
      <c r="F69" s="223">
        <v>16.3</v>
      </c>
      <c r="G69" s="223">
        <v>6.9</v>
      </c>
      <c r="H69" s="223"/>
      <c r="I69" s="223"/>
      <c r="J69" s="223"/>
      <c r="K69" s="223"/>
      <c r="L69" s="223"/>
    </row>
    <row r="70" spans="1:12" x14ac:dyDescent="0.2">
      <c r="A70" s="218"/>
      <c r="B70" s="224" t="s">
        <v>1242</v>
      </c>
      <c r="C70" s="220">
        <v>152.30000000000001</v>
      </c>
      <c r="D70" s="220" t="s">
        <v>1241</v>
      </c>
      <c r="E70" s="220">
        <v>152.30000000000001</v>
      </c>
      <c r="F70" s="220">
        <v>16.3</v>
      </c>
      <c r="G70" s="220">
        <v>0</v>
      </c>
      <c r="H70" s="220"/>
      <c r="I70" s="220"/>
      <c r="J70" s="220"/>
      <c r="K70" s="220"/>
      <c r="L70" s="220"/>
    </row>
    <row r="71" spans="1:12" x14ac:dyDescent="0.2">
      <c r="A71" s="221"/>
      <c r="B71" s="222" t="s">
        <v>53</v>
      </c>
      <c r="C71" s="223">
        <v>154.6</v>
      </c>
      <c r="D71" s="223" t="s">
        <v>1241</v>
      </c>
      <c r="E71" s="223">
        <v>154.6</v>
      </c>
      <c r="F71" s="223">
        <v>16.5</v>
      </c>
      <c r="G71" s="223">
        <v>2.2999999999999998</v>
      </c>
      <c r="H71" s="223"/>
      <c r="I71" s="223"/>
      <c r="J71" s="223"/>
      <c r="K71" s="223"/>
      <c r="L71" s="223"/>
    </row>
    <row r="72" spans="1:12" x14ac:dyDescent="0.2">
      <c r="A72" s="218"/>
      <c r="B72" s="224" t="s">
        <v>1243</v>
      </c>
      <c r="C72" s="220">
        <v>160.1</v>
      </c>
      <c r="D72" s="220" t="s">
        <v>1244</v>
      </c>
      <c r="E72" s="220">
        <v>160.1</v>
      </c>
      <c r="F72" s="220">
        <v>17.2</v>
      </c>
      <c r="G72" s="220">
        <v>5.4</v>
      </c>
      <c r="H72" s="220"/>
      <c r="I72" s="220"/>
      <c r="J72" s="220"/>
      <c r="K72" s="220"/>
      <c r="L72" s="220"/>
    </row>
    <row r="73" spans="1:12" x14ac:dyDescent="0.2">
      <c r="A73" s="221"/>
      <c r="B73" s="222" t="s">
        <v>1245</v>
      </c>
      <c r="C73" s="223">
        <v>160.1</v>
      </c>
      <c r="D73" s="223" t="s">
        <v>1244</v>
      </c>
      <c r="E73" s="223">
        <v>160.1</v>
      </c>
      <c r="F73" s="223">
        <v>17.2</v>
      </c>
      <c r="G73" s="223">
        <v>0</v>
      </c>
      <c r="H73" s="223"/>
      <c r="I73" s="223"/>
      <c r="J73" s="223"/>
      <c r="K73" s="223"/>
      <c r="L73" s="223"/>
    </row>
    <row r="74" spans="1:12" x14ac:dyDescent="0.2">
      <c r="A74" s="218"/>
      <c r="B74" s="224" t="s">
        <v>54</v>
      </c>
      <c r="C74" s="220">
        <v>160.9</v>
      </c>
      <c r="D74" s="220" t="s">
        <v>1244</v>
      </c>
      <c r="E74" s="220">
        <v>160.9</v>
      </c>
      <c r="F74" s="220">
        <v>17.3</v>
      </c>
      <c r="G74" s="220">
        <v>0.9</v>
      </c>
      <c r="H74" s="220"/>
      <c r="I74" s="220"/>
      <c r="J74" s="220"/>
      <c r="K74" s="220"/>
      <c r="L74" s="220"/>
    </row>
    <row r="75" spans="1:12" x14ac:dyDescent="0.2">
      <c r="A75" s="221"/>
      <c r="B75" s="222" t="s">
        <v>1246</v>
      </c>
      <c r="C75" s="223">
        <v>166.4</v>
      </c>
      <c r="D75" s="223" t="s">
        <v>1244</v>
      </c>
      <c r="E75" s="223">
        <v>166.4</v>
      </c>
      <c r="F75" s="223">
        <v>17.899999999999999</v>
      </c>
      <c r="G75" s="223">
        <v>5.4</v>
      </c>
      <c r="H75" s="223"/>
      <c r="I75" s="223"/>
      <c r="J75" s="223"/>
      <c r="K75" s="223"/>
      <c r="L75" s="223"/>
    </row>
    <row r="76" spans="1:12" ht="79.5" customHeight="1" x14ac:dyDescent="0.2">
      <c r="A76" s="231"/>
      <c r="B76" s="232" t="s">
        <v>1247</v>
      </c>
      <c r="C76" s="233">
        <v>166.4</v>
      </c>
      <c r="D76" s="220" t="s">
        <v>1244</v>
      </c>
      <c r="E76" s="233">
        <v>166.4</v>
      </c>
      <c r="F76" s="233">
        <v>17.899999999999999</v>
      </c>
      <c r="G76" s="233">
        <v>0</v>
      </c>
      <c r="H76" s="233">
        <v>28</v>
      </c>
      <c r="I76" s="233">
        <v>3.2</v>
      </c>
      <c r="J76" s="233">
        <v>8.6999999999999993</v>
      </c>
      <c r="K76" s="233">
        <v>6.7</v>
      </c>
      <c r="L76" s="233"/>
    </row>
    <row r="77" spans="1:12" x14ac:dyDescent="0.2">
      <c r="A77" s="231"/>
      <c r="B77" s="232"/>
      <c r="C77" s="233"/>
      <c r="D77" s="220" t="s">
        <v>1248</v>
      </c>
      <c r="E77" s="233"/>
      <c r="F77" s="233"/>
      <c r="G77" s="233"/>
      <c r="H77" s="233"/>
      <c r="I77" s="233"/>
      <c r="J77" s="233"/>
      <c r="K77" s="233"/>
      <c r="L77" s="233"/>
    </row>
    <row r="78" spans="1:12" x14ac:dyDescent="0.2">
      <c r="A78" s="221"/>
      <c r="B78" s="222" t="s">
        <v>55</v>
      </c>
      <c r="C78" s="223">
        <v>167.3</v>
      </c>
      <c r="D78" s="223" t="s">
        <v>1248</v>
      </c>
      <c r="E78" s="223">
        <v>167.3</v>
      </c>
      <c r="F78" s="223">
        <v>18.5</v>
      </c>
      <c r="G78" s="223">
        <v>0.9</v>
      </c>
      <c r="H78" s="223"/>
      <c r="I78" s="223"/>
      <c r="J78" s="223"/>
      <c r="K78" s="223"/>
      <c r="L78" s="223"/>
    </row>
    <row r="79" spans="1:12" x14ac:dyDescent="0.2">
      <c r="A79" s="218"/>
      <c r="B79" s="224" t="s">
        <v>1249</v>
      </c>
      <c r="C79" s="220">
        <v>167.4</v>
      </c>
      <c r="D79" s="220" t="s">
        <v>1248</v>
      </c>
      <c r="E79" s="220">
        <v>167.4</v>
      </c>
      <c r="F79" s="220">
        <v>18.5</v>
      </c>
      <c r="G79" s="220">
        <v>0.1</v>
      </c>
      <c r="H79" s="220"/>
      <c r="I79" s="220"/>
      <c r="J79" s="220"/>
      <c r="K79" s="220"/>
      <c r="L79" s="220"/>
    </row>
    <row r="80" spans="1:12" x14ac:dyDescent="0.2">
      <c r="A80" s="221"/>
      <c r="B80" s="222" t="s">
        <v>1250</v>
      </c>
      <c r="C80" s="223">
        <v>167.5</v>
      </c>
      <c r="D80" s="223" t="s">
        <v>1248</v>
      </c>
      <c r="E80" s="223">
        <v>167.5</v>
      </c>
      <c r="F80" s="223">
        <v>18.5</v>
      </c>
      <c r="G80" s="223">
        <v>0.1</v>
      </c>
      <c r="H80" s="223"/>
      <c r="I80" s="223"/>
      <c r="J80" s="223"/>
      <c r="K80" s="223"/>
      <c r="L80" s="223"/>
    </row>
    <row r="81" spans="1:12" ht="22.5" x14ac:dyDescent="0.2">
      <c r="A81" s="218"/>
      <c r="B81" s="224" t="s">
        <v>1251</v>
      </c>
      <c r="C81" s="220">
        <v>167.8</v>
      </c>
      <c r="D81" s="220" t="s">
        <v>1248</v>
      </c>
      <c r="E81" s="220">
        <v>167.8</v>
      </c>
      <c r="F81" s="220">
        <v>18.5</v>
      </c>
      <c r="G81" s="220">
        <v>0.4</v>
      </c>
      <c r="H81" s="220"/>
      <c r="I81" s="220"/>
      <c r="J81" s="220"/>
      <c r="K81" s="220"/>
      <c r="L81" s="220"/>
    </row>
    <row r="82" spans="1:12" ht="22.5" x14ac:dyDescent="0.2">
      <c r="A82" s="221"/>
      <c r="B82" s="222" t="s">
        <v>1252</v>
      </c>
      <c r="C82" s="223">
        <v>169</v>
      </c>
      <c r="D82" s="223" t="s">
        <v>1248</v>
      </c>
      <c r="E82" s="223">
        <v>169</v>
      </c>
      <c r="F82" s="223">
        <v>18.7</v>
      </c>
      <c r="G82" s="223">
        <v>1.1000000000000001</v>
      </c>
      <c r="H82" s="223"/>
      <c r="I82" s="223"/>
      <c r="J82" s="223"/>
      <c r="K82" s="223"/>
      <c r="L82" s="223"/>
    </row>
    <row r="83" spans="1:12" x14ac:dyDescent="0.2">
      <c r="A83" s="218"/>
      <c r="B83" s="224" t="s">
        <v>56</v>
      </c>
      <c r="C83" s="220">
        <v>179</v>
      </c>
      <c r="D83" s="220" t="s">
        <v>1253</v>
      </c>
      <c r="E83" s="220">
        <v>179</v>
      </c>
      <c r="F83" s="220">
        <v>19.8</v>
      </c>
      <c r="G83" s="220">
        <v>10</v>
      </c>
      <c r="H83" s="220"/>
      <c r="I83" s="220"/>
      <c r="J83" s="220"/>
      <c r="K83" s="220"/>
      <c r="L83" s="220"/>
    </row>
    <row r="84" spans="1:12" x14ac:dyDescent="0.2">
      <c r="A84" s="221"/>
      <c r="B84" s="222" t="s">
        <v>57</v>
      </c>
      <c r="C84" s="223">
        <v>182.2</v>
      </c>
      <c r="D84" s="223" t="s">
        <v>1254</v>
      </c>
      <c r="E84" s="223">
        <v>182.2</v>
      </c>
      <c r="F84" s="223">
        <v>20.100000000000001</v>
      </c>
      <c r="G84" s="223">
        <v>3.2</v>
      </c>
      <c r="H84" s="223"/>
      <c r="I84" s="223"/>
      <c r="J84" s="223"/>
      <c r="K84" s="223"/>
      <c r="L84" s="223"/>
    </row>
    <row r="85" spans="1:12" x14ac:dyDescent="0.2">
      <c r="A85" s="218"/>
      <c r="B85" s="224" t="s">
        <v>58</v>
      </c>
      <c r="C85" s="220">
        <v>185</v>
      </c>
      <c r="D85" s="220" t="s">
        <v>1254</v>
      </c>
      <c r="E85" s="220">
        <v>185</v>
      </c>
      <c r="F85" s="220">
        <v>20.5</v>
      </c>
      <c r="G85" s="220">
        <v>2.8</v>
      </c>
      <c r="H85" s="220"/>
      <c r="I85" s="220"/>
      <c r="J85" s="220"/>
      <c r="K85" s="220"/>
      <c r="L85" s="220"/>
    </row>
    <row r="86" spans="1:12" x14ac:dyDescent="0.2">
      <c r="A86" s="221"/>
      <c r="B86" s="222" t="s">
        <v>59</v>
      </c>
      <c r="C86" s="223">
        <v>191.3</v>
      </c>
      <c r="D86" s="223" t="s">
        <v>1255</v>
      </c>
      <c r="E86" s="223">
        <v>191.3</v>
      </c>
      <c r="F86" s="223">
        <v>21.1</v>
      </c>
      <c r="G86" s="223">
        <v>6.2</v>
      </c>
      <c r="H86" s="223"/>
      <c r="I86" s="223"/>
      <c r="J86" s="223"/>
      <c r="K86" s="223"/>
      <c r="L86" s="223"/>
    </row>
    <row r="87" spans="1:12" x14ac:dyDescent="0.2">
      <c r="A87" s="218"/>
      <c r="B87" s="224" t="s">
        <v>1256</v>
      </c>
      <c r="C87" s="220">
        <v>196.8</v>
      </c>
      <c r="D87" s="220" t="s">
        <v>1255</v>
      </c>
      <c r="E87" s="220">
        <v>196.8</v>
      </c>
      <c r="F87" s="220">
        <v>21.8</v>
      </c>
      <c r="G87" s="220">
        <v>5.6</v>
      </c>
      <c r="H87" s="220"/>
      <c r="I87" s="220"/>
      <c r="J87" s="220"/>
      <c r="K87" s="220"/>
      <c r="L87" s="220"/>
    </row>
    <row r="88" spans="1:12" x14ac:dyDescent="0.2">
      <c r="A88" s="221"/>
      <c r="B88" s="222" t="s">
        <v>60</v>
      </c>
      <c r="C88" s="223">
        <v>198.6</v>
      </c>
      <c r="D88" s="223" t="s">
        <v>1255</v>
      </c>
      <c r="E88" s="223">
        <v>198.5</v>
      </c>
      <c r="F88" s="223">
        <v>22</v>
      </c>
      <c r="G88" s="223">
        <v>1.7</v>
      </c>
      <c r="H88" s="223"/>
      <c r="I88" s="223"/>
      <c r="J88" s="223"/>
      <c r="K88" s="223"/>
      <c r="L88" s="223"/>
    </row>
    <row r="89" spans="1:12" x14ac:dyDescent="0.2">
      <c r="A89" s="218"/>
      <c r="B89" s="224" t="s">
        <v>1257</v>
      </c>
      <c r="C89" s="220">
        <v>201.5</v>
      </c>
      <c r="D89" s="220" t="s">
        <v>1258</v>
      </c>
      <c r="E89" s="220">
        <v>201.5</v>
      </c>
      <c r="F89" s="220">
        <v>22.3</v>
      </c>
      <c r="G89" s="220">
        <v>2.9</v>
      </c>
      <c r="H89" s="220"/>
      <c r="I89" s="220"/>
      <c r="J89" s="220"/>
      <c r="K89" s="220"/>
      <c r="L89" s="220"/>
    </row>
    <row r="90" spans="1:12" x14ac:dyDescent="0.2">
      <c r="A90" s="221"/>
      <c r="B90" s="222" t="s">
        <v>1259</v>
      </c>
      <c r="C90" s="223">
        <v>205</v>
      </c>
      <c r="D90" s="223" t="s">
        <v>1258</v>
      </c>
      <c r="E90" s="223">
        <v>205</v>
      </c>
      <c r="F90" s="223">
        <v>22.7</v>
      </c>
      <c r="G90" s="223">
        <v>3.5</v>
      </c>
      <c r="H90" s="223"/>
      <c r="I90" s="223"/>
      <c r="J90" s="223"/>
      <c r="K90" s="223"/>
      <c r="L90" s="223"/>
    </row>
    <row r="91" spans="1:12" ht="22.5" x14ac:dyDescent="0.2">
      <c r="A91" s="218"/>
      <c r="B91" s="224" t="s">
        <v>1260</v>
      </c>
      <c r="C91" s="220">
        <v>207.4</v>
      </c>
      <c r="D91" s="220" t="s">
        <v>1258</v>
      </c>
      <c r="E91" s="220">
        <v>207.4</v>
      </c>
      <c r="F91" s="220">
        <v>22.9</v>
      </c>
      <c r="G91" s="220">
        <v>2.5</v>
      </c>
      <c r="H91" s="220"/>
      <c r="I91" s="220"/>
      <c r="J91" s="220"/>
      <c r="K91" s="220"/>
      <c r="L91" s="220"/>
    </row>
    <row r="92" spans="1:12" ht="22.5" x14ac:dyDescent="0.2">
      <c r="A92" s="221"/>
      <c r="B92" s="222" t="s">
        <v>1261</v>
      </c>
      <c r="C92" s="223">
        <v>209.1</v>
      </c>
      <c r="D92" s="223" t="s">
        <v>1262</v>
      </c>
      <c r="E92" s="223">
        <v>209.1</v>
      </c>
      <c r="F92" s="223">
        <v>23.1</v>
      </c>
      <c r="G92" s="223">
        <v>1.7</v>
      </c>
      <c r="H92" s="223"/>
      <c r="I92" s="223"/>
      <c r="J92" s="223"/>
      <c r="K92" s="223"/>
      <c r="L92" s="223"/>
    </row>
    <row r="93" spans="1:12" x14ac:dyDescent="0.2">
      <c r="A93" s="218"/>
      <c r="B93" s="224" t="s">
        <v>1263</v>
      </c>
      <c r="C93" s="220">
        <v>209.2</v>
      </c>
      <c r="D93" s="220" t="s">
        <v>1262</v>
      </c>
      <c r="E93" s="220">
        <v>209.2</v>
      </c>
      <c r="F93" s="220">
        <v>23.1</v>
      </c>
      <c r="G93" s="220">
        <v>0</v>
      </c>
      <c r="H93" s="220"/>
      <c r="I93" s="220"/>
      <c r="J93" s="220"/>
      <c r="K93" s="220"/>
      <c r="L93" s="220"/>
    </row>
    <row r="94" spans="1:12" x14ac:dyDescent="0.2">
      <c r="A94" s="221"/>
      <c r="B94" s="222" t="s">
        <v>62</v>
      </c>
      <c r="C94" s="223">
        <v>212.2</v>
      </c>
      <c r="D94" s="223" t="s">
        <v>1262</v>
      </c>
      <c r="E94" s="223">
        <v>212.2</v>
      </c>
      <c r="F94" s="223">
        <v>23.5</v>
      </c>
      <c r="G94" s="223">
        <v>3</v>
      </c>
      <c r="H94" s="223"/>
      <c r="I94" s="223"/>
      <c r="J94" s="223"/>
      <c r="K94" s="223"/>
      <c r="L94" s="223"/>
    </row>
    <row r="95" spans="1:12" x14ac:dyDescent="0.2">
      <c r="A95" s="218"/>
      <c r="B95" s="224" t="s">
        <v>63</v>
      </c>
      <c r="C95" s="220">
        <v>219.5</v>
      </c>
      <c r="D95" s="220" t="s">
        <v>1264</v>
      </c>
      <c r="E95" s="220">
        <v>219.5</v>
      </c>
      <c r="F95" s="220">
        <v>24.3</v>
      </c>
      <c r="G95" s="220">
        <v>7.3</v>
      </c>
      <c r="H95" s="220"/>
      <c r="I95" s="220"/>
      <c r="J95" s="220"/>
      <c r="K95" s="220"/>
      <c r="L95" s="220"/>
    </row>
    <row r="96" spans="1:12" x14ac:dyDescent="0.2">
      <c r="A96" s="221"/>
      <c r="B96" s="222" t="s">
        <v>1265</v>
      </c>
      <c r="C96" s="223">
        <v>224.9</v>
      </c>
      <c r="D96" s="223" t="s">
        <v>1264</v>
      </c>
      <c r="E96" s="223">
        <v>224.9</v>
      </c>
      <c r="F96" s="223">
        <v>24.9</v>
      </c>
      <c r="G96" s="223">
        <v>5.5</v>
      </c>
      <c r="H96" s="223"/>
      <c r="I96" s="223"/>
      <c r="J96" s="223"/>
      <c r="K96" s="223"/>
      <c r="L96" s="223"/>
    </row>
    <row r="97" spans="1:12" x14ac:dyDescent="0.2">
      <c r="A97" s="218"/>
      <c r="B97" s="224" t="s">
        <v>64</v>
      </c>
      <c r="C97" s="220">
        <v>232.7</v>
      </c>
      <c r="D97" s="220" t="s">
        <v>1266</v>
      </c>
      <c r="E97" s="220">
        <v>232.7</v>
      </c>
      <c r="F97" s="220">
        <v>25.8</v>
      </c>
      <c r="G97" s="220">
        <v>7.8</v>
      </c>
      <c r="H97" s="220"/>
      <c r="I97" s="220"/>
      <c r="J97" s="220"/>
      <c r="K97" s="220"/>
      <c r="L97" s="220"/>
    </row>
    <row r="98" spans="1:12" x14ac:dyDescent="0.2">
      <c r="A98" s="221"/>
      <c r="B98" s="222" t="s">
        <v>65</v>
      </c>
      <c r="C98" s="223">
        <v>239.8</v>
      </c>
      <c r="D98" s="223" t="s">
        <v>1267</v>
      </c>
      <c r="E98" s="223">
        <v>239.8</v>
      </c>
      <c r="F98" s="223">
        <v>26.5</v>
      </c>
      <c r="G98" s="223">
        <v>7.1</v>
      </c>
      <c r="H98" s="223"/>
      <c r="I98" s="223"/>
      <c r="J98" s="223"/>
      <c r="K98" s="223"/>
      <c r="L98" s="223"/>
    </row>
    <row r="99" spans="1:12" x14ac:dyDescent="0.2">
      <c r="A99" s="218"/>
      <c r="B99" s="224" t="s">
        <v>1268</v>
      </c>
      <c r="C99" s="220">
        <v>240.8</v>
      </c>
      <c r="D99" s="220" t="s">
        <v>1267</v>
      </c>
      <c r="E99" s="220">
        <v>240.8</v>
      </c>
      <c r="F99" s="220">
        <v>26.7</v>
      </c>
      <c r="G99" s="220">
        <v>1</v>
      </c>
      <c r="H99" s="220"/>
      <c r="I99" s="220"/>
      <c r="J99" s="220"/>
      <c r="K99" s="220"/>
      <c r="L99" s="220"/>
    </row>
    <row r="100" spans="1:12" x14ac:dyDescent="0.2">
      <c r="A100" s="221"/>
      <c r="B100" s="222" t="s">
        <v>1269</v>
      </c>
      <c r="C100" s="223">
        <v>242.5</v>
      </c>
      <c r="D100" s="223" t="s">
        <v>1267</v>
      </c>
      <c r="E100" s="223">
        <v>242.5</v>
      </c>
      <c r="F100" s="223">
        <v>26.8</v>
      </c>
      <c r="G100" s="223">
        <v>1.7</v>
      </c>
      <c r="H100" s="223"/>
      <c r="I100" s="223"/>
      <c r="J100" s="223"/>
      <c r="K100" s="223"/>
      <c r="L100" s="223"/>
    </row>
    <row r="101" spans="1:12" x14ac:dyDescent="0.2">
      <c r="A101" s="218"/>
      <c r="B101" s="224" t="s">
        <v>1269</v>
      </c>
      <c r="C101" s="220">
        <v>242.5</v>
      </c>
      <c r="D101" s="220" t="s">
        <v>1267</v>
      </c>
      <c r="E101" s="220">
        <v>242.5</v>
      </c>
      <c r="F101" s="220">
        <v>26.8</v>
      </c>
      <c r="G101" s="220">
        <v>0</v>
      </c>
      <c r="H101" s="220"/>
      <c r="I101" s="220"/>
      <c r="J101" s="220"/>
      <c r="K101" s="220"/>
      <c r="L101" s="220"/>
    </row>
    <row r="102" spans="1:12" ht="41.25" customHeight="1" x14ac:dyDescent="0.2">
      <c r="A102" s="228"/>
      <c r="B102" s="229" t="s">
        <v>1270</v>
      </c>
      <c r="C102" s="230">
        <v>242.6</v>
      </c>
      <c r="D102" s="223" t="s">
        <v>1267</v>
      </c>
      <c r="E102" s="230">
        <v>242.6</v>
      </c>
      <c r="F102" s="230">
        <v>26.9</v>
      </c>
      <c r="G102" s="230">
        <v>0.1</v>
      </c>
      <c r="H102" s="230">
        <v>76.2</v>
      </c>
      <c r="I102" s="234">
        <v>8.5</v>
      </c>
      <c r="J102" s="230">
        <v>9</v>
      </c>
      <c r="K102" s="230">
        <v>6.7</v>
      </c>
      <c r="L102" s="230"/>
    </row>
    <row r="103" spans="1:12" x14ac:dyDescent="0.2">
      <c r="A103" s="228"/>
      <c r="B103" s="229"/>
      <c r="C103" s="230"/>
      <c r="D103" s="223" t="s">
        <v>1271</v>
      </c>
      <c r="E103" s="230"/>
      <c r="F103" s="230"/>
      <c r="G103" s="230"/>
      <c r="H103" s="230"/>
      <c r="I103" s="234"/>
      <c r="J103" s="230"/>
      <c r="K103" s="230"/>
      <c r="L103" s="230"/>
    </row>
    <row r="104" spans="1:12" x14ac:dyDescent="0.2">
      <c r="A104" s="218"/>
      <c r="B104" s="224" t="s">
        <v>66</v>
      </c>
      <c r="C104" s="220">
        <v>250.7</v>
      </c>
      <c r="D104" s="220" t="s">
        <v>1272</v>
      </c>
      <c r="E104" s="220">
        <v>250.7</v>
      </c>
      <c r="F104" s="220">
        <v>28.2</v>
      </c>
      <c r="G104" s="220">
        <v>8</v>
      </c>
      <c r="H104" s="220"/>
      <c r="I104" s="220"/>
      <c r="J104" s="220"/>
      <c r="K104" s="220"/>
      <c r="L104" s="220"/>
    </row>
    <row r="105" spans="1:12" x14ac:dyDescent="0.2">
      <c r="A105" s="221"/>
      <c r="B105" s="222" t="s">
        <v>1273</v>
      </c>
      <c r="C105" s="223">
        <v>253.3</v>
      </c>
      <c r="D105" s="223" t="s">
        <v>1272</v>
      </c>
      <c r="E105" s="223">
        <v>253.3</v>
      </c>
      <c r="F105" s="223">
        <v>28.5</v>
      </c>
      <c r="G105" s="223">
        <v>2.7</v>
      </c>
      <c r="H105" s="223"/>
      <c r="I105" s="223"/>
      <c r="J105" s="223"/>
      <c r="K105" s="223"/>
      <c r="L105" s="223"/>
    </row>
    <row r="106" spans="1:12" x14ac:dyDescent="0.2">
      <c r="A106" s="218"/>
      <c r="B106" s="224" t="s">
        <v>1274</v>
      </c>
      <c r="C106" s="220">
        <v>256.10000000000002</v>
      </c>
      <c r="D106" s="220" t="s">
        <v>1272</v>
      </c>
      <c r="E106" s="220">
        <v>256.10000000000002</v>
      </c>
      <c r="F106" s="220">
        <v>28.8</v>
      </c>
      <c r="G106" s="220">
        <v>2.8</v>
      </c>
      <c r="H106" s="220"/>
      <c r="I106" s="220"/>
      <c r="J106" s="220"/>
      <c r="K106" s="220"/>
      <c r="L106" s="220"/>
    </row>
    <row r="107" spans="1:12" x14ac:dyDescent="0.2">
      <c r="A107" s="221"/>
      <c r="B107" s="222" t="s">
        <v>1275</v>
      </c>
      <c r="C107" s="223">
        <v>256.10000000000002</v>
      </c>
      <c r="D107" s="223" t="s">
        <v>1272</v>
      </c>
      <c r="E107" s="223">
        <v>256.10000000000002</v>
      </c>
      <c r="F107" s="223">
        <v>28.8</v>
      </c>
      <c r="G107" s="223">
        <v>0</v>
      </c>
      <c r="H107" s="223"/>
      <c r="I107" s="223"/>
      <c r="J107" s="223"/>
      <c r="K107" s="223"/>
      <c r="L107" s="223"/>
    </row>
    <row r="108" spans="1:12" x14ac:dyDescent="0.2">
      <c r="A108" s="218"/>
      <c r="B108" s="224" t="s">
        <v>1276</v>
      </c>
      <c r="C108" s="220">
        <v>256.2</v>
      </c>
      <c r="D108" s="220" t="s">
        <v>1272</v>
      </c>
      <c r="E108" s="220">
        <v>256.2</v>
      </c>
      <c r="F108" s="220">
        <v>28.8</v>
      </c>
      <c r="G108" s="220">
        <v>0.1</v>
      </c>
      <c r="H108" s="220"/>
      <c r="I108" s="220"/>
      <c r="J108" s="220"/>
      <c r="K108" s="220"/>
      <c r="L108" s="220"/>
    </row>
    <row r="109" spans="1:12" x14ac:dyDescent="0.2">
      <c r="A109" s="221"/>
      <c r="B109" s="222" t="s">
        <v>67</v>
      </c>
      <c r="C109" s="223">
        <v>258.7</v>
      </c>
      <c r="D109" s="223" t="s">
        <v>1277</v>
      </c>
      <c r="E109" s="223">
        <v>258.7</v>
      </c>
      <c r="F109" s="223">
        <v>29.1</v>
      </c>
      <c r="G109" s="223">
        <v>2.5</v>
      </c>
      <c r="H109" s="223"/>
      <c r="I109" s="223"/>
      <c r="J109" s="223"/>
      <c r="K109" s="223"/>
      <c r="L109" s="223"/>
    </row>
    <row r="110" spans="1:12" ht="22.5" x14ac:dyDescent="0.2">
      <c r="A110" s="218"/>
      <c r="B110" s="224" t="s">
        <v>1278</v>
      </c>
      <c r="C110" s="220">
        <v>261.7</v>
      </c>
      <c r="D110" s="220" t="s">
        <v>1277</v>
      </c>
      <c r="E110" s="220">
        <v>261.7</v>
      </c>
      <c r="F110" s="220">
        <v>29.4</v>
      </c>
      <c r="G110" s="220">
        <v>3</v>
      </c>
      <c r="H110" s="220"/>
      <c r="I110" s="220"/>
      <c r="J110" s="220"/>
      <c r="K110" s="220"/>
      <c r="L110" s="220"/>
    </row>
    <row r="111" spans="1:12" x14ac:dyDescent="0.2">
      <c r="A111" s="221"/>
      <c r="B111" s="222" t="s">
        <v>1279</v>
      </c>
      <c r="C111" s="223">
        <v>262.2</v>
      </c>
      <c r="D111" s="223" t="s">
        <v>1277</v>
      </c>
      <c r="E111" s="223">
        <v>262.2</v>
      </c>
      <c r="F111" s="223">
        <v>29.4</v>
      </c>
      <c r="G111" s="223">
        <v>0.6</v>
      </c>
      <c r="H111" s="223"/>
      <c r="I111" s="223"/>
      <c r="J111" s="223"/>
      <c r="K111" s="223"/>
      <c r="L111" s="223"/>
    </row>
    <row r="112" spans="1:12" x14ac:dyDescent="0.2">
      <c r="A112" s="218"/>
      <c r="B112" s="224" t="s">
        <v>68</v>
      </c>
      <c r="C112" s="220">
        <v>263.5</v>
      </c>
      <c r="D112" s="220" t="s">
        <v>1277</v>
      </c>
      <c r="E112" s="220">
        <v>263.5</v>
      </c>
      <c r="F112" s="220">
        <v>29.6</v>
      </c>
      <c r="G112" s="220">
        <v>1.3</v>
      </c>
      <c r="H112" s="220"/>
      <c r="I112" s="220"/>
      <c r="J112" s="220"/>
      <c r="K112" s="220"/>
      <c r="L112" s="220"/>
    </row>
    <row r="113" spans="1:12" x14ac:dyDescent="0.2">
      <c r="A113" s="221"/>
      <c r="B113" s="222" t="s">
        <v>1280</v>
      </c>
      <c r="C113" s="223">
        <v>270.10000000000002</v>
      </c>
      <c r="D113" s="223" t="s">
        <v>1281</v>
      </c>
      <c r="E113" s="223">
        <v>270.10000000000002</v>
      </c>
      <c r="F113" s="223">
        <v>30.3</v>
      </c>
      <c r="G113" s="223">
        <v>6.6</v>
      </c>
      <c r="H113" s="223"/>
      <c r="I113" s="223"/>
      <c r="J113" s="223"/>
      <c r="K113" s="223"/>
      <c r="L113" s="223"/>
    </row>
    <row r="114" spans="1:12" x14ac:dyDescent="0.2">
      <c r="A114" s="218"/>
      <c r="B114" s="224" t="s">
        <v>1282</v>
      </c>
      <c r="C114" s="220">
        <v>270.10000000000002</v>
      </c>
      <c r="D114" s="220" t="s">
        <v>1281</v>
      </c>
      <c r="E114" s="220">
        <v>270.10000000000002</v>
      </c>
      <c r="F114" s="220">
        <v>30.3</v>
      </c>
      <c r="G114" s="220">
        <v>0</v>
      </c>
      <c r="H114" s="220"/>
      <c r="I114" s="220"/>
      <c r="J114" s="220"/>
      <c r="K114" s="220"/>
      <c r="L114" s="220"/>
    </row>
    <row r="115" spans="1:12" x14ac:dyDescent="0.2">
      <c r="A115" s="221"/>
      <c r="B115" s="222" t="s">
        <v>1283</v>
      </c>
      <c r="C115" s="223">
        <v>273.5</v>
      </c>
      <c r="D115" s="223" t="s">
        <v>1281</v>
      </c>
      <c r="E115" s="223">
        <v>273.5</v>
      </c>
      <c r="F115" s="223">
        <v>30.6</v>
      </c>
      <c r="G115" s="223">
        <v>3.4</v>
      </c>
      <c r="H115" s="223"/>
      <c r="I115" s="223"/>
      <c r="J115" s="223"/>
      <c r="K115" s="223"/>
      <c r="L115" s="223"/>
    </row>
    <row r="116" spans="1:12" ht="54" customHeight="1" x14ac:dyDescent="0.2">
      <c r="A116" s="231"/>
      <c r="B116" s="232" t="s">
        <v>1284</v>
      </c>
      <c r="C116" s="233">
        <v>276.5</v>
      </c>
      <c r="D116" s="220" t="s">
        <v>1281</v>
      </c>
      <c r="E116" s="233">
        <v>276.5</v>
      </c>
      <c r="F116" s="233">
        <v>31</v>
      </c>
      <c r="G116" s="233">
        <v>3</v>
      </c>
      <c r="H116" s="233">
        <v>33.9</v>
      </c>
      <c r="I116" s="233">
        <v>3.6</v>
      </c>
      <c r="J116" s="233">
        <v>9.4</v>
      </c>
      <c r="K116" s="233">
        <v>6.6</v>
      </c>
      <c r="L116" s="233"/>
    </row>
    <row r="117" spans="1:12" x14ac:dyDescent="0.2">
      <c r="A117" s="231"/>
      <c r="B117" s="232"/>
      <c r="C117" s="233"/>
      <c r="D117" s="220" t="s">
        <v>1285</v>
      </c>
      <c r="E117" s="233"/>
      <c r="F117" s="233"/>
      <c r="G117" s="233"/>
      <c r="H117" s="233"/>
      <c r="I117" s="233"/>
      <c r="J117" s="233"/>
      <c r="K117" s="233"/>
      <c r="L117" s="233"/>
    </row>
    <row r="118" spans="1:12" x14ac:dyDescent="0.2">
      <c r="A118" s="221"/>
      <c r="B118" s="222" t="s">
        <v>1286</v>
      </c>
      <c r="C118" s="223">
        <v>276.5</v>
      </c>
      <c r="D118" s="223" t="s">
        <v>1285</v>
      </c>
      <c r="E118" s="223">
        <v>276.5</v>
      </c>
      <c r="F118" s="223">
        <v>31.7</v>
      </c>
      <c r="G118" s="223">
        <v>0</v>
      </c>
      <c r="H118" s="223"/>
      <c r="I118" s="223"/>
      <c r="J118" s="223"/>
      <c r="K118" s="223"/>
      <c r="L118" s="223"/>
    </row>
    <row r="119" spans="1:12" x14ac:dyDescent="0.2">
      <c r="A119" s="218"/>
      <c r="B119" s="224" t="s">
        <v>1287</v>
      </c>
      <c r="C119" s="220">
        <v>276.60000000000002</v>
      </c>
      <c r="D119" s="220" t="s">
        <v>1285</v>
      </c>
      <c r="E119" s="220">
        <v>276.60000000000002</v>
      </c>
      <c r="F119" s="220">
        <v>31.7</v>
      </c>
      <c r="G119" s="220">
        <v>0.1</v>
      </c>
      <c r="H119" s="220"/>
      <c r="I119" s="220"/>
      <c r="J119" s="220"/>
      <c r="K119" s="220"/>
      <c r="L119" s="220"/>
    </row>
    <row r="120" spans="1:12" x14ac:dyDescent="0.2">
      <c r="A120" s="221"/>
      <c r="B120" s="222" t="s">
        <v>1288</v>
      </c>
      <c r="C120" s="223">
        <v>282.8</v>
      </c>
      <c r="D120" s="223" t="s">
        <v>1289</v>
      </c>
      <c r="E120" s="223">
        <v>282.8</v>
      </c>
      <c r="F120" s="223">
        <v>32.299999999999997</v>
      </c>
      <c r="G120" s="223">
        <v>6.1</v>
      </c>
      <c r="H120" s="223"/>
      <c r="I120" s="223"/>
      <c r="J120" s="223"/>
      <c r="K120" s="223"/>
      <c r="L120" s="223"/>
    </row>
    <row r="121" spans="1:12" x14ac:dyDescent="0.2">
      <c r="A121" s="218"/>
      <c r="B121" s="224" t="s">
        <v>70</v>
      </c>
      <c r="C121" s="220">
        <v>287.89999999999998</v>
      </c>
      <c r="D121" s="220" t="s">
        <v>1289</v>
      </c>
      <c r="E121" s="220">
        <v>287.89999999999998</v>
      </c>
      <c r="F121" s="220">
        <v>32.799999999999997</v>
      </c>
      <c r="G121" s="220">
        <v>5.0999999999999996</v>
      </c>
      <c r="H121" s="220"/>
      <c r="I121" s="220"/>
      <c r="J121" s="220"/>
      <c r="K121" s="220"/>
      <c r="L121" s="220"/>
    </row>
    <row r="122" spans="1:12" x14ac:dyDescent="0.2">
      <c r="A122" s="221"/>
      <c r="B122" s="222" t="s">
        <v>1290</v>
      </c>
      <c r="C122" s="223">
        <v>291.7</v>
      </c>
      <c r="D122" s="223" t="s">
        <v>1291</v>
      </c>
      <c r="E122" s="223">
        <v>291.7</v>
      </c>
      <c r="F122" s="223">
        <v>33.1</v>
      </c>
      <c r="G122" s="223">
        <v>3.8</v>
      </c>
      <c r="H122" s="223"/>
      <c r="I122" s="223"/>
      <c r="J122" s="223"/>
      <c r="K122" s="223"/>
      <c r="L122" s="223"/>
    </row>
    <row r="123" spans="1:12" x14ac:dyDescent="0.2">
      <c r="A123" s="218"/>
      <c r="B123" s="224" t="s">
        <v>1292</v>
      </c>
      <c r="C123" s="220">
        <v>291.8</v>
      </c>
      <c r="D123" s="220" t="s">
        <v>1291</v>
      </c>
      <c r="E123" s="220">
        <v>291.8</v>
      </c>
      <c r="F123" s="220">
        <v>33.1</v>
      </c>
      <c r="G123" s="220">
        <v>0</v>
      </c>
      <c r="H123" s="220"/>
      <c r="I123" s="220"/>
      <c r="J123" s="220"/>
      <c r="K123" s="220"/>
      <c r="L123" s="220"/>
    </row>
    <row r="124" spans="1:12" x14ac:dyDescent="0.2">
      <c r="A124" s="221"/>
      <c r="B124" s="222" t="s">
        <v>71</v>
      </c>
      <c r="C124" s="223">
        <v>296.60000000000002</v>
      </c>
      <c r="D124" s="223" t="s">
        <v>1291</v>
      </c>
      <c r="E124" s="223">
        <v>296.60000000000002</v>
      </c>
      <c r="F124" s="223">
        <v>33.6</v>
      </c>
      <c r="G124" s="223">
        <v>4.8</v>
      </c>
      <c r="H124" s="223"/>
      <c r="I124" s="223"/>
      <c r="J124" s="223"/>
      <c r="K124" s="223"/>
      <c r="L124" s="223"/>
    </row>
    <row r="125" spans="1:12" x14ac:dyDescent="0.2">
      <c r="A125" s="218"/>
      <c r="B125" s="224" t="s">
        <v>1293</v>
      </c>
      <c r="C125" s="220">
        <v>303.3</v>
      </c>
      <c r="D125" s="220" t="s">
        <v>1294</v>
      </c>
      <c r="E125" s="220">
        <v>303.3</v>
      </c>
      <c r="F125" s="220">
        <v>34.200000000000003</v>
      </c>
      <c r="G125" s="220">
        <v>6.7</v>
      </c>
      <c r="H125" s="220"/>
      <c r="I125" s="220"/>
      <c r="J125" s="220"/>
      <c r="K125" s="220"/>
      <c r="L125" s="220"/>
    </row>
    <row r="126" spans="1:12" x14ac:dyDescent="0.2">
      <c r="A126" s="221"/>
      <c r="B126" s="222" t="s">
        <v>72</v>
      </c>
      <c r="C126" s="223">
        <v>309.10000000000002</v>
      </c>
      <c r="D126" s="223" t="s">
        <v>1294</v>
      </c>
      <c r="E126" s="223">
        <v>309.10000000000002</v>
      </c>
      <c r="F126" s="223">
        <v>34.799999999999997</v>
      </c>
      <c r="G126" s="223">
        <v>5.8</v>
      </c>
      <c r="H126" s="223"/>
      <c r="I126" s="223"/>
      <c r="J126" s="223"/>
      <c r="K126" s="223"/>
      <c r="L126" s="223"/>
    </row>
    <row r="127" spans="1:12" x14ac:dyDescent="0.2">
      <c r="A127" s="218"/>
      <c r="B127" s="224" t="s">
        <v>1295</v>
      </c>
      <c r="C127" s="220">
        <v>311.8</v>
      </c>
      <c r="D127" s="220" t="s">
        <v>1296</v>
      </c>
      <c r="E127" s="220">
        <v>311.8</v>
      </c>
      <c r="F127" s="220">
        <v>35</v>
      </c>
      <c r="G127" s="220">
        <v>2.8</v>
      </c>
      <c r="H127" s="220"/>
      <c r="I127" s="220"/>
      <c r="J127" s="220"/>
      <c r="K127" s="220"/>
      <c r="L127" s="220"/>
    </row>
    <row r="128" spans="1:12" x14ac:dyDescent="0.2">
      <c r="A128" s="221"/>
      <c r="B128" s="222" t="s">
        <v>1297</v>
      </c>
      <c r="C128" s="223">
        <v>311.89999999999998</v>
      </c>
      <c r="D128" s="223" t="s">
        <v>1296</v>
      </c>
      <c r="E128" s="223">
        <v>311.8</v>
      </c>
      <c r="F128" s="223">
        <v>35</v>
      </c>
      <c r="G128" s="223">
        <v>0</v>
      </c>
      <c r="H128" s="223"/>
      <c r="I128" s="223"/>
      <c r="J128" s="223"/>
      <c r="K128" s="223"/>
      <c r="L128" s="223"/>
    </row>
    <row r="129" spans="1:12" x14ac:dyDescent="0.2">
      <c r="A129" s="218"/>
      <c r="B129" s="224" t="s">
        <v>1298</v>
      </c>
      <c r="C129" s="220">
        <v>318.60000000000002</v>
      </c>
      <c r="D129" s="220" t="s">
        <v>1296</v>
      </c>
      <c r="E129" s="220">
        <v>318.60000000000002</v>
      </c>
      <c r="F129" s="220">
        <v>35.6</v>
      </c>
      <c r="G129" s="220">
        <v>6.7</v>
      </c>
      <c r="H129" s="220"/>
      <c r="I129" s="220"/>
      <c r="J129" s="220"/>
      <c r="K129" s="220"/>
      <c r="L129" s="220"/>
    </row>
    <row r="130" spans="1:12" x14ac:dyDescent="0.2">
      <c r="A130" s="221"/>
      <c r="B130" s="222" t="s">
        <v>1299</v>
      </c>
      <c r="C130" s="223">
        <v>320.89999999999998</v>
      </c>
      <c r="D130" s="223" t="s">
        <v>1296</v>
      </c>
      <c r="E130" s="223">
        <v>320.89999999999998</v>
      </c>
      <c r="F130" s="223">
        <v>35.9</v>
      </c>
      <c r="G130" s="223">
        <v>2.2999999999999998</v>
      </c>
      <c r="H130" s="223"/>
      <c r="I130" s="223"/>
      <c r="J130" s="223"/>
      <c r="K130" s="223"/>
      <c r="L130" s="223"/>
    </row>
    <row r="131" spans="1:12" x14ac:dyDescent="0.2">
      <c r="A131" s="218"/>
      <c r="B131" s="224" t="s">
        <v>1300</v>
      </c>
      <c r="C131" s="220">
        <v>320.89999999999998</v>
      </c>
      <c r="D131" s="220" t="s">
        <v>1296</v>
      </c>
      <c r="E131" s="220">
        <v>320.89999999999998</v>
      </c>
      <c r="F131" s="220">
        <v>35.9</v>
      </c>
      <c r="G131" s="220">
        <v>0</v>
      </c>
      <c r="H131" s="220"/>
      <c r="I131" s="220"/>
      <c r="J131" s="220"/>
      <c r="K131" s="220"/>
      <c r="L131" s="220"/>
    </row>
    <row r="132" spans="1:12" x14ac:dyDescent="0.2">
      <c r="A132" s="221"/>
      <c r="B132" s="222" t="s">
        <v>1300</v>
      </c>
      <c r="C132" s="223">
        <v>320.89999999999998</v>
      </c>
      <c r="D132" s="223" t="s">
        <v>1296</v>
      </c>
      <c r="E132" s="223">
        <v>320.89999999999998</v>
      </c>
      <c r="F132" s="223">
        <v>35.9</v>
      </c>
      <c r="G132" s="223">
        <v>0</v>
      </c>
      <c r="H132" s="223"/>
      <c r="I132" s="223"/>
      <c r="J132" s="223"/>
      <c r="K132" s="223"/>
      <c r="L132" s="223"/>
    </row>
    <row r="133" spans="1:12" x14ac:dyDescent="0.2">
      <c r="A133" s="218"/>
      <c r="B133" s="224" t="s">
        <v>1301</v>
      </c>
      <c r="C133" s="220">
        <v>321</v>
      </c>
      <c r="D133" s="220" t="s">
        <v>1296</v>
      </c>
      <c r="E133" s="220">
        <v>321</v>
      </c>
      <c r="F133" s="220">
        <v>35.9</v>
      </c>
      <c r="G133" s="220">
        <v>0.1</v>
      </c>
      <c r="H133" s="220"/>
      <c r="I133" s="220"/>
      <c r="J133" s="220"/>
      <c r="K133" s="220"/>
      <c r="L133" s="220"/>
    </row>
    <row r="134" spans="1:12" x14ac:dyDescent="0.2">
      <c r="A134" s="221"/>
      <c r="B134" s="222" t="s">
        <v>1302</v>
      </c>
      <c r="C134" s="223">
        <v>323.2</v>
      </c>
      <c r="D134" s="223" t="s">
        <v>1303</v>
      </c>
      <c r="E134" s="223">
        <v>323.2</v>
      </c>
      <c r="F134" s="223">
        <v>36.1</v>
      </c>
      <c r="G134" s="223">
        <v>2.2000000000000002</v>
      </c>
      <c r="H134" s="223"/>
      <c r="I134" s="223"/>
      <c r="J134" s="223"/>
      <c r="K134" s="223"/>
      <c r="L134" s="223"/>
    </row>
    <row r="135" spans="1:12" x14ac:dyDescent="0.2">
      <c r="A135" s="218"/>
      <c r="B135" s="224" t="s">
        <v>74</v>
      </c>
      <c r="C135" s="220">
        <v>328.6</v>
      </c>
      <c r="D135" s="220" t="s">
        <v>1303</v>
      </c>
      <c r="E135" s="220">
        <v>328.6</v>
      </c>
      <c r="F135" s="220">
        <v>36.6</v>
      </c>
      <c r="G135" s="220">
        <v>5.4</v>
      </c>
      <c r="H135" s="220"/>
      <c r="I135" s="220"/>
      <c r="J135" s="220"/>
      <c r="K135" s="220"/>
      <c r="L135" s="220"/>
    </row>
    <row r="136" spans="1:12" x14ac:dyDescent="0.2">
      <c r="A136" s="221"/>
      <c r="B136" s="222" t="s">
        <v>1304</v>
      </c>
      <c r="C136" s="223">
        <v>334.5</v>
      </c>
      <c r="D136" s="223" t="s">
        <v>1305</v>
      </c>
      <c r="E136" s="223">
        <v>334.5</v>
      </c>
      <c r="F136" s="223">
        <v>37.1</v>
      </c>
      <c r="G136" s="223">
        <v>5.9</v>
      </c>
      <c r="H136" s="223"/>
      <c r="I136" s="223"/>
      <c r="J136" s="223"/>
      <c r="K136" s="223"/>
      <c r="L136" s="223"/>
    </row>
    <row r="137" spans="1:12" x14ac:dyDescent="0.2">
      <c r="A137" s="218"/>
      <c r="B137" s="224" t="s">
        <v>75</v>
      </c>
      <c r="C137" s="220">
        <v>339.4</v>
      </c>
      <c r="D137" s="220" t="s">
        <v>1305</v>
      </c>
      <c r="E137" s="220">
        <v>339.4</v>
      </c>
      <c r="F137" s="220">
        <v>37.6</v>
      </c>
      <c r="G137" s="220">
        <v>4.9000000000000004</v>
      </c>
      <c r="H137" s="220"/>
      <c r="I137" s="220"/>
      <c r="J137" s="220"/>
      <c r="K137" s="220"/>
      <c r="L137" s="220"/>
    </row>
    <row r="138" spans="1:12" ht="28.5" customHeight="1" x14ac:dyDescent="0.2">
      <c r="A138" s="228"/>
      <c r="B138" s="229" t="s">
        <v>1306</v>
      </c>
      <c r="C138" s="230">
        <v>345.7</v>
      </c>
      <c r="D138" s="223" t="s">
        <v>1307</v>
      </c>
      <c r="E138" s="230">
        <v>345.7</v>
      </c>
      <c r="F138" s="230">
        <v>38.200000000000003</v>
      </c>
      <c r="G138" s="230">
        <v>6.3</v>
      </c>
      <c r="H138" s="230">
        <v>69.3</v>
      </c>
      <c r="I138" s="230">
        <v>6.5</v>
      </c>
      <c r="J138" s="230">
        <v>10.7</v>
      </c>
      <c r="K138" s="230">
        <v>6</v>
      </c>
      <c r="L138" s="230"/>
    </row>
    <row r="139" spans="1:12" x14ac:dyDescent="0.2">
      <c r="A139" s="228"/>
      <c r="B139" s="229"/>
      <c r="C139" s="230"/>
      <c r="D139" s="223" t="s">
        <v>1307</v>
      </c>
      <c r="E139" s="230"/>
      <c r="F139" s="230"/>
      <c r="G139" s="230"/>
      <c r="H139" s="230"/>
      <c r="I139" s="230"/>
      <c r="J139" s="230"/>
      <c r="K139" s="230"/>
      <c r="L139" s="230"/>
    </row>
    <row r="140" spans="1:12" x14ac:dyDescent="0.2">
      <c r="A140" s="218"/>
      <c r="B140" s="224" t="s">
        <v>1308</v>
      </c>
      <c r="C140" s="220">
        <v>350</v>
      </c>
      <c r="D140" s="220" t="s">
        <v>1309</v>
      </c>
      <c r="E140" s="220">
        <v>350</v>
      </c>
      <c r="F140" s="220">
        <v>39.1</v>
      </c>
      <c r="G140" s="220">
        <v>4.3</v>
      </c>
      <c r="H140" s="220"/>
      <c r="I140" s="220"/>
      <c r="J140" s="220"/>
      <c r="K140" s="220"/>
      <c r="L140" s="220"/>
    </row>
    <row r="141" spans="1:12" x14ac:dyDescent="0.2">
      <c r="A141" s="221"/>
      <c r="B141" s="222" t="s">
        <v>1310</v>
      </c>
      <c r="C141" s="223">
        <v>354.2</v>
      </c>
      <c r="D141" s="223" t="s">
        <v>1309</v>
      </c>
      <c r="E141" s="223">
        <v>354.2</v>
      </c>
      <c r="F141" s="223">
        <v>39.6</v>
      </c>
      <c r="G141" s="223">
        <v>4.2</v>
      </c>
      <c r="H141" s="223"/>
      <c r="I141" s="223"/>
      <c r="J141" s="223"/>
      <c r="K141" s="223"/>
      <c r="L141" s="223"/>
    </row>
    <row r="142" spans="1:12" ht="22.5" x14ac:dyDescent="0.2">
      <c r="A142" s="218"/>
      <c r="B142" s="224" t="s">
        <v>1311</v>
      </c>
      <c r="C142" s="220">
        <v>354.2</v>
      </c>
      <c r="D142" s="220" t="s">
        <v>1309</v>
      </c>
      <c r="E142" s="220">
        <v>354.2</v>
      </c>
      <c r="F142" s="220">
        <v>39.6</v>
      </c>
      <c r="G142" s="220">
        <v>0</v>
      </c>
      <c r="H142" s="220"/>
      <c r="I142" s="220"/>
      <c r="J142" s="220"/>
      <c r="K142" s="220"/>
      <c r="L142" s="220"/>
    </row>
    <row r="143" spans="1:12" x14ac:dyDescent="0.2">
      <c r="A143" s="221"/>
      <c r="B143" s="222" t="s">
        <v>77</v>
      </c>
      <c r="C143" s="223">
        <v>363</v>
      </c>
      <c r="D143" s="223" t="s">
        <v>1312</v>
      </c>
      <c r="E143" s="223">
        <v>363</v>
      </c>
      <c r="F143" s="223">
        <v>40.5</v>
      </c>
      <c r="G143" s="223">
        <v>8.6999999999999993</v>
      </c>
      <c r="H143" s="223"/>
      <c r="I143" s="223"/>
      <c r="J143" s="223"/>
      <c r="K143" s="223"/>
      <c r="L143" s="223"/>
    </row>
    <row r="144" spans="1:12" x14ac:dyDescent="0.2">
      <c r="A144" s="218"/>
      <c r="B144" s="224" t="s">
        <v>1313</v>
      </c>
      <c r="C144" s="220">
        <v>366</v>
      </c>
      <c r="D144" s="220" t="s">
        <v>1312</v>
      </c>
      <c r="E144" s="220">
        <v>366</v>
      </c>
      <c r="F144" s="220">
        <v>40.799999999999997</v>
      </c>
      <c r="G144" s="220">
        <v>3</v>
      </c>
      <c r="H144" s="220"/>
      <c r="I144" s="220"/>
      <c r="J144" s="220"/>
      <c r="K144" s="220"/>
      <c r="L144" s="220"/>
    </row>
    <row r="145" spans="1:12" x14ac:dyDescent="0.2">
      <c r="A145" s="221"/>
      <c r="B145" s="222" t="s">
        <v>1314</v>
      </c>
      <c r="C145" s="223">
        <v>366</v>
      </c>
      <c r="D145" s="223" t="s">
        <v>1312</v>
      </c>
      <c r="E145" s="223">
        <v>366</v>
      </c>
      <c r="F145" s="223">
        <v>40.799999999999997</v>
      </c>
      <c r="G145" s="223">
        <v>0</v>
      </c>
      <c r="H145" s="223"/>
      <c r="I145" s="223"/>
      <c r="J145" s="223"/>
      <c r="K145" s="223"/>
      <c r="L145" s="223"/>
    </row>
    <row r="146" spans="1:12" x14ac:dyDescent="0.2">
      <c r="A146" s="218"/>
      <c r="B146" s="224" t="s">
        <v>1315</v>
      </c>
      <c r="C146" s="220">
        <v>370.1</v>
      </c>
      <c r="D146" s="220" t="s">
        <v>1316</v>
      </c>
      <c r="E146" s="220">
        <v>370.1</v>
      </c>
      <c r="F146" s="220">
        <v>41.2</v>
      </c>
      <c r="G146" s="220">
        <v>4.0999999999999996</v>
      </c>
      <c r="H146" s="220"/>
      <c r="I146" s="220"/>
      <c r="J146" s="220"/>
      <c r="K146" s="220"/>
      <c r="L146" s="220"/>
    </row>
    <row r="147" spans="1:12" x14ac:dyDescent="0.2">
      <c r="A147" s="221"/>
      <c r="B147" s="222" t="s">
        <v>78</v>
      </c>
      <c r="C147" s="223">
        <v>372.1</v>
      </c>
      <c r="D147" s="223" t="s">
        <v>1316</v>
      </c>
      <c r="E147" s="223">
        <v>372.1</v>
      </c>
      <c r="F147" s="223">
        <v>41.4</v>
      </c>
      <c r="G147" s="223">
        <v>2</v>
      </c>
      <c r="H147" s="223"/>
      <c r="I147" s="223"/>
      <c r="J147" s="223"/>
      <c r="K147" s="223"/>
      <c r="L147" s="223"/>
    </row>
    <row r="148" spans="1:12" x14ac:dyDescent="0.2">
      <c r="A148" s="218"/>
      <c r="B148" s="224" t="s">
        <v>1317</v>
      </c>
      <c r="C148" s="220">
        <v>375.2</v>
      </c>
      <c r="D148" s="220" t="s">
        <v>1316</v>
      </c>
      <c r="E148" s="220">
        <v>375.2</v>
      </c>
      <c r="F148" s="220">
        <v>41.8</v>
      </c>
      <c r="G148" s="220">
        <v>3.1</v>
      </c>
      <c r="H148" s="220"/>
      <c r="I148" s="220"/>
      <c r="J148" s="220"/>
      <c r="K148" s="220"/>
      <c r="L148" s="220"/>
    </row>
    <row r="149" spans="1:12" x14ac:dyDescent="0.2">
      <c r="A149" s="221"/>
      <c r="B149" s="222" t="s">
        <v>1318</v>
      </c>
      <c r="C149" s="223">
        <v>378</v>
      </c>
      <c r="D149" s="223" t="s">
        <v>1319</v>
      </c>
      <c r="E149" s="223">
        <v>378</v>
      </c>
      <c r="F149" s="223">
        <v>42</v>
      </c>
      <c r="G149" s="223">
        <v>2.8</v>
      </c>
      <c r="H149" s="223"/>
      <c r="I149" s="223"/>
      <c r="J149" s="223"/>
      <c r="K149" s="223"/>
      <c r="L149" s="223"/>
    </row>
    <row r="150" spans="1:12" x14ac:dyDescent="0.2">
      <c r="A150" s="218"/>
      <c r="B150" s="224" t="s">
        <v>79</v>
      </c>
      <c r="C150" s="220">
        <v>378.5</v>
      </c>
      <c r="D150" s="220" t="s">
        <v>1319</v>
      </c>
      <c r="E150" s="220">
        <v>378.5</v>
      </c>
      <c r="F150" s="220">
        <v>42.1</v>
      </c>
      <c r="G150" s="220">
        <v>0.5</v>
      </c>
      <c r="H150" s="220"/>
      <c r="I150" s="220"/>
      <c r="J150" s="220"/>
      <c r="K150" s="220"/>
      <c r="L150" s="220"/>
    </row>
    <row r="151" spans="1:12" x14ac:dyDescent="0.2">
      <c r="A151" s="221"/>
      <c r="B151" s="222" t="s">
        <v>1320</v>
      </c>
      <c r="C151" s="223">
        <v>380.1</v>
      </c>
      <c r="D151" s="223" t="s">
        <v>1319</v>
      </c>
      <c r="E151" s="223">
        <v>380.1</v>
      </c>
      <c r="F151" s="223">
        <v>42.3</v>
      </c>
      <c r="G151" s="223">
        <v>1.6</v>
      </c>
      <c r="H151" s="223"/>
      <c r="I151" s="223"/>
      <c r="J151" s="223"/>
      <c r="K151" s="223"/>
      <c r="L151" s="223"/>
    </row>
    <row r="152" spans="1:12" x14ac:dyDescent="0.2">
      <c r="A152" s="218"/>
      <c r="B152" s="224" t="s">
        <v>1321</v>
      </c>
      <c r="C152" s="220">
        <v>380.1</v>
      </c>
      <c r="D152" s="220" t="s">
        <v>1319</v>
      </c>
      <c r="E152" s="220">
        <v>380.1</v>
      </c>
      <c r="F152" s="220">
        <v>42.3</v>
      </c>
      <c r="G152" s="220">
        <v>0.1</v>
      </c>
      <c r="H152" s="220"/>
      <c r="I152" s="220"/>
      <c r="J152" s="220"/>
      <c r="K152" s="220"/>
      <c r="L152" s="220"/>
    </row>
    <row r="153" spans="1:12" x14ac:dyDescent="0.2">
      <c r="A153" s="221"/>
      <c r="B153" s="222" t="s">
        <v>1322</v>
      </c>
      <c r="C153" s="223">
        <v>380.1</v>
      </c>
      <c r="D153" s="223" t="s">
        <v>1319</v>
      </c>
      <c r="E153" s="223">
        <v>380.1</v>
      </c>
      <c r="F153" s="223">
        <v>42.3</v>
      </c>
      <c r="G153" s="223">
        <v>0</v>
      </c>
      <c r="H153" s="223"/>
      <c r="I153" s="223"/>
      <c r="J153" s="223"/>
      <c r="K153" s="223"/>
      <c r="L153" s="223"/>
    </row>
    <row r="154" spans="1:12" x14ac:dyDescent="0.2">
      <c r="A154" s="218"/>
      <c r="B154" s="224" t="s">
        <v>80</v>
      </c>
      <c r="C154" s="220">
        <v>383.4</v>
      </c>
      <c r="D154" s="220" t="s">
        <v>1319</v>
      </c>
      <c r="E154" s="220">
        <v>383.4</v>
      </c>
      <c r="F154" s="220">
        <v>42.6</v>
      </c>
      <c r="G154" s="220">
        <v>3.2</v>
      </c>
      <c r="H154" s="220"/>
      <c r="I154" s="220"/>
      <c r="J154" s="220"/>
      <c r="K154" s="220"/>
      <c r="L154" s="220"/>
    </row>
    <row r="155" spans="1:12" x14ac:dyDescent="0.2">
      <c r="A155" s="221"/>
      <c r="B155" s="222" t="s">
        <v>81</v>
      </c>
      <c r="C155" s="223">
        <v>384.8</v>
      </c>
      <c r="D155" s="223" t="s">
        <v>1319</v>
      </c>
      <c r="E155" s="223">
        <v>384.8</v>
      </c>
      <c r="F155" s="223">
        <v>42.8</v>
      </c>
      <c r="G155" s="223">
        <v>1.4</v>
      </c>
      <c r="H155" s="223"/>
      <c r="I155" s="223"/>
      <c r="J155" s="223"/>
      <c r="K155" s="223"/>
      <c r="L155" s="223"/>
    </row>
    <row r="156" spans="1:12" x14ac:dyDescent="0.2">
      <c r="A156" s="218"/>
      <c r="B156" s="224" t="s">
        <v>996</v>
      </c>
      <c r="C156" s="220">
        <v>393.3</v>
      </c>
      <c r="D156" s="220" t="s">
        <v>1323</v>
      </c>
      <c r="E156" s="220">
        <v>393.3</v>
      </c>
      <c r="F156" s="220">
        <v>43.6</v>
      </c>
      <c r="G156" s="220">
        <v>8.5</v>
      </c>
      <c r="H156" s="220"/>
      <c r="I156" s="220"/>
      <c r="J156" s="220"/>
      <c r="K156" s="220"/>
      <c r="L156" s="220"/>
    </row>
    <row r="157" spans="1:12" x14ac:dyDescent="0.2">
      <c r="A157" s="221"/>
      <c r="B157" s="222" t="s">
        <v>1324</v>
      </c>
      <c r="C157" s="223">
        <v>393.8</v>
      </c>
      <c r="D157" s="223" t="s">
        <v>1323</v>
      </c>
      <c r="E157" s="223">
        <v>393.8</v>
      </c>
      <c r="F157" s="223">
        <v>43.7</v>
      </c>
      <c r="G157" s="223">
        <v>0.5</v>
      </c>
      <c r="H157" s="223"/>
      <c r="I157" s="223"/>
      <c r="J157" s="223"/>
      <c r="K157" s="223"/>
      <c r="L157" s="223"/>
    </row>
    <row r="158" spans="1:12" ht="66.75" customHeight="1" x14ac:dyDescent="0.2">
      <c r="A158" s="231"/>
      <c r="B158" s="232" t="s">
        <v>1325</v>
      </c>
      <c r="C158" s="233">
        <v>393.8</v>
      </c>
      <c r="D158" s="220" t="s">
        <v>1323</v>
      </c>
      <c r="E158" s="233">
        <v>393.8</v>
      </c>
      <c r="F158" s="233">
        <v>43.7</v>
      </c>
      <c r="G158" s="233">
        <v>0</v>
      </c>
      <c r="H158" s="233">
        <v>48.1</v>
      </c>
      <c r="I158" s="233">
        <v>5</v>
      </c>
      <c r="J158" s="233">
        <v>9.6</v>
      </c>
      <c r="K158" s="233">
        <v>6.8</v>
      </c>
      <c r="L158" s="233"/>
    </row>
    <row r="159" spans="1:12" x14ac:dyDescent="0.2">
      <c r="A159" s="231"/>
      <c r="B159" s="232"/>
      <c r="C159" s="233"/>
      <c r="D159" s="220" t="s">
        <v>1326</v>
      </c>
      <c r="E159" s="233"/>
      <c r="F159" s="233"/>
      <c r="G159" s="233"/>
      <c r="H159" s="233"/>
      <c r="I159" s="233"/>
      <c r="J159" s="233"/>
      <c r="K159" s="233"/>
      <c r="L159" s="233"/>
    </row>
    <row r="160" spans="1:12" x14ac:dyDescent="0.2">
      <c r="A160" s="221"/>
      <c r="B160" s="222" t="s">
        <v>1327</v>
      </c>
      <c r="C160" s="223">
        <v>397.4</v>
      </c>
      <c r="D160" s="223" t="s">
        <v>1326</v>
      </c>
      <c r="E160" s="223">
        <v>397.4</v>
      </c>
      <c r="F160" s="223">
        <v>44.5</v>
      </c>
      <c r="G160" s="223">
        <v>3.6</v>
      </c>
      <c r="H160" s="223"/>
      <c r="I160" s="223"/>
      <c r="J160" s="223"/>
      <c r="K160" s="223"/>
      <c r="L160" s="223"/>
    </row>
    <row r="161" spans="1:12" x14ac:dyDescent="0.2">
      <c r="A161" s="218"/>
      <c r="B161" s="224" t="s">
        <v>1328</v>
      </c>
      <c r="C161" s="220">
        <v>402.4</v>
      </c>
      <c r="D161" s="220" t="s">
        <v>1326</v>
      </c>
      <c r="E161" s="220">
        <v>402.4</v>
      </c>
      <c r="F161" s="220">
        <v>44.9</v>
      </c>
      <c r="G161" s="220">
        <v>5</v>
      </c>
      <c r="H161" s="220"/>
      <c r="I161" s="220"/>
      <c r="J161" s="220"/>
      <c r="K161" s="220"/>
      <c r="L161" s="220"/>
    </row>
    <row r="162" spans="1:12" x14ac:dyDescent="0.2">
      <c r="A162" s="221"/>
      <c r="B162" s="222" t="s">
        <v>1329</v>
      </c>
      <c r="C162" s="223">
        <v>404.2</v>
      </c>
      <c r="D162" s="223" t="s">
        <v>1330</v>
      </c>
      <c r="E162" s="223">
        <v>404.2</v>
      </c>
      <c r="F162" s="223">
        <v>45</v>
      </c>
      <c r="G162" s="223">
        <v>1.9</v>
      </c>
      <c r="H162" s="223"/>
      <c r="I162" s="223"/>
      <c r="J162" s="223"/>
      <c r="K162" s="223"/>
      <c r="L162" s="223"/>
    </row>
    <row r="163" spans="1:12" x14ac:dyDescent="0.2">
      <c r="A163" s="218"/>
      <c r="B163" s="224" t="s">
        <v>1331</v>
      </c>
      <c r="C163" s="220">
        <v>407.1</v>
      </c>
      <c r="D163" s="220" t="s">
        <v>1330</v>
      </c>
      <c r="E163" s="220">
        <v>407.1</v>
      </c>
      <c r="F163" s="220">
        <v>45.3</v>
      </c>
      <c r="G163" s="220">
        <v>2.8</v>
      </c>
      <c r="H163" s="220"/>
      <c r="I163" s="220"/>
      <c r="J163" s="220"/>
      <c r="K163" s="220"/>
      <c r="L163" s="220"/>
    </row>
    <row r="164" spans="1:12" x14ac:dyDescent="0.2">
      <c r="A164" s="221"/>
      <c r="B164" s="222" t="s">
        <v>82</v>
      </c>
      <c r="C164" s="223">
        <v>411.3</v>
      </c>
      <c r="D164" s="223" t="s">
        <v>1330</v>
      </c>
      <c r="E164" s="223">
        <v>411.3</v>
      </c>
      <c r="F164" s="223">
        <v>45.6</v>
      </c>
      <c r="G164" s="223">
        <v>4.2</v>
      </c>
      <c r="H164" s="223"/>
      <c r="I164" s="223"/>
      <c r="J164" s="223"/>
      <c r="K164" s="223"/>
      <c r="L164" s="223"/>
    </row>
    <row r="165" spans="1:12" x14ac:dyDescent="0.2">
      <c r="A165" s="218"/>
      <c r="B165" s="224" t="s">
        <v>1332</v>
      </c>
      <c r="C165" s="220">
        <v>416.8</v>
      </c>
      <c r="D165" s="220" t="s">
        <v>1333</v>
      </c>
      <c r="E165" s="220">
        <v>416.8</v>
      </c>
      <c r="F165" s="220">
        <v>46</v>
      </c>
      <c r="G165" s="220">
        <v>5.5</v>
      </c>
      <c r="H165" s="220"/>
      <c r="I165" s="220"/>
      <c r="J165" s="220"/>
      <c r="K165" s="220"/>
      <c r="L165" s="220"/>
    </row>
    <row r="166" spans="1:12" x14ac:dyDescent="0.2">
      <c r="A166" s="221"/>
      <c r="B166" s="222" t="s">
        <v>83</v>
      </c>
      <c r="C166" s="223">
        <v>418.5</v>
      </c>
      <c r="D166" s="223" t="s">
        <v>1333</v>
      </c>
      <c r="E166" s="223">
        <v>418.5</v>
      </c>
      <c r="F166" s="223">
        <v>46.2</v>
      </c>
      <c r="G166" s="223">
        <v>1.7</v>
      </c>
      <c r="H166" s="223"/>
      <c r="I166" s="223"/>
      <c r="J166" s="223"/>
      <c r="K166" s="223"/>
      <c r="L166" s="223"/>
    </row>
    <row r="167" spans="1:12" x14ac:dyDescent="0.2">
      <c r="A167" s="218"/>
      <c r="B167" s="224" t="s">
        <v>1334</v>
      </c>
      <c r="C167" s="220">
        <v>425.2</v>
      </c>
      <c r="D167" s="220" t="s">
        <v>1333</v>
      </c>
      <c r="E167" s="220">
        <v>425.1</v>
      </c>
      <c r="F167" s="220">
        <v>46.7</v>
      </c>
      <c r="G167" s="220">
        <v>6.7</v>
      </c>
      <c r="H167" s="220"/>
      <c r="I167" s="220"/>
      <c r="J167" s="220"/>
      <c r="K167" s="220"/>
      <c r="L167" s="220"/>
    </row>
    <row r="168" spans="1:12" ht="22.5" x14ac:dyDescent="0.2">
      <c r="A168" s="221"/>
      <c r="B168" s="222" t="s">
        <v>1335</v>
      </c>
      <c r="C168" s="223">
        <v>425.2</v>
      </c>
      <c r="D168" s="223" t="s">
        <v>1333</v>
      </c>
      <c r="E168" s="223">
        <v>425.2</v>
      </c>
      <c r="F168" s="223">
        <v>46.7</v>
      </c>
      <c r="G168" s="223">
        <v>0.1</v>
      </c>
      <c r="H168" s="223"/>
      <c r="I168" s="223"/>
      <c r="J168" s="223"/>
      <c r="K168" s="223"/>
      <c r="L168" s="223"/>
    </row>
    <row r="169" spans="1:12" ht="22.5" x14ac:dyDescent="0.2">
      <c r="A169" s="218"/>
      <c r="B169" s="224" t="s">
        <v>1336</v>
      </c>
      <c r="C169" s="220">
        <v>425.2</v>
      </c>
      <c r="D169" s="220" t="s">
        <v>1333</v>
      </c>
      <c r="E169" s="220">
        <v>425.2</v>
      </c>
      <c r="F169" s="220">
        <v>46.7</v>
      </c>
      <c r="G169" s="220">
        <v>0</v>
      </c>
      <c r="H169" s="220"/>
      <c r="I169" s="220"/>
      <c r="J169" s="220"/>
      <c r="K169" s="220"/>
      <c r="L169" s="220"/>
    </row>
    <row r="170" spans="1:12" ht="41.25" customHeight="1" x14ac:dyDescent="0.2">
      <c r="A170" s="228"/>
      <c r="B170" s="229" t="s">
        <v>1337</v>
      </c>
      <c r="C170" s="230">
        <v>425.4</v>
      </c>
      <c r="D170" s="223" t="s">
        <v>1333</v>
      </c>
      <c r="E170" s="230">
        <v>425.4</v>
      </c>
      <c r="F170" s="230">
        <v>46.7</v>
      </c>
      <c r="G170" s="230">
        <v>0.1</v>
      </c>
      <c r="H170" s="230">
        <v>31.5</v>
      </c>
      <c r="I170" s="230">
        <v>2.5</v>
      </c>
      <c r="J170" s="230">
        <v>12.5</v>
      </c>
      <c r="K170" s="230">
        <v>5.0999999999999996</v>
      </c>
      <c r="L170" s="230"/>
    </row>
    <row r="171" spans="1:12" x14ac:dyDescent="0.2">
      <c r="A171" s="228"/>
      <c r="B171" s="229"/>
      <c r="C171" s="230"/>
      <c r="D171" s="223" t="s">
        <v>1338</v>
      </c>
      <c r="E171" s="230"/>
      <c r="F171" s="230"/>
      <c r="G171" s="230"/>
      <c r="H171" s="230"/>
      <c r="I171" s="230"/>
      <c r="J171" s="230"/>
      <c r="K171" s="230"/>
      <c r="L171" s="230"/>
    </row>
    <row r="172" spans="1:12" x14ac:dyDescent="0.2">
      <c r="A172" s="218"/>
      <c r="B172" s="224" t="s">
        <v>1339</v>
      </c>
      <c r="C172" s="220">
        <v>426.8</v>
      </c>
      <c r="D172" s="220" t="s">
        <v>1338</v>
      </c>
      <c r="E172" s="220">
        <v>426.8</v>
      </c>
      <c r="F172" s="220">
        <v>47.3</v>
      </c>
      <c r="G172" s="220">
        <v>1.4</v>
      </c>
      <c r="H172" s="220"/>
      <c r="I172" s="220"/>
      <c r="J172" s="220"/>
      <c r="K172" s="220"/>
      <c r="L172" s="220"/>
    </row>
    <row r="173" spans="1:12" x14ac:dyDescent="0.2">
      <c r="A173" s="221"/>
      <c r="B173" s="222" t="s">
        <v>1340</v>
      </c>
      <c r="C173" s="223">
        <v>429.3</v>
      </c>
      <c r="D173" s="223" t="s">
        <v>1338</v>
      </c>
      <c r="E173" s="223">
        <v>429.3</v>
      </c>
      <c r="F173" s="223">
        <v>47.5</v>
      </c>
      <c r="G173" s="223">
        <v>2.5</v>
      </c>
      <c r="H173" s="223"/>
      <c r="I173" s="223"/>
      <c r="J173" s="223"/>
      <c r="K173" s="223"/>
      <c r="L173" s="223"/>
    </row>
    <row r="174" spans="1:12" x14ac:dyDescent="0.2">
      <c r="A174" s="218"/>
      <c r="B174" s="224" t="s">
        <v>84</v>
      </c>
      <c r="C174" s="220">
        <v>434</v>
      </c>
      <c r="D174" s="220" t="s">
        <v>1338</v>
      </c>
      <c r="E174" s="220">
        <v>433.9</v>
      </c>
      <c r="F174" s="220">
        <v>47.8</v>
      </c>
      <c r="G174" s="220">
        <v>4.7</v>
      </c>
      <c r="H174" s="220"/>
      <c r="I174" s="220"/>
      <c r="J174" s="220"/>
      <c r="K174" s="220"/>
      <c r="L174" s="220"/>
    </row>
    <row r="175" spans="1:12" x14ac:dyDescent="0.2">
      <c r="A175" s="221"/>
      <c r="B175" s="222" t="s">
        <v>85</v>
      </c>
      <c r="C175" s="223">
        <v>440.9</v>
      </c>
      <c r="D175" s="223" t="s">
        <v>1341</v>
      </c>
      <c r="E175" s="223">
        <v>440.9</v>
      </c>
      <c r="F175" s="223">
        <v>48.2</v>
      </c>
      <c r="G175" s="223">
        <v>6.9</v>
      </c>
      <c r="H175" s="223"/>
      <c r="I175" s="223"/>
      <c r="J175" s="223"/>
      <c r="K175" s="223"/>
      <c r="L175" s="223"/>
    </row>
    <row r="176" spans="1:12" x14ac:dyDescent="0.2">
      <c r="A176" s="218"/>
      <c r="B176" s="224" t="s">
        <v>1342</v>
      </c>
      <c r="C176" s="220">
        <v>445.3</v>
      </c>
      <c r="D176" s="220" t="s">
        <v>1341</v>
      </c>
      <c r="E176" s="220">
        <v>445.3</v>
      </c>
      <c r="F176" s="220">
        <v>48.5</v>
      </c>
      <c r="G176" s="220">
        <v>4.5</v>
      </c>
      <c r="H176" s="220"/>
      <c r="I176" s="220"/>
      <c r="J176" s="220"/>
      <c r="K176" s="220"/>
      <c r="L176" s="220"/>
    </row>
    <row r="177" spans="1:12" ht="22.5" x14ac:dyDescent="0.2">
      <c r="A177" s="221"/>
      <c r="B177" s="222" t="s">
        <v>1343</v>
      </c>
      <c r="C177" s="223">
        <v>445.4</v>
      </c>
      <c r="D177" s="223" t="s">
        <v>1341</v>
      </c>
      <c r="E177" s="223">
        <v>445.4</v>
      </c>
      <c r="F177" s="223">
        <v>48.5</v>
      </c>
      <c r="G177" s="223">
        <v>0.1</v>
      </c>
      <c r="H177" s="223"/>
      <c r="I177" s="223"/>
      <c r="J177" s="223"/>
      <c r="K177" s="223"/>
      <c r="L177" s="223"/>
    </row>
    <row r="178" spans="1:12" x14ac:dyDescent="0.2">
      <c r="A178" s="218"/>
      <c r="B178" s="224" t="s">
        <v>1344</v>
      </c>
      <c r="C178" s="220">
        <v>445.5</v>
      </c>
      <c r="D178" s="220" t="s">
        <v>1341</v>
      </c>
      <c r="E178" s="220">
        <v>445.4</v>
      </c>
      <c r="F178" s="220">
        <v>48.5</v>
      </c>
      <c r="G178" s="220">
        <v>0</v>
      </c>
      <c r="H178" s="220"/>
      <c r="I178" s="220"/>
      <c r="J178" s="220"/>
      <c r="K178" s="220"/>
      <c r="L178" s="220"/>
    </row>
    <row r="179" spans="1:12" x14ac:dyDescent="0.2">
      <c r="A179" s="221"/>
      <c r="B179" s="222" t="s">
        <v>86</v>
      </c>
      <c r="C179" s="223">
        <v>448.5</v>
      </c>
      <c r="D179" s="223" t="s">
        <v>1341</v>
      </c>
      <c r="E179" s="223">
        <v>448.5</v>
      </c>
      <c r="F179" s="223">
        <v>48.6</v>
      </c>
      <c r="G179" s="223">
        <v>3</v>
      </c>
      <c r="H179" s="223"/>
      <c r="I179" s="223"/>
      <c r="J179" s="223"/>
      <c r="K179" s="223"/>
      <c r="L179" s="223"/>
    </row>
    <row r="180" spans="1:12" x14ac:dyDescent="0.2">
      <c r="A180" s="218"/>
      <c r="B180" s="224" t="s">
        <v>1345</v>
      </c>
      <c r="C180" s="220">
        <v>452</v>
      </c>
      <c r="D180" s="220" t="s">
        <v>1341</v>
      </c>
      <c r="E180" s="220">
        <v>452</v>
      </c>
      <c r="F180" s="220">
        <v>48.9</v>
      </c>
      <c r="G180" s="220">
        <v>3.5</v>
      </c>
      <c r="H180" s="220"/>
      <c r="I180" s="220"/>
      <c r="J180" s="220"/>
      <c r="K180" s="220"/>
      <c r="L180" s="220"/>
    </row>
    <row r="181" spans="1:12" x14ac:dyDescent="0.2">
      <c r="A181" s="221"/>
      <c r="B181" s="222" t="s">
        <v>1346</v>
      </c>
      <c r="C181" s="223">
        <v>452</v>
      </c>
      <c r="D181" s="223" t="s">
        <v>1341</v>
      </c>
      <c r="E181" s="223">
        <v>452</v>
      </c>
      <c r="F181" s="223">
        <v>48.9</v>
      </c>
      <c r="G181" s="223">
        <v>0</v>
      </c>
      <c r="H181" s="223"/>
      <c r="I181" s="223"/>
      <c r="J181" s="223"/>
      <c r="K181" s="223"/>
      <c r="L181" s="223"/>
    </row>
    <row r="182" spans="1:12" x14ac:dyDescent="0.2">
      <c r="A182" s="218"/>
      <c r="B182" s="224" t="s">
        <v>1345</v>
      </c>
      <c r="C182" s="220">
        <v>452</v>
      </c>
      <c r="D182" s="220" t="s">
        <v>1341</v>
      </c>
      <c r="E182" s="220">
        <v>452</v>
      </c>
      <c r="F182" s="220">
        <v>48.9</v>
      </c>
      <c r="G182" s="220">
        <v>0</v>
      </c>
      <c r="H182" s="220"/>
      <c r="I182" s="220"/>
      <c r="J182" s="220"/>
      <c r="K182" s="220"/>
      <c r="L182" s="220"/>
    </row>
    <row r="183" spans="1:12" ht="22.5" x14ac:dyDescent="0.2">
      <c r="A183" s="221"/>
      <c r="B183" s="222" t="s">
        <v>1347</v>
      </c>
      <c r="C183" s="223">
        <v>455.4</v>
      </c>
      <c r="D183" s="223" t="s">
        <v>1348</v>
      </c>
      <c r="E183" s="223">
        <v>455.4</v>
      </c>
      <c r="F183" s="223">
        <v>49.1</v>
      </c>
      <c r="G183" s="223">
        <v>3.3</v>
      </c>
      <c r="H183" s="223"/>
      <c r="I183" s="223"/>
      <c r="J183" s="223"/>
      <c r="K183" s="223"/>
      <c r="L183" s="223"/>
    </row>
    <row r="184" spans="1:12" x14ac:dyDescent="0.2">
      <c r="A184" s="218"/>
      <c r="B184" s="224" t="s">
        <v>87</v>
      </c>
      <c r="C184" s="220">
        <v>456.8</v>
      </c>
      <c r="D184" s="220" t="s">
        <v>1348</v>
      </c>
      <c r="E184" s="220">
        <v>456.8</v>
      </c>
      <c r="F184" s="220">
        <v>49.2</v>
      </c>
      <c r="G184" s="220">
        <v>1.4</v>
      </c>
      <c r="H184" s="220"/>
      <c r="I184" s="220"/>
      <c r="J184" s="220"/>
      <c r="K184" s="220"/>
      <c r="L184" s="220"/>
    </row>
    <row r="185" spans="1:12" x14ac:dyDescent="0.2">
      <c r="A185" s="221"/>
      <c r="B185" s="222" t="s">
        <v>1349</v>
      </c>
      <c r="C185" s="223">
        <v>466.9</v>
      </c>
      <c r="D185" s="223" t="s">
        <v>1348</v>
      </c>
      <c r="E185" s="223">
        <v>466.9</v>
      </c>
      <c r="F185" s="223">
        <v>49.8</v>
      </c>
      <c r="G185" s="223">
        <v>10.199999999999999</v>
      </c>
      <c r="H185" s="223"/>
      <c r="I185" s="223"/>
      <c r="J185" s="223"/>
      <c r="K185" s="223"/>
      <c r="L185" s="223"/>
    </row>
    <row r="186" spans="1:12" ht="41.25" customHeight="1" x14ac:dyDescent="0.2">
      <c r="A186" s="231"/>
      <c r="B186" s="232" t="s">
        <v>1350</v>
      </c>
      <c r="C186" s="233">
        <v>467.6</v>
      </c>
      <c r="D186" s="220" t="s">
        <v>1348</v>
      </c>
      <c r="E186" s="233">
        <v>467.6</v>
      </c>
      <c r="F186" s="233">
        <v>49.8</v>
      </c>
      <c r="G186" s="233">
        <v>0.7</v>
      </c>
      <c r="H186" s="233">
        <v>42.2</v>
      </c>
      <c r="I186" s="233">
        <v>2.6</v>
      </c>
      <c r="J186" s="233">
        <v>16.3</v>
      </c>
      <c r="K186" s="233">
        <v>2.9</v>
      </c>
      <c r="L186" s="233"/>
    </row>
    <row r="187" spans="1:12" x14ac:dyDescent="0.2">
      <c r="A187" s="231"/>
      <c r="B187" s="232"/>
      <c r="C187" s="233"/>
      <c r="D187" s="220" t="s">
        <v>1351</v>
      </c>
      <c r="E187" s="233"/>
      <c r="F187" s="233"/>
      <c r="G187" s="233"/>
      <c r="H187" s="233"/>
      <c r="I187" s="233"/>
      <c r="J187" s="233"/>
      <c r="K187" s="233"/>
      <c r="L187" s="233"/>
    </row>
    <row r="188" spans="1:12" x14ac:dyDescent="0.2">
      <c r="A188" s="221"/>
      <c r="B188" s="222" t="s">
        <v>1352</v>
      </c>
      <c r="C188" s="223">
        <v>467.8</v>
      </c>
      <c r="D188" s="223" t="s">
        <v>1351</v>
      </c>
      <c r="E188" s="223">
        <v>467.8</v>
      </c>
      <c r="F188" s="223">
        <v>50.8</v>
      </c>
      <c r="G188" s="223">
        <v>0.2</v>
      </c>
      <c r="H188" s="223"/>
      <c r="I188" s="223"/>
      <c r="J188" s="223"/>
      <c r="K188" s="223"/>
      <c r="L188" s="223"/>
    </row>
    <row r="189" spans="1:12" x14ac:dyDescent="0.2">
      <c r="A189" s="218"/>
      <c r="B189" s="224" t="s">
        <v>1353</v>
      </c>
      <c r="C189" s="220">
        <v>472.4</v>
      </c>
      <c r="D189" s="220" t="s">
        <v>1354</v>
      </c>
      <c r="E189" s="220">
        <v>472.4</v>
      </c>
      <c r="F189" s="220">
        <v>51.2</v>
      </c>
      <c r="G189" s="220">
        <v>4.5999999999999996</v>
      </c>
      <c r="H189" s="220"/>
      <c r="I189" s="220"/>
      <c r="J189" s="220"/>
      <c r="K189" s="220"/>
      <c r="L189" s="220"/>
    </row>
    <row r="190" spans="1:12" x14ac:dyDescent="0.2">
      <c r="A190" s="221"/>
      <c r="B190" s="222" t="s">
        <v>88</v>
      </c>
      <c r="C190" s="223">
        <v>476.2</v>
      </c>
      <c r="D190" s="223" t="s">
        <v>1354</v>
      </c>
      <c r="E190" s="223">
        <v>476.2</v>
      </c>
      <c r="F190" s="223">
        <v>51.4</v>
      </c>
      <c r="G190" s="223">
        <v>3.8</v>
      </c>
      <c r="H190" s="223"/>
      <c r="I190" s="223"/>
      <c r="J190" s="223"/>
      <c r="K190" s="223"/>
      <c r="L190" s="223"/>
    </row>
    <row r="191" spans="1:12" x14ac:dyDescent="0.2">
      <c r="A191" s="218"/>
      <c r="B191" s="224" t="s">
        <v>1355</v>
      </c>
      <c r="C191" s="220">
        <v>481.1</v>
      </c>
      <c r="D191" s="220" t="s">
        <v>1354</v>
      </c>
      <c r="E191" s="220">
        <v>481.1</v>
      </c>
      <c r="F191" s="220">
        <v>51.8</v>
      </c>
      <c r="G191" s="220">
        <v>4.8</v>
      </c>
      <c r="H191" s="220"/>
      <c r="I191" s="220"/>
      <c r="J191" s="220"/>
      <c r="K191" s="220"/>
      <c r="L191" s="220"/>
    </row>
    <row r="192" spans="1:12" x14ac:dyDescent="0.2">
      <c r="A192" s="221"/>
      <c r="B192" s="222" t="s">
        <v>1356</v>
      </c>
      <c r="C192" s="223">
        <v>481.7</v>
      </c>
      <c r="D192" s="223" t="s">
        <v>1354</v>
      </c>
      <c r="E192" s="223">
        <v>481.7</v>
      </c>
      <c r="F192" s="223">
        <v>51.8</v>
      </c>
      <c r="G192" s="223">
        <v>0.7</v>
      </c>
      <c r="H192" s="223"/>
      <c r="I192" s="223"/>
      <c r="J192" s="223"/>
      <c r="K192" s="223"/>
      <c r="L192" s="223"/>
    </row>
    <row r="193" spans="1:12" x14ac:dyDescent="0.2">
      <c r="A193" s="218"/>
      <c r="B193" s="224" t="s">
        <v>89</v>
      </c>
      <c r="C193" s="220">
        <v>482.9</v>
      </c>
      <c r="D193" s="220" t="s">
        <v>1354</v>
      </c>
      <c r="E193" s="220">
        <v>482.9</v>
      </c>
      <c r="F193" s="220">
        <v>51.9</v>
      </c>
      <c r="G193" s="220">
        <v>1.2</v>
      </c>
      <c r="H193" s="220"/>
      <c r="I193" s="220"/>
      <c r="J193" s="220"/>
      <c r="K193" s="220"/>
      <c r="L193" s="220"/>
    </row>
    <row r="194" spans="1:12" x14ac:dyDescent="0.2">
      <c r="A194" s="221"/>
      <c r="B194" s="222" t="s">
        <v>1352</v>
      </c>
      <c r="C194" s="223">
        <v>483.9</v>
      </c>
      <c r="D194" s="223" t="s">
        <v>1354</v>
      </c>
      <c r="E194" s="223">
        <v>483.9</v>
      </c>
      <c r="F194" s="223">
        <v>52</v>
      </c>
      <c r="G194" s="223">
        <v>1</v>
      </c>
      <c r="H194" s="223"/>
      <c r="I194" s="223"/>
      <c r="J194" s="223"/>
      <c r="K194" s="223"/>
      <c r="L194" s="223"/>
    </row>
    <row r="195" spans="1:12" x14ac:dyDescent="0.2">
      <c r="A195" s="218"/>
      <c r="B195" s="224" t="s">
        <v>1357</v>
      </c>
      <c r="C195" s="220">
        <v>485.2</v>
      </c>
      <c r="D195" s="220" t="s">
        <v>1358</v>
      </c>
      <c r="E195" s="220">
        <v>485.2</v>
      </c>
      <c r="F195" s="220">
        <v>52.1</v>
      </c>
      <c r="G195" s="220">
        <v>1.2</v>
      </c>
      <c r="H195" s="220"/>
      <c r="I195" s="220"/>
      <c r="J195" s="220"/>
      <c r="K195" s="220"/>
      <c r="L195" s="220"/>
    </row>
    <row r="196" spans="1:12" x14ac:dyDescent="0.2">
      <c r="A196" s="221"/>
      <c r="B196" s="222" t="s">
        <v>1359</v>
      </c>
      <c r="C196" s="223">
        <v>485.2</v>
      </c>
      <c r="D196" s="223" t="s">
        <v>1358</v>
      </c>
      <c r="E196" s="223">
        <v>485.2</v>
      </c>
      <c r="F196" s="223">
        <v>52.1</v>
      </c>
      <c r="G196" s="223">
        <v>0</v>
      </c>
      <c r="H196" s="223"/>
      <c r="I196" s="223"/>
      <c r="J196" s="223"/>
      <c r="K196" s="223"/>
      <c r="L196" s="223"/>
    </row>
    <row r="197" spans="1:12" ht="22.5" x14ac:dyDescent="0.2">
      <c r="A197" s="218"/>
      <c r="B197" s="224" t="s">
        <v>1360</v>
      </c>
      <c r="C197" s="220">
        <v>488.7</v>
      </c>
      <c r="D197" s="220" t="s">
        <v>1358</v>
      </c>
      <c r="E197" s="220">
        <v>488.7</v>
      </c>
      <c r="F197" s="220">
        <v>52.3</v>
      </c>
      <c r="G197" s="220">
        <v>3.5</v>
      </c>
      <c r="H197" s="220"/>
      <c r="I197" s="220"/>
      <c r="J197" s="220"/>
      <c r="K197" s="220"/>
      <c r="L197" s="220"/>
    </row>
    <row r="198" spans="1:12" x14ac:dyDescent="0.2">
      <c r="A198" s="221"/>
      <c r="B198" s="222" t="s">
        <v>1361</v>
      </c>
      <c r="C198" s="223">
        <v>491</v>
      </c>
      <c r="D198" s="223" t="s">
        <v>1358</v>
      </c>
      <c r="E198" s="223">
        <v>491</v>
      </c>
      <c r="F198" s="223">
        <v>52.5</v>
      </c>
      <c r="G198" s="223">
        <v>2.2999999999999998</v>
      </c>
      <c r="H198" s="223"/>
      <c r="I198" s="223"/>
      <c r="J198" s="223"/>
      <c r="K198" s="223"/>
      <c r="L198" s="223"/>
    </row>
    <row r="199" spans="1:12" x14ac:dyDescent="0.2">
      <c r="A199" s="218"/>
      <c r="B199" s="224" t="s">
        <v>1362</v>
      </c>
      <c r="C199" s="220">
        <v>491</v>
      </c>
      <c r="D199" s="220" t="s">
        <v>1358</v>
      </c>
      <c r="E199" s="220">
        <v>491</v>
      </c>
      <c r="F199" s="220">
        <v>52.5</v>
      </c>
      <c r="G199" s="220">
        <v>0</v>
      </c>
      <c r="H199" s="220"/>
      <c r="I199" s="220"/>
      <c r="J199" s="220"/>
      <c r="K199" s="220"/>
      <c r="L199" s="220"/>
    </row>
    <row r="200" spans="1:12" x14ac:dyDescent="0.2">
      <c r="A200" s="221"/>
      <c r="B200" s="222" t="s">
        <v>90</v>
      </c>
      <c r="C200" s="223">
        <v>495.2</v>
      </c>
      <c r="D200" s="223" t="s">
        <v>1358</v>
      </c>
      <c r="E200" s="223">
        <v>495.2</v>
      </c>
      <c r="F200" s="223">
        <v>52.8</v>
      </c>
      <c r="G200" s="223">
        <v>4.2</v>
      </c>
      <c r="H200" s="223"/>
      <c r="I200" s="223"/>
      <c r="J200" s="223"/>
      <c r="K200" s="223"/>
      <c r="L200" s="223"/>
    </row>
    <row r="201" spans="1:12" ht="22.5" x14ac:dyDescent="0.2">
      <c r="A201" s="218"/>
      <c r="B201" s="224" t="s">
        <v>1363</v>
      </c>
      <c r="C201" s="220">
        <v>498.2</v>
      </c>
      <c r="D201" s="220" t="s">
        <v>1364</v>
      </c>
      <c r="E201" s="220">
        <v>498.2</v>
      </c>
      <c r="F201" s="220">
        <v>53</v>
      </c>
      <c r="G201" s="220">
        <v>3</v>
      </c>
      <c r="H201" s="220"/>
      <c r="I201" s="220"/>
      <c r="J201" s="220"/>
      <c r="K201" s="220"/>
      <c r="L201" s="220"/>
    </row>
    <row r="202" spans="1:12" ht="22.5" x14ac:dyDescent="0.2">
      <c r="A202" s="221"/>
      <c r="B202" s="222" t="s">
        <v>1365</v>
      </c>
      <c r="C202" s="223">
        <v>498.2</v>
      </c>
      <c r="D202" s="223" t="s">
        <v>1364</v>
      </c>
      <c r="E202" s="223">
        <v>498.2</v>
      </c>
      <c r="F202" s="223">
        <v>53</v>
      </c>
      <c r="G202" s="223">
        <v>0</v>
      </c>
      <c r="H202" s="223"/>
      <c r="I202" s="223"/>
      <c r="J202" s="223"/>
      <c r="K202" s="223"/>
      <c r="L202" s="223"/>
    </row>
    <row r="203" spans="1:12" x14ac:dyDescent="0.2">
      <c r="A203" s="218"/>
      <c r="B203" s="224" t="s">
        <v>91</v>
      </c>
      <c r="C203" s="220">
        <v>500.3</v>
      </c>
      <c r="D203" s="220" t="s">
        <v>1364</v>
      </c>
      <c r="E203" s="220">
        <v>500.3</v>
      </c>
      <c r="F203" s="220">
        <v>53.2</v>
      </c>
      <c r="G203" s="220">
        <v>2.1</v>
      </c>
      <c r="H203" s="220"/>
      <c r="I203" s="220"/>
      <c r="J203" s="220"/>
      <c r="K203" s="220"/>
      <c r="L203" s="220"/>
    </row>
    <row r="204" spans="1:12" x14ac:dyDescent="0.2">
      <c r="A204" s="221"/>
      <c r="B204" s="222" t="s">
        <v>1366</v>
      </c>
      <c r="C204" s="223">
        <v>503.3</v>
      </c>
      <c r="D204" s="223" t="s">
        <v>1364</v>
      </c>
      <c r="E204" s="223">
        <v>503.3</v>
      </c>
      <c r="F204" s="223">
        <v>53.4</v>
      </c>
      <c r="G204" s="223">
        <v>3</v>
      </c>
      <c r="H204" s="223"/>
      <c r="I204" s="223"/>
      <c r="J204" s="223"/>
      <c r="K204" s="223"/>
      <c r="L204" s="223"/>
    </row>
    <row r="205" spans="1:12" x14ac:dyDescent="0.2">
      <c r="A205" s="218"/>
      <c r="B205" s="224" t="s">
        <v>92</v>
      </c>
      <c r="C205" s="220">
        <v>506.3</v>
      </c>
      <c r="D205" s="220" t="s">
        <v>1364</v>
      </c>
      <c r="E205" s="220">
        <v>506.3</v>
      </c>
      <c r="F205" s="220">
        <v>53.6</v>
      </c>
      <c r="G205" s="220">
        <v>3</v>
      </c>
      <c r="H205" s="220"/>
      <c r="I205" s="220"/>
      <c r="J205" s="220"/>
      <c r="K205" s="220"/>
      <c r="L205" s="220"/>
    </row>
    <row r="206" spans="1:12" x14ac:dyDescent="0.2">
      <c r="A206" s="221"/>
      <c r="B206" s="222" t="s">
        <v>1367</v>
      </c>
      <c r="C206" s="223">
        <v>508</v>
      </c>
      <c r="D206" s="223" t="s">
        <v>1364</v>
      </c>
      <c r="E206" s="223">
        <v>508</v>
      </c>
      <c r="F206" s="223">
        <v>53.7</v>
      </c>
      <c r="G206" s="223">
        <v>1.7</v>
      </c>
      <c r="H206" s="223"/>
      <c r="I206" s="223"/>
      <c r="J206" s="223"/>
      <c r="K206" s="223"/>
      <c r="L206" s="223"/>
    </row>
    <row r="207" spans="1:12" x14ac:dyDescent="0.2">
      <c r="A207" s="218"/>
      <c r="B207" s="224" t="s">
        <v>1368</v>
      </c>
      <c r="C207" s="220">
        <v>508</v>
      </c>
      <c r="D207" s="220" t="s">
        <v>1364</v>
      </c>
      <c r="E207" s="220">
        <v>508</v>
      </c>
      <c r="F207" s="220">
        <v>53.7</v>
      </c>
      <c r="G207" s="220">
        <v>0</v>
      </c>
      <c r="H207" s="220"/>
      <c r="I207" s="220"/>
      <c r="J207" s="220"/>
      <c r="K207" s="220"/>
      <c r="L207" s="220"/>
    </row>
    <row r="208" spans="1:12" x14ac:dyDescent="0.2">
      <c r="A208" s="221"/>
      <c r="B208" s="222" t="s">
        <v>1369</v>
      </c>
      <c r="C208" s="223">
        <v>516.4</v>
      </c>
      <c r="D208" s="223" t="s">
        <v>1370</v>
      </c>
      <c r="E208" s="223">
        <v>516.4</v>
      </c>
      <c r="F208" s="223">
        <v>54.3</v>
      </c>
      <c r="G208" s="223">
        <v>8.4</v>
      </c>
      <c r="H208" s="223"/>
      <c r="I208" s="223"/>
      <c r="J208" s="223"/>
      <c r="K208" s="223"/>
      <c r="L208" s="223"/>
    </row>
    <row r="209" spans="1:12" x14ac:dyDescent="0.2">
      <c r="A209" s="218"/>
      <c r="B209" s="224" t="s">
        <v>1371</v>
      </c>
      <c r="C209" s="220">
        <v>516.4</v>
      </c>
      <c r="D209" s="220" t="s">
        <v>1370</v>
      </c>
      <c r="E209" s="220">
        <v>516.4</v>
      </c>
      <c r="F209" s="220">
        <v>54.3</v>
      </c>
      <c r="G209" s="220">
        <v>0</v>
      </c>
      <c r="H209" s="220"/>
      <c r="I209" s="220"/>
      <c r="J209" s="220"/>
      <c r="K209" s="220"/>
      <c r="L209" s="220"/>
    </row>
    <row r="210" spans="1:12" ht="22.5" x14ac:dyDescent="0.2">
      <c r="A210" s="221"/>
      <c r="B210" s="222" t="s">
        <v>1372</v>
      </c>
      <c r="C210" s="223">
        <v>517.79999999999995</v>
      </c>
      <c r="D210" s="223" t="s">
        <v>1370</v>
      </c>
      <c r="E210" s="223">
        <v>517.79999999999995</v>
      </c>
      <c r="F210" s="223">
        <v>54.4</v>
      </c>
      <c r="G210" s="223">
        <v>1.4</v>
      </c>
      <c r="H210" s="223"/>
      <c r="I210" s="223"/>
      <c r="J210" s="223"/>
      <c r="K210" s="223"/>
      <c r="L210" s="223"/>
    </row>
    <row r="211" spans="1:12" x14ac:dyDescent="0.2">
      <c r="A211" s="218"/>
      <c r="B211" s="224" t="s">
        <v>93</v>
      </c>
      <c r="C211" s="220">
        <v>520.5</v>
      </c>
      <c r="D211" s="220" t="s">
        <v>1370</v>
      </c>
      <c r="E211" s="220">
        <v>520.5</v>
      </c>
      <c r="F211" s="220">
        <v>54.6</v>
      </c>
      <c r="G211" s="220">
        <v>2.7</v>
      </c>
      <c r="H211" s="220"/>
      <c r="I211" s="220"/>
      <c r="J211" s="220"/>
      <c r="K211" s="220"/>
      <c r="L211" s="220"/>
    </row>
    <row r="212" spans="1:12" x14ac:dyDescent="0.2">
      <c r="A212" s="221"/>
      <c r="B212" s="222" t="s">
        <v>1373</v>
      </c>
      <c r="C212" s="223">
        <v>521.70000000000005</v>
      </c>
      <c r="D212" s="223" t="s">
        <v>1370</v>
      </c>
      <c r="E212" s="223">
        <v>521.70000000000005</v>
      </c>
      <c r="F212" s="223">
        <v>54.7</v>
      </c>
      <c r="G212" s="223">
        <v>1.2</v>
      </c>
      <c r="H212" s="223"/>
      <c r="I212" s="223"/>
      <c r="J212" s="223"/>
      <c r="K212" s="223"/>
      <c r="L212" s="223"/>
    </row>
    <row r="213" spans="1:12" ht="22.5" x14ac:dyDescent="0.2">
      <c r="A213" s="218"/>
      <c r="B213" s="224" t="s">
        <v>1374</v>
      </c>
      <c r="C213" s="220">
        <v>522.6</v>
      </c>
      <c r="D213" s="220" t="s">
        <v>1370</v>
      </c>
      <c r="E213" s="220">
        <v>522.6</v>
      </c>
      <c r="F213" s="220">
        <v>54.8</v>
      </c>
      <c r="G213" s="220">
        <v>0.9</v>
      </c>
      <c r="H213" s="220"/>
      <c r="I213" s="220"/>
      <c r="J213" s="220"/>
      <c r="K213" s="220"/>
      <c r="L213" s="220"/>
    </row>
    <row r="214" spans="1:12" x14ac:dyDescent="0.2">
      <c r="A214" s="221"/>
      <c r="B214" s="222" t="s">
        <v>1357</v>
      </c>
      <c r="C214" s="223">
        <v>526.5</v>
      </c>
      <c r="D214" s="223" t="s">
        <v>1375</v>
      </c>
      <c r="E214" s="223">
        <v>526.5</v>
      </c>
      <c r="F214" s="223">
        <v>55.1</v>
      </c>
      <c r="G214" s="223">
        <v>3.9</v>
      </c>
      <c r="H214" s="223"/>
      <c r="I214" s="223"/>
      <c r="J214" s="223"/>
      <c r="K214" s="223"/>
      <c r="L214" s="223"/>
    </row>
    <row r="215" spans="1:12" x14ac:dyDescent="0.2">
      <c r="A215" s="218"/>
      <c r="B215" s="224" t="s">
        <v>1359</v>
      </c>
      <c r="C215" s="220">
        <v>526.5</v>
      </c>
      <c r="D215" s="220" t="s">
        <v>1375</v>
      </c>
      <c r="E215" s="220">
        <v>526.5</v>
      </c>
      <c r="F215" s="220">
        <v>55.1</v>
      </c>
      <c r="G215" s="220">
        <v>0</v>
      </c>
      <c r="H215" s="220"/>
      <c r="I215" s="220"/>
      <c r="J215" s="220"/>
      <c r="K215" s="220"/>
      <c r="L215" s="220"/>
    </row>
    <row r="216" spans="1:12" x14ac:dyDescent="0.2">
      <c r="A216" s="221"/>
      <c r="B216" s="222" t="s">
        <v>94</v>
      </c>
      <c r="C216" s="223">
        <v>530.4</v>
      </c>
      <c r="D216" s="223" t="s">
        <v>1375</v>
      </c>
      <c r="E216" s="223">
        <v>530.4</v>
      </c>
      <c r="F216" s="223">
        <v>55.3</v>
      </c>
      <c r="G216" s="223">
        <v>3.9</v>
      </c>
      <c r="H216" s="223"/>
      <c r="I216" s="223"/>
      <c r="J216" s="223"/>
      <c r="K216" s="223"/>
      <c r="L216" s="223"/>
    </row>
    <row r="217" spans="1:12" ht="22.5" x14ac:dyDescent="0.2">
      <c r="A217" s="218"/>
      <c r="B217" s="224" t="s">
        <v>1376</v>
      </c>
      <c r="C217" s="220">
        <v>530.6</v>
      </c>
      <c r="D217" s="220" t="s">
        <v>1375</v>
      </c>
      <c r="E217" s="220">
        <v>530.6</v>
      </c>
      <c r="F217" s="220">
        <v>55.4</v>
      </c>
      <c r="G217" s="220">
        <v>0.2</v>
      </c>
      <c r="H217" s="220"/>
      <c r="I217" s="220"/>
      <c r="J217" s="220"/>
      <c r="K217" s="220"/>
      <c r="L217" s="220"/>
    </row>
    <row r="218" spans="1:12" x14ac:dyDescent="0.2">
      <c r="A218" s="221"/>
      <c r="B218" s="222" t="s">
        <v>1377</v>
      </c>
      <c r="C218" s="223">
        <v>531.29999999999995</v>
      </c>
      <c r="D218" s="223" t="s">
        <v>1375</v>
      </c>
      <c r="E218" s="223">
        <v>531.29999999999995</v>
      </c>
      <c r="F218" s="223">
        <v>55.4</v>
      </c>
      <c r="G218" s="223">
        <v>0.7</v>
      </c>
      <c r="H218" s="223"/>
      <c r="I218" s="223"/>
      <c r="J218" s="223"/>
      <c r="K218" s="223"/>
      <c r="L218" s="223"/>
    </row>
    <row r="219" spans="1:12" x14ac:dyDescent="0.2">
      <c r="A219" s="218"/>
      <c r="B219" s="224" t="s">
        <v>1378</v>
      </c>
      <c r="C219" s="220">
        <v>534.6</v>
      </c>
      <c r="D219" s="220" t="s">
        <v>1375</v>
      </c>
      <c r="E219" s="220">
        <v>534.6</v>
      </c>
      <c r="F219" s="220">
        <v>55.6</v>
      </c>
      <c r="G219" s="220">
        <v>3.3</v>
      </c>
      <c r="H219" s="220"/>
      <c r="I219" s="220"/>
      <c r="J219" s="220"/>
      <c r="K219" s="220"/>
      <c r="L219" s="220"/>
    </row>
    <row r="220" spans="1:12" x14ac:dyDescent="0.2">
      <c r="A220" s="221"/>
      <c r="B220" s="222" t="s">
        <v>1379</v>
      </c>
      <c r="C220" s="223">
        <v>537.4</v>
      </c>
      <c r="D220" s="223" t="s">
        <v>1375</v>
      </c>
      <c r="E220" s="223">
        <v>537.4</v>
      </c>
      <c r="F220" s="223">
        <v>55.9</v>
      </c>
      <c r="G220" s="223">
        <v>2.8</v>
      </c>
      <c r="H220" s="223"/>
      <c r="I220" s="223"/>
      <c r="J220" s="223"/>
      <c r="K220" s="223"/>
      <c r="L220" s="223"/>
    </row>
    <row r="221" spans="1:12" x14ac:dyDescent="0.2">
      <c r="A221" s="218"/>
      <c r="B221" s="224" t="s">
        <v>1380</v>
      </c>
      <c r="C221" s="220">
        <v>539.20000000000005</v>
      </c>
      <c r="D221" s="220" t="s">
        <v>1375</v>
      </c>
      <c r="E221" s="220">
        <v>539.20000000000005</v>
      </c>
      <c r="F221" s="220">
        <v>56</v>
      </c>
      <c r="G221" s="220">
        <v>1.8</v>
      </c>
      <c r="H221" s="220"/>
      <c r="I221" s="220"/>
      <c r="J221" s="220"/>
      <c r="K221" s="220"/>
      <c r="L221" s="220"/>
    </row>
    <row r="222" spans="1:12" x14ac:dyDescent="0.2">
      <c r="A222" s="221"/>
      <c r="B222" s="222" t="s">
        <v>1381</v>
      </c>
      <c r="C222" s="223">
        <v>539.20000000000005</v>
      </c>
      <c r="D222" s="223" t="s">
        <v>1375</v>
      </c>
      <c r="E222" s="223">
        <v>539.20000000000005</v>
      </c>
      <c r="F222" s="223">
        <v>56</v>
      </c>
      <c r="G222" s="223">
        <v>0.1</v>
      </c>
      <c r="H222" s="223"/>
      <c r="I222" s="223"/>
      <c r="J222" s="223"/>
      <c r="K222" s="223"/>
      <c r="L222" s="223"/>
    </row>
    <row r="223" spans="1:12" x14ac:dyDescent="0.2">
      <c r="A223" s="218"/>
      <c r="B223" s="224" t="s">
        <v>1382</v>
      </c>
      <c r="C223" s="220">
        <v>539.70000000000005</v>
      </c>
      <c r="D223" s="220" t="s">
        <v>1383</v>
      </c>
      <c r="E223" s="220">
        <v>539.70000000000005</v>
      </c>
      <c r="F223" s="220">
        <v>56</v>
      </c>
      <c r="G223" s="220">
        <v>0.4</v>
      </c>
      <c r="H223" s="220"/>
      <c r="I223" s="220"/>
      <c r="J223" s="220"/>
      <c r="K223" s="220"/>
      <c r="L223" s="220"/>
    </row>
    <row r="224" spans="1:12" ht="28.5" customHeight="1" x14ac:dyDescent="0.2">
      <c r="A224" s="228"/>
      <c r="B224" s="229" t="s">
        <v>1384</v>
      </c>
      <c r="C224" s="230">
        <v>541.79999999999995</v>
      </c>
      <c r="D224" s="223" t="s">
        <v>1383</v>
      </c>
      <c r="E224" s="230">
        <v>541.79999999999995</v>
      </c>
      <c r="F224" s="230">
        <v>56.2</v>
      </c>
      <c r="G224" s="230">
        <v>2.2000000000000002</v>
      </c>
      <c r="H224" s="230">
        <v>74.2</v>
      </c>
      <c r="I224" s="230">
        <v>5.3</v>
      </c>
      <c r="J224" s="230">
        <v>13.9</v>
      </c>
      <c r="K224" s="230">
        <v>4.5999999999999996</v>
      </c>
      <c r="L224" s="230"/>
    </row>
    <row r="225" spans="1:12" x14ac:dyDescent="0.2">
      <c r="A225" s="228"/>
      <c r="B225" s="229"/>
      <c r="C225" s="230"/>
      <c r="D225" s="223" t="s">
        <v>1383</v>
      </c>
      <c r="E225" s="230"/>
      <c r="F225" s="230"/>
      <c r="G225" s="230"/>
      <c r="H225" s="230"/>
      <c r="I225" s="230"/>
      <c r="J225" s="230"/>
      <c r="K225" s="230"/>
      <c r="L225" s="230"/>
    </row>
    <row r="226" spans="1:12" x14ac:dyDescent="0.2">
      <c r="A226" s="218"/>
      <c r="B226" s="224" t="s">
        <v>1385</v>
      </c>
      <c r="C226" s="220">
        <v>542</v>
      </c>
      <c r="D226" s="220" t="s">
        <v>1383</v>
      </c>
      <c r="E226" s="220">
        <v>542</v>
      </c>
      <c r="F226" s="220">
        <v>56.7</v>
      </c>
      <c r="G226" s="220">
        <v>0.1</v>
      </c>
      <c r="H226" s="220"/>
      <c r="I226" s="220"/>
      <c r="J226" s="220"/>
      <c r="K226" s="220"/>
      <c r="L226" s="220"/>
    </row>
    <row r="227" spans="1:12" x14ac:dyDescent="0.2">
      <c r="A227" s="221"/>
      <c r="B227" s="222" t="s">
        <v>1386</v>
      </c>
      <c r="C227" s="223">
        <v>542.1</v>
      </c>
      <c r="D227" s="223" t="s">
        <v>1383</v>
      </c>
      <c r="E227" s="223">
        <v>542.1</v>
      </c>
      <c r="F227" s="223">
        <v>56.7</v>
      </c>
      <c r="G227" s="223">
        <v>0.1</v>
      </c>
      <c r="H227" s="223"/>
      <c r="I227" s="223"/>
      <c r="J227" s="223"/>
      <c r="K227" s="223"/>
      <c r="L227" s="223"/>
    </row>
    <row r="228" spans="1:12" x14ac:dyDescent="0.2">
      <c r="A228" s="218"/>
      <c r="B228" s="224" t="s">
        <v>1386</v>
      </c>
      <c r="C228" s="220">
        <v>542.1</v>
      </c>
      <c r="D228" s="220" t="s">
        <v>1383</v>
      </c>
      <c r="E228" s="220">
        <v>542.1</v>
      </c>
      <c r="F228" s="220">
        <v>56.7</v>
      </c>
      <c r="G228" s="220">
        <v>0</v>
      </c>
      <c r="H228" s="220"/>
      <c r="I228" s="220"/>
      <c r="J228" s="220"/>
      <c r="K228" s="220"/>
      <c r="L228" s="220"/>
    </row>
    <row r="229" spans="1:12" x14ac:dyDescent="0.2">
      <c r="A229" s="221"/>
      <c r="B229" s="222" t="s">
        <v>1387</v>
      </c>
      <c r="C229" s="223">
        <v>543</v>
      </c>
      <c r="D229" s="223" t="s">
        <v>1383</v>
      </c>
      <c r="E229" s="223">
        <v>543</v>
      </c>
      <c r="F229" s="223">
        <v>56.7</v>
      </c>
      <c r="G229" s="223">
        <v>0.9</v>
      </c>
      <c r="H229" s="223"/>
      <c r="I229" s="223"/>
      <c r="J229" s="223"/>
      <c r="K229" s="223"/>
      <c r="L229" s="223"/>
    </row>
    <row r="230" spans="1:12" x14ac:dyDescent="0.2">
      <c r="A230" s="218"/>
      <c r="B230" s="224" t="s">
        <v>1388</v>
      </c>
      <c r="C230" s="220">
        <v>543</v>
      </c>
      <c r="D230" s="220" t="s">
        <v>1383</v>
      </c>
      <c r="E230" s="220">
        <v>543</v>
      </c>
      <c r="F230" s="220">
        <v>56.8</v>
      </c>
      <c r="G230" s="220">
        <v>0</v>
      </c>
      <c r="H230" s="220"/>
      <c r="I230" s="220"/>
      <c r="J230" s="220"/>
      <c r="K230" s="220"/>
      <c r="L230" s="220"/>
    </row>
    <row r="231" spans="1:12" x14ac:dyDescent="0.2">
      <c r="A231" s="221"/>
      <c r="B231" s="222" t="s">
        <v>1389</v>
      </c>
      <c r="C231" s="223">
        <v>544.79999999999995</v>
      </c>
      <c r="D231" s="223" t="s">
        <v>1383</v>
      </c>
      <c r="E231" s="223">
        <v>544.79999999999995</v>
      </c>
      <c r="F231" s="223">
        <v>56.9</v>
      </c>
      <c r="G231" s="223">
        <v>1.8</v>
      </c>
      <c r="H231" s="223"/>
      <c r="I231" s="223"/>
      <c r="J231" s="223"/>
      <c r="K231" s="223"/>
      <c r="L231" s="223"/>
    </row>
    <row r="232" spans="1:12" x14ac:dyDescent="0.2">
      <c r="A232" s="218"/>
      <c r="B232" s="224" t="s">
        <v>1390</v>
      </c>
      <c r="C232" s="220">
        <v>552</v>
      </c>
      <c r="D232" s="220" t="s">
        <v>1391</v>
      </c>
      <c r="E232" s="220">
        <v>552</v>
      </c>
      <c r="F232" s="220">
        <v>57.4</v>
      </c>
      <c r="G232" s="220">
        <v>7.3</v>
      </c>
      <c r="H232" s="220"/>
      <c r="I232" s="220"/>
      <c r="J232" s="220"/>
      <c r="K232" s="220"/>
      <c r="L232" s="220"/>
    </row>
    <row r="233" spans="1:12" x14ac:dyDescent="0.2">
      <c r="A233" s="221"/>
      <c r="B233" s="222" t="s">
        <v>1392</v>
      </c>
      <c r="C233" s="223">
        <v>553.5</v>
      </c>
      <c r="D233" s="223" t="s">
        <v>1391</v>
      </c>
      <c r="E233" s="223">
        <v>553.5</v>
      </c>
      <c r="F233" s="223">
        <v>57.5</v>
      </c>
      <c r="G233" s="223">
        <v>1.4</v>
      </c>
      <c r="H233" s="223"/>
      <c r="I233" s="223"/>
      <c r="J233" s="223"/>
      <c r="K233" s="223"/>
      <c r="L233" s="223"/>
    </row>
    <row r="234" spans="1:12" x14ac:dyDescent="0.2">
      <c r="A234" s="218"/>
      <c r="B234" s="224" t="s">
        <v>1393</v>
      </c>
      <c r="C234" s="220">
        <v>554.6</v>
      </c>
      <c r="D234" s="220" t="s">
        <v>1391</v>
      </c>
      <c r="E234" s="220">
        <v>554.6</v>
      </c>
      <c r="F234" s="220">
        <v>57.5</v>
      </c>
      <c r="G234" s="220">
        <v>1.1000000000000001</v>
      </c>
      <c r="H234" s="220"/>
      <c r="I234" s="220"/>
      <c r="J234" s="220"/>
      <c r="K234" s="220"/>
      <c r="L234" s="220"/>
    </row>
    <row r="235" spans="1:12" x14ac:dyDescent="0.2">
      <c r="A235" s="221"/>
      <c r="B235" s="222" t="s">
        <v>1394</v>
      </c>
      <c r="C235" s="223">
        <v>554.6</v>
      </c>
      <c r="D235" s="223" t="s">
        <v>1391</v>
      </c>
      <c r="E235" s="223">
        <v>554.6</v>
      </c>
      <c r="F235" s="223">
        <v>57.5</v>
      </c>
      <c r="G235" s="223">
        <v>0.1</v>
      </c>
      <c r="H235" s="223"/>
      <c r="I235" s="223"/>
      <c r="J235" s="223"/>
      <c r="K235" s="223"/>
      <c r="L235" s="223"/>
    </row>
    <row r="236" spans="1:12" x14ac:dyDescent="0.2">
      <c r="A236" s="218"/>
      <c r="B236" s="224" t="s">
        <v>1395</v>
      </c>
      <c r="C236" s="220">
        <v>556.5</v>
      </c>
      <c r="D236" s="220" t="s">
        <v>1391</v>
      </c>
      <c r="E236" s="220">
        <v>556.5</v>
      </c>
      <c r="F236" s="220">
        <v>57.7</v>
      </c>
      <c r="G236" s="220">
        <v>1.9</v>
      </c>
      <c r="H236" s="220"/>
      <c r="I236" s="220"/>
      <c r="J236" s="220"/>
      <c r="K236" s="220"/>
      <c r="L236" s="220"/>
    </row>
    <row r="237" spans="1:12" x14ac:dyDescent="0.2">
      <c r="A237" s="221"/>
      <c r="B237" s="222" t="s">
        <v>1396</v>
      </c>
      <c r="C237" s="223">
        <v>561.20000000000005</v>
      </c>
      <c r="D237" s="223" t="s">
        <v>1391</v>
      </c>
      <c r="E237" s="223">
        <v>561.20000000000005</v>
      </c>
      <c r="F237" s="223">
        <v>58</v>
      </c>
      <c r="G237" s="223">
        <v>4.7</v>
      </c>
      <c r="H237" s="223"/>
      <c r="I237" s="223"/>
      <c r="J237" s="223"/>
      <c r="K237" s="223"/>
      <c r="L237" s="223"/>
    </row>
    <row r="238" spans="1:12" x14ac:dyDescent="0.2">
      <c r="A238" s="218"/>
      <c r="B238" s="224" t="s">
        <v>1397</v>
      </c>
      <c r="C238" s="220">
        <v>561.20000000000005</v>
      </c>
      <c r="D238" s="220" t="s">
        <v>1391</v>
      </c>
      <c r="E238" s="220">
        <v>561.20000000000005</v>
      </c>
      <c r="F238" s="220">
        <v>58</v>
      </c>
      <c r="G238" s="220">
        <v>0</v>
      </c>
      <c r="H238" s="220"/>
      <c r="I238" s="220"/>
      <c r="J238" s="220"/>
      <c r="K238" s="220"/>
      <c r="L238" s="220"/>
    </row>
    <row r="239" spans="1:12" x14ac:dyDescent="0.2">
      <c r="A239" s="221"/>
      <c r="B239" s="222" t="s">
        <v>97</v>
      </c>
      <c r="C239" s="223">
        <v>565.9</v>
      </c>
      <c r="D239" s="223" t="s">
        <v>1398</v>
      </c>
      <c r="E239" s="223">
        <v>565.9</v>
      </c>
      <c r="F239" s="223">
        <v>58.3</v>
      </c>
      <c r="G239" s="223">
        <v>4.7</v>
      </c>
      <c r="H239" s="223"/>
      <c r="I239" s="223"/>
      <c r="J239" s="223"/>
      <c r="K239" s="223"/>
      <c r="L239" s="223"/>
    </row>
    <row r="240" spans="1:12" x14ac:dyDescent="0.2">
      <c r="A240" s="218"/>
      <c r="B240" s="224" t="s">
        <v>1399</v>
      </c>
      <c r="C240" s="220">
        <v>567.20000000000005</v>
      </c>
      <c r="D240" s="220" t="s">
        <v>1398</v>
      </c>
      <c r="E240" s="220">
        <v>567.20000000000005</v>
      </c>
      <c r="F240" s="220">
        <v>58.4</v>
      </c>
      <c r="G240" s="220">
        <v>1.3</v>
      </c>
      <c r="H240" s="220"/>
      <c r="I240" s="220"/>
      <c r="J240" s="220"/>
      <c r="K240" s="220"/>
      <c r="L240" s="220"/>
    </row>
    <row r="241" spans="1:12" x14ac:dyDescent="0.2">
      <c r="A241" s="221"/>
      <c r="B241" s="222" t="s">
        <v>1400</v>
      </c>
      <c r="C241" s="223">
        <v>572</v>
      </c>
      <c r="D241" s="223" t="s">
        <v>1398</v>
      </c>
      <c r="E241" s="223">
        <v>572</v>
      </c>
      <c r="F241" s="223">
        <v>58.7</v>
      </c>
      <c r="G241" s="223">
        <v>4.8</v>
      </c>
      <c r="H241" s="223"/>
      <c r="I241" s="223"/>
      <c r="J241" s="223"/>
      <c r="K241" s="223"/>
      <c r="L241" s="223"/>
    </row>
    <row r="242" spans="1:12" x14ac:dyDescent="0.2">
      <c r="A242" s="218"/>
      <c r="B242" s="224" t="s">
        <v>1401</v>
      </c>
      <c r="C242" s="220">
        <v>572.1</v>
      </c>
      <c r="D242" s="220" t="s">
        <v>1398</v>
      </c>
      <c r="E242" s="220">
        <v>572</v>
      </c>
      <c r="F242" s="220">
        <v>58.7</v>
      </c>
      <c r="G242" s="220">
        <v>0</v>
      </c>
      <c r="H242" s="220"/>
      <c r="I242" s="220"/>
      <c r="J242" s="220"/>
      <c r="K242" s="220"/>
      <c r="L242" s="220"/>
    </row>
    <row r="243" spans="1:12" x14ac:dyDescent="0.2">
      <c r="A243" s="221"/>
      <c r="B243" s="222" t="s">
        <v>98</v>
      </c>
      <c r="C243" s="223">
        <v>576.5</v>
      </c>
      <c r="D243" s="223" t="s">
        <v>1402</v>
      </c>
      <c r="E243" s="223">
        <v>576.5</v>
      </c>
      <c r="F243" s="223">
        <v>59</v>
      </c>
      <c r="G243" s="223">
        <v>4.5</v>
      </c>
      <c r="H243" s="223"/>
      <c r="I243" s="223"/>
      <c r="J243" s="223"/>
      <c r="K243" s="223"/>
      <c r="L243" s="223"/>
    </row>
    <row r="244" spans="1:12" x14ac:dyDescent="0.2">
      <c r="A244" s="218"/>
      <c r="B244" s="224" t="s">
        <v>1403</v>
      </c>
      <c r="C244" s="220">
        <v>580.9</v>
      </c>
      <c r="D244" s="220" t="s">
        <v>1402</v>
      </c>
      <c r="E244" s="220">
        <v>580.9</v>
      </c>
      <c r="F244" s="220">
        <v>59.3</v>
      </c>
      <c r="G244" s="220">
        <v>4.3</v>
      </c>
      <c r="H244" s="220"/>
      <c r="I244" s="220"/>
      <c r="J244" s="220"/>
      <c r="K244" s="220"/>
      <c r="L244" s="220"/>
    </row>
    <row r="245" spans="1:12" x14ac:dyDescent="0.2">
      <c r="A245" s="221"/>
      <c r="B245" s="222" t="s">
        <v>1404</v>
      </c>
      <c r="C245" s="223">
        <v>580.9</v>
      </c>
      <c r="D245" s="223" t="s">
        <v>1402</v>
      </c>
      <c r="E245" s="223">
        <v>580.9</v>
      </c>
      <c r="F245" s="223">
        <v>59.3</v>
      </c>
      <c r="G245" s="223">
        <v>0</v>
      </c>
      <c r="H245" s="223"/>
      <c r="I245" s="223"/>
      <c r="J245" s="223"/>
      <c r="K245" s="223"/>
      <c r="L245" s="223"/>
    </row>
    <row r="246" spans="1:12" x14ac:dyDescent="0.2">
      <c r="A246" s="218"/>
      <c r="B246" s="224" t="s">
        <v>1405</v>
      </c>
      <c r="C246" s="220">
        <v>587.9</v>
      </c>
      <c r="D246" s="220" t="s">
        <v>1402</v>
      </c>
      <c r="E246" s="220">
        <v>587.9</v>
      </c>
      <c r="F246" s="220">
        <v>59.8</v>
      </c>
      <c r="G246" s="220">
        <v>7</v>
      </c>
      <c r="H246" s="220"/>
      <c r="I246" s="220"/>
      <c r="J246" s="220"/>
      <c r="K246" s="220"/>
      <c r="L246" s="220"/>
    </row>
    <row r="247" spans="1:12" ht="22.5" x14ac:dyDescent="0.2">
      <c r="A247" s="221"/>
      <c r="B247" s="222" t="s">
        <v>1406</v>
      </c>
      <c r="C247" s="223">
        <v>587.9</v>
      </c>
      <c r="D247" s="223" t="s">
        <v>1402</v>
      </c>
      <c r="E247" s="223">
        <v>587.9</v>
      </c>
      <c r="F247" s="223">
        <v>59.8</v>
      </c>
      <c r="G247" s="223">
        <v>0</v>
      </c>
      <c r="H247" s="223"/>
      <c r="I247" s="223"/>
      <c r="J247" s="223"/>
      <c r="K247" s="223"/>
      <c r="L247" s="223"/>
    </row>
    <row r="248" spans="1:12" x14ac:dyDescent="0.2">
      <c r="A248" s="218"/>
      <c r="B248" s="224" t="s">
        <v>1407</v>
      </c>
      <c r="C248" s="220">
        <v>588.1</v>
      </c>
      <c r="D248" s="220" t="s">
        <v>1402</v>
      </c>
      <c r="E248" s="220">
        <v>588.1</v>
      </c>
      <c r="F248" s="220">
        <v>59.8</v>
      </c>
      <c r="G248" s="220">
        <v>0.2</v>
      </c>
      <c r="H248" s="220"/>
      <c r="I248" s="220"/>
      <c r="J248" s="220"/>
      <c r="K248" s="220"/>
      <c r="L248" s="220"/>
    </row>
    <row r="249" spans="1:12" x14ac:dyDescent="0.2">
      <c r="A249" s="221"/>
      <c r="B249" s="222" t="s">
        <v>1408</v>
      </c>
      <c r="C249" s="223">
        <v>588.20000000000005</v>
      </c>
      <c r="D249" s="223" t="s">
        <v>1402</v>
      </c>
      <c r="E249" s="223">
        <v>588.20000000000005</v>
      </c>
      <c r="F249" s="223">
        <v>59.8</v>
      </c>
      <c r="G249" s="223">
        <v>0.1</v>
      </c>
      <c r="H249" s="223"/>
      <c r="I249" s="223"/>
      <c r="J249" s="223"/>
      <c r="K249" s="223"/>
      <c r="L249" s="223"/>
    </row>
    <row r="250" spans="1:12" x14ac:dyDescent="0.2">
      <c r="A250" s="218"/>
      <c r="B250" s="224" t="s">
        <v>1409</v>
      </c>
      <c r="C250" s="220">
        <v>588.4</v>
      </c>
      <c r="D250" s="220" t="s">
        <v>1402</v>
      </c>
      <c r="E250" s="220">
        <v>588.29999999999995</v>
      </c>
      <c r="F250" s="220">
        <v>59.8</v>
      </c>
      <c r="G250" s="220">
        <v>0.2</v>
      </c>
      <c r="H250" s="220"/>
      <c r="I250" s="220"/>
      <c r="J250" s="220"/>
      <c r="K250" s="220"/>
      <c r="L250" s="220"/>
    </row>
    <row r="251" spans="1:12" x14ac:dyDescent="0.2">
      <c r="A251" s="221"/>
      <c r="B251" s="222" t="s">
        <v>1410</v>
      </c>
      <c r="C251" s="223">
        <v>588.79999999999995</v>
      </c>
      <c r="D251" s="223" t="s">
        <v>1402</v>
      </c>
      <c r="E251" s="223">
        <v>588.79999999999995</v>
      </c>
      <c r="F251" s="223">
        <v>59.9</v>
      </c>
      <c r="G251" s="223">
        <v>0.4</v>
      </c>
      <c r="H251" s="223"/>
      <c r="I251" s="223"/>
      <c r="J251" s="223"/>
      <c r="K251" s="223"/>
      <c r="L251" s="223"/>
    </row>
    <row r="252" spans="1:12" x14ac:dyDescent="0.2">
      <c r="A252" s="218"/>
      <c r="B252" s="224" t="s">
        <v>1411</v>
      </c>
      <c r="C252" s="220">
        <v>590.20000000000005</v>
      </c>
      <c r="D252" s="220" t="s">
        <v>1402</v>
      </c>
      <c r="E252" s="220">
        <v>590.20000000000005</v>
      </c>
      <c r="F252" s="220">
        <v>60</v>
      </c>
      <c r="G252" s="220">
        <v>1.4</v>
      </c>
      <c r="H252" s="220"/>
      <c r="I252" s="220"/>
      <c r="J252" s="220"/>
      <c r="K252" s="220"/>
      <c r="L252" s="220"/>
    </row>
    <row r="253" spans="1:12" x14ac:dyDescent="0.2">
      <c r="A253" s="221"/>
      <c r="B253" s="222" t="s">
        <v>1412</v>
      </c>
      <c r="C253" s="223">
        <v>596.9</v>
      </c>
      <c r="D253" s="223" t="s">
        <v>1413</v>
      </c>
      <c r="E253" s="223">
        <v>596.79999999999995</v>
      </c>
      <c r="F253" s="223">
        <v>60.4</v>
      </c>
      <c r="G253" s="223">
        <v>6.7</v>
      </c>
      <c r="H253" s="223"/>
      <c r="I253" s="223"/>
      <c r="J253" s="223"/>
      <c r="K253" s="223"/>
      <c r="L253" s="223"/>
    </row>
    <row r="254" spans="1:12" x14ac:dyDescent="0.2">
      <c r="A254" s="218"/>
      <c r="B254" s="224" t="s">
        <v>1414</v>
      </c>
      <c r="C254" s="220">
        <v>596.9</v>
      </c>
      <c r="D254" s="220" t="s">
        <v>1413</v>
      </c>
      <c r="E254" s="220">
        <v>596.9</v>
      </c>
      <c r="F254" s="220">
        <v>60.4</v>
      </c>
      <c r="G254" s="220">
        <v>0</v>
      </c>
      <c r="H254" s="220"/>
      <c r="I254" s="220"/>
      <c r="J254" s="220"/>
      <c r="K254" s="220"/>
      <c r="L254" s="220"/>
    </row>
    <row r="255" spans="1:12" x14ac:dyDescent="0.2">
      <c r="A255" s="221"/>
      <c r="B255" s="222" t="s">
        <v>100</v>
      </c>
      <c r="C255" s="223">
        <v>600</v>
      </c>
      <c r="D255" s="223" t="s">
        <v>1413</v>
      </c>
      <c r="E255" s="223">
        <v>600</v>
      </c>
      <c r="F255" s="223">
        <v>60.6</v>
      </c>
      <c r="G255" s="223">
        <v>3.1</v>
      </c>
      <c r="H255" s="223"/>
      <c r="I255" s="223"/>
      <c r="J255" s="223"/>
      <c r="K255" s="223"/>
      <c r="L255" s="223"/>
    </row>
    <row r="256" spans="1:12" x14ac:dyDescent="0.2">
      <c r="A256" s="218"/>
      <c r="B256" s="224" t="s">
        <v>1415</v>
      </c>
      <c r="C256" s="220">
        <v>601.29999999999995</v>
      </c>
      <c r="D256" s="220" t="s">
        <v>1413</v>
      </c>
      <c r="E256" s="220">
        <v>601.29999999999995</v>
      </c>
      <c r="F256" s="220">
        <v>60.7</v>
      </c>
      <c r="G256" s="220">
        <v>1.3</v>
      </c>
      <c r="H256" s="220"/>
      <c r="I256" s="220"/>
      <c r="J256" s="220"/>
      <c r="K256" s="220"/>
      <c r="L256" s="220"/>
    </row>
    <row r="257" spans="1:12" x14ac:dyDescent="0.2">
      <c r="A257" s="221"/>
      <c r="B257" s="222" t="s">
        <v>1416</v>
      </c>
      <c r="C257" s="223">
        <v>606.5</v>
      </c>
      <c r="D257" s="223" t="s">
        <v>1417</v>
      </c>
      <c r="E257" s="223">
        <v>606.5</v>
      </c>
      <c r="F257" s="223">
        <v>61.1</v>
      </c>
      <c r="G257" s="223">
        <v>5.2</v>
      </c>
      <c r="H257" s="223"/>
      <c r="I257" s="223"/>
      <c r="J257" s="223"/>
      <c r="K257" s="223"/>
      <c r="L257" s="223"/>
    </row>
    <row r="258" spans="1:12" x14ac:dyDescent="0.2">
      <c r="A258" s="218"/>
      <c r="B258" s="224" t="s">
        <v>1418</v>
      </c>
      <c r="C258" s="220">
        <v>606.5</v>
      </c>
      <c r="D258" s="220" t="s">
        <v>1417</v>
      </c>
      <c r="E258" s="220">
        <v>606.5</v>
      </c>
      <c r="F258" s="220">
        <v>61.1</v>
      </c>
      <c r="G258" s="220">
        <v>0</v>
      </c>
      <c r="H258" s="220"/>
      <c r="I258" s="220"/>
      <c r="J258" s="220"/>
      <c r="K258" s="220"/>
      <c r="L258" s="220"/>
    </row>
    <row r="259" spans="1:12" x14ac:dyDescent="0.2">
      <c r="A259" s="221"/>
      <c r="B259" s="222" t="s">
        <v>101</v>
      </c>
      <c r="C259" s="223">
        <v>614.70000000000005</v>
      </c>
      <c r="D259" s="223" t="s">
        <v>1417</v>
      </c>
      <c r="E259" s="223">
        <v>614.70000000000005</v>
      </c>
      <c r="F259" s="223">
        <v>61.6</v>
      </c>
      <c r="G259" s="223">
        <v>8.1999999999999993</v>
      </c>
      <c r="H259" s="223"/>
      <c r="I259" s="223"/>
      <c r="J259" s="223"/>
      <c r="K259" s="223"/>
      <c r="L259" s="223"/>
    </row>
    <row r="260" spans="1:12" x14ac:dyDescent="0.2">
      <c r="A260" s="218"/>
      <c r="B260" s="224" t="s">
        <v>1419</v>
      </c>
      <c r="C260" s="220">
        <v>621.9</v>
      </c>
      <c r="D260" s="220" t="s">
        <v>1420</v>
      </c>
      <c r="E260" s="220">
        <v>621.9</v>
      </c>
      <c r="F260" s="220">
        <v>62.1</v>
      </c>
      <c r="G260" s="220">
        <v>7.2</v>
      </c>
      <c r="H260" s="220"/>
      <c r="I260" s="220"/>
      <c r="J260" s="220"/>
      <c r="K260" s="220"/>
      <c r="L260" s="220"/>
    </row>
    <row r="261" spans="1:12" x14ac:dyDescent="0.2">
      <c r="A261" s="221"/>
      <c r="B261" s="222" t="s">
        <v>1421</v>
      </c>
      <c r="C261" s="223">
        <v>624.1</v>
      </c>
      <c r="D261" s="223" t="s">
        <v>1420</v>
      </c>
      <c r="E261" s="223">
        <v>624</v>
      </c>
      <c r="F261" s="223">
        <v>62.3</v>
      </c>
      <c r="G261" s="223">
        <v>2.2000000000000002</v>
      </c>
      <c r="H261" s="223"/>
      <c r="I261" s="223"/>
      <c r="J261" s="223"/>
      <c r="K261" s="223"/>
      <c r="L261" s="223"/>
    </row>
    <row r="262" spans="1:12" x14ac:dyDescent="0.2">
      <c r="A262" s="218"/>
      <c r="B262" s="224" t="s">
        <v>1422</v>
      </c>
      <c r="C262" s="220">
        <v>632.6</v>
      </c>
      <c r="D262" s="220" t="s">
        <v>1420</v>
      </c>
      <c r="E262" s="220">
        <v>632.6</v>
      </c>
      <c r="F262" s="220">
        <v>62.8</v>
      </c>
      <c r="G262" s="220">
        <v>8.6</v>
      </c>
      <c r="H262" s="220"/>
      <c r="I262" s="220"/>
      <c r="J262" s="220"/>
      <c r="K262" s="220"/>
      <c r="L262" s="220"/>
    </row>
    <row r="263" spans="1:12" ht="41.25" customHeight="1" x14ac:dyDescent="0.2">
      <c r="A263" s="228"/>
      <c r="B263" s="229" t="s">
        <v>1423</v>
      </c>
      <c r="C263" s="230">
        <v>633.1</v>
      </c>
      <c r="D263" s="223" t="s">
        <v>1420</v>
      </c>
      <c r="E263" s="230">
        <v>633.1</v>
      </c>
      <c r="F263" s="230">
        <v>62.9</v>
      </c>
      <c r="G263" s="230">
        <v>0.5</v>
      </c>
      <c r="H263" s="230">
        <v>91.3</v>
      </c>
      <c r="I263" s="230">
        <v>6.2</v>
      </c>
      <c r="J263" s="230">
        <v>14.7</v>
      </c>
      <c r="K263" s="230">
        <v>4.3</v>
      </c>
      <c r="L263" s="230"/>
    </row>
    <row r="264" spans="1:12" x14ac:dyDescent="0.2">
      <c r="A264" s="228"/>
      <c r="B264" s="229"/>
      <c r="C264" s="230"/>
      <c r="D264" s="223" t="s">
        <v>1424</v>
      </c>
      <c r="E264" s="230"/>
      <c r="F264" s="230"/>
      <c r="G264" s="230"/>
      <c r="H264" s="230"/>
      <c r="I264" s="230"/>
      <c r="J264" s="230"/>
      <c r="K264" s="230"/>
      <c r="L264" s="230"/>
    </row>
    <row r="265" spans="1:12" x14ac:dyDescent="0.2">
      <c r="A265" s="218"/>
      <c r="B265" s="224" t="s">
        <v>1425</v>
      </c>
      <c r="C265" s="220">
        <v>634</v>
      </c>
      <c r="D265" s="220" t="s">
        <v>1424</v>
      </c>
      <c r="E265" s="220">
        <v>634</v>
      </c>
      <c r="F265" s="220">
        <v>63.4</v>
      </c>
      <c r="G265" s="220">
        <v>0.9</v>
      </c>
      <c r="H265" s="220"/>
      <c r="I265" s="220"/>
      <c r="J265" s="220"/>
      <c r="K265" s="220"/>
      <c r="L265" s="220"/>
    </row>
    <row r="266" spans="1:12" x14ac:dyDescent="0.2">
      <c r="A266" s="221"/>
      <c r="B266" s="222" t="s">
        <v>1425</v>
      </c>
      <c r="C266" s="223">
        <v>634</v>
      </c>
      <c r="D266" s="223" t="s">
        <v>1424</v>
      </c>
      <c r="E266" s="223">
        <v>634</v>
      </c>
      <c r="F266" s="223">
        <v>63.4</v>
      </c>
      <c r="G266" s="223">
        <v>0</v>
      </c>
      <c r="H266" s="223"/>
      <c r="I266" s="223"/>
      <c r="J266" s="223"/>
      <c r="K266" s="223"/>
      <c r="L266" s="223"/>
    </row>
    <row r="267" spans="1:12" x14ac:dyDescent="0.2">
      <c r="A267" s="218"/>
      <c r="B267" s="224" t="s">
        <v>1426</v>
      </c>
      <c r="C267" s="220">
        <v>635.29999999999995</v>
      </c>
      <c r="D267" s="220" t="s">
        <v>1424</v>
      </c>
      <c r="E267" s="220">
        <v>635.29999999999995</v>
      </c>
      <c r="F267" s="220">
        <v>63.5</v>
      </c>
      <c r="G267" s="220">
        <v>1.3</v>
      </c>
      <c r="H267" s="220"/>
      <c r="I267" s="220"/>
      <c r="J267" s="220"/>
      <c r="K267" s="220"/>
      <c r="L267" s="220"/>
    </row>
    <row r="268" spans="1:12" x14ac:dyDescent="0.2">
      <c r="A268" s="221"/>
      <c r="B268" s="222" t="s">
        <v>1427</v>
      </c>
      <c r="C268" s="223">
        <v>635.29999999999995</v>
      </c>
      <c r="D268" s="223" t="s">
        <v>1424</v>
      </c>
      <c r="E268" s="223">
        <v>635.29999999999995</v>
      </c>
      <c r="F268" s="223">
        <v>63.5</v>
      </c>
      <c r="G268" s="223">
        <v>0</v>
      </c>
      <c r="H268" s="223"/>
      <c r="I268" s="223"/>
      <c r="J268" s="223"/>
      <c r="K268" s="223"/>
      <c r="L268" s="223"/>
    </row>
    <row r="269" spans="1:12" x14ac:dyDescent="0.2">
      <c r="A269" s="218"/>
      <c r="B269" s="224" t="s">
        <v>102</v>
      </c>
      <c r="C269" s="220">
        <v>639.9</v>
      </c>
      <c r="D269" s="220" t="s">
        <v>1424</v>
      </c>
      <c r="E269" s="220">
        <v>639.9</v>
      </c>
      <c r="F269" s="220">
        <v>63.8</v>
      </c>
      <c r="G269" s="220">
        <v>4.5999999999999996</v>
      </c>
      <c r="H269" s="220"/>
      <c r="I269" s="220"/>
      <c r="J269" s="220"/>
      <c r="K269" s="220"/>
      <c r="L269" s="220"/>
    </row>
    <row r="270" spans="1:12" x14ac:dyDescent="0.2">
      <c r="A270" s="221"/>
      <c r="B270" s="222" t="s">
        <v>1428</v>
      </c>
      <c r="C270" s="223">
        <v>652.29999999999995</v>
      </c>
      <c r="D270" s="223" t="s">
        <v>1429</v>
      </c>
      <c r="E270" s="223">
        <v>652.29999999999995</v>
      </c>
      <c r="F270" s="223">
        <v>64.7</v>
      </c>
      <c r="G270" s="223">
        <v>12.4</v>
      </c>
      <c r="H270" s="223"/>
      <c r="I270" s="223"/>
      <c r="J270" s="223"/>
      <c r="K270" s="223"/>
      <c r="L270" s="223"/>
    </row>
    <row r="271" spans="1:12" x14ac:dyDescent="0.2">
      <c r="A271" s="218"/>
      <c r="B271" s="224" t="s">
        <v>1430</v>
      </c>
      <c r="C271" s="220">
        <v>652.6</v>
      </c>
      <c r="D271" s="220" t="s">
        <v>1429</v>
      </c>
      <c r="E271" s="220">
        <v>652.6</v>
      </c>
      <c r="F271" s="220">
        <v>64.7</v>
      </c>
      <c r="G271" s="220">
        <v>0.3</v>
      </c>
      <c r="H271" s="220"/>
      <c r="I271" s="220"/>
      <c r="J271" s="220"/>
      <c r="K271" s="220"/>
      <c r="L271" s="220"/>
    </row>
    <row r="272" spans="1:12" x14ac:dyDescent="0.2">
      <c r="A272" s="221"/>
      <c r="B272" s="222" t="s">
        <v>1431</v>
      </c>
      <c r="C272" s="223">
        <v>654.79999999999995</v>
      </c>
      <c r="D272" s="223" t="s">
        <v>1429</v>
      </c>
      <c r="E272" s="223">
        <v>654.79999999999995</v>
      </c>
      <c r="F272" s="223">
        <v>64.900000000000006</v>
      </c>
      <c r="G272" s="223">
        <v>2.2000000000000002</v>
      </c>
      <c r="H272" s="223"/>
      <c r="I272" s="223"/>
      <c r="J272" s="223"/>
      <c r="K272" s="223"/>
      <c r="L272" s="223"/>
    </row>
    <row r="273" spans="1:12" x14ac:dyDescent="0.2">
      <c r="A273" s="218"/>
      <c r="B273" s="224" t="s">
        <v>1430</v>
      </c>
      <c r="C273" s="220">
        <v>654.79999999999995</v>
      </c>
      <c r="D273" s="220" t="s">
        <v>1429</v>
      </c>
      <c r="E273" s="220">
        <v>654.79999999999995</v>
      </c>
      <c r="F273" s="220">
        <v>64.900000000000006</v>
      </c>
      <c r="G273" s="220">
        <v>0</v>
      </c>
      <c r="H273" s="220"/>
      <c r="I273" s="220"/>
      <c r="J273" s="220"/>
      <c r="K273" s="220"/>
      <c r="L273" s="220"/>
    </row>
    <row r="274" spans="1:12" x14ac:dyDescent="0.2">
      <c r="A274" s="221"/>
      <c r="B274" s="222" t="s">
        <v>103</v>
      </c>
      <c r="C274" s="223">
        <v>656.4</v>
      </c>
      <c r="D274" s="223" t="s">
        <v>1429</v>
      </c>
      <c r="E274" s="223">
        <v>656.4</v>
      </c>
      <c r="F274" s="223">
        <v>65</v>
      </c>
      <c r="G274" s="223">
        <v>1.6</v>
      </c>
      <c r="H274" s="223"/>
      <c r="I274" s="223"/>
      <c r="J274" s="223"/>
      <c r="K274" s="223"/>
      <c r="L274" s="223"/>
    </row>
    <row r="275" spans="1:12" x14ac:dyDescent="0.2">
      <c r="A275" s="218"/>
      <c r="B275" s="224" t="s">
        <v>1432</v>
      </c>
      <c r="C275" s="220">
        <v>660.1</v>
      </c>
      <c r="D275" s="220" t="s">
        <v>1433</v>
      </c>
      <c r="E275" s="220">
        <v>660.1</v>
      </c>
      <c r="F275" s="220">
        <v>65.2</v>
      </c>
      <c r="G275" s="220">
        <v>3.7</v>
      </c>
      <c r="H275" s="220"/>
      <c r="I275" s="220"/>
      <c r="J275" s="220"/>
      <c r="K275" s="220"/>
      <c r="L275" s="220"/>
    </row>
    <row r="276" spans="1:12" x14ac:dyDescent="0.2">
      <c r="A276" s="221"/>
      <c r="B276" s="222" t="s">
        <v>1434</v>
      </c>
      <c r="C276" s="223">
        <v>660.1</v>
      </c>
      <c r="D276" s="223" t="s">
        <v>1433</v>
      </c>
      <c r="E276" s="223">
        <v>660.1</v>
      </c>
      <c r="F276" s="223">
        <v>65.2</v>
      </c>
      <c r="G276" s="223">
        <v>0</v>
      </c>
      <c r="H276" s="223"/>
      <c r="I276" s="223"/>
      <c r="J276" s="223"/>
      <c r="K276" s="223"/>
      <c r="L276" s="223"/>
    </row>
    <row r="277" spans="1:12" x14ac:dyDescent="0.2">
      <c r="A277" s="218"/>
      <c r="B277" s="224" t="s">
        <v>104</v>
      </c>
      <c r="C277" s="220">
        <v>665.3</v>
      </c>
      <c r="D277" s="220" t="s">
        <v>1433</v>
      </c>
      <c r="E277" s="220">
        <v>665.3</v>
      </c>
      <c r="F277" s="220">
        <v>65.599999999999994</v>
      </c>
      <c r="G277" s="220">
        <v>5.2</v>
      </c>
      <c r="H277" s="220"/>
      <c r="I277" s="220"/>
      <c r="J277" s="220"/>
      <c r="K277" s="220"/>
      <c r="L277" s="220"/>
    </row>
    <row r="278" spans="1:12" x14ac:dyDescent="0.2">
      <c r="A278" s="221"/>
      <c r="B278" s="222" t="s">
        <v>1435</v>
      </c>
      <c r="C278" s="223">
        <v>666.2</v>
      </c>
      <c r="D278" s="223" t="s">
        <v>1433</v>
      </c>
      <c r="E278" s="223">
        <v>666.2</v>
      </c>
      <c r="F278" s="223">
        <v>65.599999999999994</v>
      </c>
      <c r="G278" s="223">
        <v>0.9</v>
      </c>
      <c r="H278" s="223"/>
      <c r="I278" s="223"/>
      <c r="J278" s="223"/>
      <c r="K278" s="223"/>
      <c r="L278" s="223"/>
    </row>
    <row r="279" spans="1:12" x14ac:dyDescent="0.2">
      <c r="A279" s="218"/>
      <c r="B279" s="224" t="s">
        <v>1436</v>
      </c>
      <c r="C279" s="220">
        <v>666.2</v>
      </c>
      <c r="D279" s="220" t="s">
        <v>1433</v>
      </c>
      <c r="E279" s="220">
        <v>666.2</v>
      </c>
      <c r="F279" s="220">
        <v>65.599999999999994</v>
      </c>
      <c r="G279" s="220">
        <v>0</v>
      </c>
      <c r="H279" s="220"/>
      <c r="I279" s="220"/>
      <c r="J279" s="220"/>
      <c r="K279" s="220"/>
      <c r="L279" s="220"/>
    </row>
    <row r="280" spans="1:12" x14ac:dyDescent="0.2">
      <c r="A280" s="221"/>
      <c r="B280" s="222" t="s">
        <v>1437</v>
      </c>
      <c r="C280" s="223">
        <v>668.5</v>
      </c>
      <c r="D280" s="223" t="s">
        <v>1433</v>
      </c>
      <c r="E280" s="223">
        <v>668.5</v>
      </c>
      <c r="F280" s="223">
        <v>65.8</v>
      </c>
      <c r="G280" s="223">
        <v>2.2999999999999998</v>
      </c>
      <c r="H280" s="223"/>
      <c r="I280" s="223"/>
      <c r="J280" s="223"/>
      <c r="K280" s="223"/>
      <c r="L280" s="223"/>
    </row>
    <row r="281" spans="1:12" x14ac:dyDescent="0.2">
      <c r="A281" s="218"/>
      <c r="B281" s="224" t="s">
        <v>105</v>
      </c>
      <c r="C281" s="220">
        <v>671.8</v>
      </c>
      <c r="D281" s="220" t="s">
        <v>1438</v>
      </c>
      <c r="E281" s="220">
        <v>671.8</v>
      </c>
      <c r="F281" s="220">
        <v>66</v>
      </c>
      <c r="G281" s="220">
        <v>3.3</v>
      </c>
      <c r="H281" s="220"/>
      <c r="I281" s="220"/>
      <c r="J281" s="220"/>
      <c r="K281" s="220"/>
      <c r="L281" s="220"/>
    </row>
    <row r="282" spans="1:12" x14ac:dyDescent="0.2">
      <c r="A282" s="221"/>
      <c r="B282" s="222" t="s">
        <v>1393</v>
      </c>
      <c r="C282" s="223">
        <v>674.4</v>
      </c>
      <c r="D282" s="223" t="s">
        <v>1438</v>
      </c>
      <c r="E282" s="223">
        <v>674.4</v>
      </c>
      <c r="F282" s="223">
        <v>66.2</v>
      </c>
      <c r="G282" s="223">
        <v>2.6</v>
      </c>
      <c r="H282" s="223"/>
      <c r="I282" s="223"/>
      <c r="J282" s="223"/>
      <c r="K282" s="223"/>
      <c r="L282" s="223"/>
    </row>
    <row r="283" spans="1:12" x14ac:dyDescent="0.2">
      <c r="A283" s="218"/>
      <c r="B283" s="224" t="s">
        <v>1439</v>
      </c>
      <c r="C283" s="220">
        <v>675.3</v>
      </c>
      <c r="D283" s="220" t="s">
        <v>1438</v>
      </c>
      <c r="E283" s="220">
        <v>675.3</v>
      </c>
      <c r="F283" s="220">
        <v>66.3</v>
      </c>
      <c r="G283" s="220">
        <v>0.8</v>
      </c>
      <c r="H283" s="220"/>
      <c r="I283" s="220"/>
      <c r="J283" s="220"/>
      <c r="K283" s="220"/>
      <c r="L283" s="220"/>
    </row>
    <row r="284" spans="1:12" x14ac:dyDescent="0.2">
      <c r="A284" s="221"/>
      <c r="B284" s="222" t="s">
        <v>106</v>
      </c>
      <c r="C284" s="223">
        <v>678.5</v>
      </c>
      <c r="D284" s="223" t="s">
        <v>1438</v>
      </c>
      <c r="E284" s="223">
        <v>678.5</v>
      </c>
      <c r="F284" s="223">
        <v>66.5</v>
      </c>
      <c r="G284" s="223">
        <v>3.3</v>
      </c>
      <c r="H284" s="223"/>
      <c r="I284" s="223"/>
      <c r="J284" s="223"/>
      <c r="K284" s="223"/>
      <c r="L284" s="223"/>
    </row>
    <row r="285" spans="1:12" x14ac:dyDescent="0.2">
      <c r="A285" s="218"/>
      <c r="B285" s="224" t="s">
        <v>107</v>
      </c>
      <c r="C285" s="220">
        <v>684.2</v>
      </c>
      <c r="D285" s="220" t="s">
        <v>1438</v>
      </c>
      <c r="E285" s="220">
        <v>684.2</v>
      </c>
      <c r="F285" s="220">
        <v>66.900000000000006</v>
      </c>
      <c r="G285" s="220">
        <v>5.7</v>
      </c>
      <c r="H285" s="220"/>
      <c r="I285" s="220"/>
      <c r="J285" s="220"/>
      <c r="K285" s="220"/>
      <c r="L285" s="220"/>
    </row>
    <row r="286" spans="1:12" x14ac:dyDescent="0.2">
      <c r="A286" s="221"/>
      <c r="B286" s="222" t="s">
        <v>1440</v>
      </c>
      <c r="C286" s="223">
        <v>685.7</v>
      </c>
      <c r="D286" s="223" t="s">
        <v>1438</v>
      </c>
      <c r="E286" s="223">
        <v>685.7</v>
      </c>
      <c r="F286" s="223">
        <v>67</v>
      </c>
      <c r="G286" s="223">
        <v>1.5</v>
      </c>
      <c r="H286" s="223"/>
      <c r="I286" s="223"/>
      <c r="J286" s="223"/>
      <c r="K286" s="223"/>
      <c r="L286" s="223"/>
    </row>
    <row r="287" spans="1:12" x14ac:dyDescent="0.2">
      <c r="A287" s="218"/>
      <c r="B287" s="224" t="s">
        <v>1441</v>
      </c>
      <c r="C287" s="220">
        <v>685.8</v>
      </c>
      <c r="D287" s="220" t="s">
        <v>1438</v>
      </c>
      <c r="E287" s="220">
        <v>685.8</v>
      </c>
      <c r="F287" s="220">
        <v>67</v>
      </c>
      <c r="G287" s="220">
        <v>0</v>
      </c>
      <c r="H287" s="220"/>
      <c r="I287" s="220"/>
      <c r="J287" s="220"/>
      <c r="K287" s="220"/>
      <c r="L287" s="220"/>
    </row>
    <row r="288" spans="1:12" x14ac:dyDescent="0.2">
      <c r="A288" s="221"/>
      <c r="B288" s="222" t="s">
        <v>1442</v>
      </c>
      <c r="C288" s="223">
        <v>693.6</v>
      </c>
      <c r="D288" s="223" t="s">
        <v>1443</v>
      </c>
      <c r="E288" s="223">
        <v>693.6</v>
      </c>
      <c r="F288" s="223">
        <v>67.5</v>
      </c>
      <c r="G288" s="223">
        <v>7.9</v>
      </c>
      <c r="H288" s="223"/>
      <c r="I288" s="223"/>
      <c r="J288" s="223"/>
      <c r="K288" s="223"/>
      <c r="L288" s="223"/>
    </row>
    <row r="289" spans="1:12" x14ac:dyDescent="0.2">
      <c r="A289" s="218"/>
      <c r="B289" s="224" t="s">
        <v>1444</v>
      </c>
      <c r="C289" s="220">
        <v>693.6</v>
      </c>
      <c r="D289" s="220" t="s">
        <v>1443</v>
      </c>
      <c r="E289" s="220">
        <v>693.6</v>
      </c>
      <c r="F289" s="220">
        <v>67.5</v>
      </c>
      <c r="G289" s="220">
        <v>0</v>
      </c>
      <c r="H289" s="220"/>
      <c r="I289" s="220"/>
      <c r="J289" s="220"/>
      <c r="K289" s="220"/>
      <c r="L289" s="220"/>
    </row>
    <row r="290" spans="1:12" x14ac:dyDescent="0.2">
      <c r="A290" s="221"/>
      <c r="B290" s="222" t="s">
        <v>1445</v>
      </c>
      <c r="C290" s="223">
        <v>694.9</v>
      </c>
      <c r="D290" s="223" t="s">
        <v>1443</v>
      </c>
      <c r="E290" s="223">
        <v>694.9</v>
      </c>
      <c r="F290" s="223">
        <v>67.599999999999994</v>
      </c>
      <c r="G290" s="223">
        <v>1.3</v>
      </c>
      <c r="H290" s="223"/>
      <c r="I290" s="223"/>
      <c r="J290" s="223"/>
      <c r="K290" s="223"/>
      <c r="L290" s="223"/>
    </row>
    <row r="291" spans="1:12" x14ac:dyDescent="0.2">
      <c r="A291" s="218"/>
      <c r="B291" s="224" t="s">
        <v>1446</v>
      </c>
      <c r="C291" s="220">
        <v>701</v>
      </c>
      <c r="D291" s="220" t="s">
        <v>1447</v>
      </c>
      <c r="E291" s="220">
        <v>701</v>
      </c>
      <c r="F291" s="220">
        <v>68</v>
      </c>
      <c r="G291" s="220">
        <v>6.1</v>
      </c>
      <c r="H291" s="220"/>
      <c r="I291" s="220"/>
      <c r="J291" s="220"/>
      <c r="K291" s="220"/>
      <c r="L291" s="220"/>
    </row>
    <row r="292" spans="1:12" x14ac:dyDescent="0.2">
      <c r="A292" s="221"/>
      <c r="B292" s="222" t="s">
        <v>1448</v>
      </c>
      <c r="C292" s="223">
        <v>701.5</v>
      </c>
      <c r="D292" s="223" t="s">
        <v>1447</v>
      </c>
      <c r="E292" s="223">
        <v>701.5</v>
      </c>
      <c r="F292" s="223">
        <v>68</v>
      </c>
      <c r="G292" s="223">
        <v>0.5</v>
      </c>
      <c r="H292" s="223"/>
      <c r="I292" s="223"/>
      <c r="J292" s="223"/>
      <c r="K292" s="223"/>
      <c r="L292" s="223"/>
    </row>
    <row r="293" spans="1:12" x14ac:dyDescent="0.2">
      <c r="A293" s="218"/>
      <c r="B293" s="224" t="s">
        <v>1449</v>
      </c>
      <c r="C293" s="220">
        <v>703.1</v>
      </c>
      <c r="D293" s="220" t="s">
        <v>1447</v>
      </c>
      <c r="E293" s="220">
        <v>703.1</v>
      </c>
      <c r="F293" s="220">
        <v>68.099999999999994</v>
      </c>
      <c r="G293" s="220">
        <v>1.6</v>
      </c>
      <c r="H293" s="220"/>
      <c r="I293" s="220"/>
      <c r="J293" s="220"/>
      <c r="K293" s="220"/>
      <c r="L293" s="220"/>
    </row>
    <row r="294" spans="1:12" x14ac:dyDescent="0.2">
      <c r="A294" s="221"/>
      <c r="B294" s="222" t="s">
        <v>1450</v>
      </c>
      <c r="C294" s="223">
        <v>703.2</v>
      </c>
      <c r="D294" s="223" t="s">
        <v>1447</v>
      </c>
      <c r="E294" s="223">
        <v>703.2</v>
      </c>
      <c r="F294" s="223">
        <v>68.2</v>
      </c>
      <c r="G294" s="223">
        <v>0.1</v>
      </c>
      <c r="H294" s="223"/>
      <c r="I294" s="223"/>
      <c r="J294" s="223"/>
      <c r="K294" s="223"/>
      <c r="L294" s="223"/>
    </row>
    <row r="295" spans="1:12" x14ac:dyDescent="0.2">
      <c r="A295" s="218"/>
      <c r="B295" s="224" t="s">
        <v>1446</v>
      </c>
      <c r="C295" s="220">
        <v>707.3</v>
      </c>
      <c r="D295" s="220" t="s">
        <v>1447</v>
      </c>
      <c r="E295" s="220">
        <v>707.3</v>
      </c>
      <c r="F295" s="220">
        <v>68.400000000000006</v>
      </c>
      <c r="G295" s="220">
        <v>4.0999999999999996</v>
      </c>
      <c r="H295" s="220"/>
      <c r="I295" s="220"/>
      <c r="J295" s="220"/>
      <c r="K295" s="220"/>
      <c r="L295" s="220"/>
    </row>
    <row r="296" spans="1:12" x14ac:dyDescent="0.2">
      <c r="A296" s="221"/>
      <c r="B296" s="222" t="s">
        <v>1451</v>
      </c>
      <c r="C296" s="223">
        <v>707.3</v>
      </c>
      <c r="D296" s="223" t="s">
        <v>1447</v>
      </c>
      <c r="E296" s="223">
        <v>707.3</v>
      </c>
      <c r="F296" s="223">
        <v>68.400000000000006</v>
      </c>
      <c r="G296" s="223">
        <v>0</v>
      </c>
      <c r="H296" s="223"/>
      <c r="I296" s="223"/>
      <c r="J296" s="223"/>
      <c r="K296" s="223"/>
      <c r="L296" s="223"/>
    </row>
    <row r="297" spans="1:12" x14ac:dyDescent="0.2">
      <c r="A297" s="218"/>
      <c r="B297" s="224" t="s">
        <v>1452</v>
      </c>
      <c r="C297" s="220">
        <v>708.4</v>
      </c>
      <c r="D297" s="220" t="s">
        <v>1447</v>
      </c>
      <c r="E297" s="220">
        <v>708.4</v>
      </c>
      <c r="F297" s="220">
        <v>68.5</v>
      </c>
      <c r="G297" s="220">
        <v>1.1000000000000001</v>
      </c>
      <c r="H297" s="220"/>
      <c r="I297" s="220"/>
      <c r="J297" s="220"/>
      <c r="K297" s="220"/>
      <c r="L297" s="220"/>
    </row>
    <row r="298" spans="1:12" x14ac:dyDescent="0.2">
      <c r="A298" s="221"/>
      <c r="B298" s="222" t="s">
        <v>1453</v>
      </c>
      <c r="C298" s="223">
        <v>709.5</v>
      </c>
      <c r="D298" s="223" t="s">
        <v>1447</v>
      </c>
      <c r="E298" s="223">
        <v>709.5</v>
      </c>
      <c r="F298" s="223">
        <v>68.599999999999994</v>
      </c>
      <c r="G298" s="223">
        <v>1.2</v>
      </c>
      <c r="H298" s="223"/>
      <c r="I298" s="223"/>
      <c r="J298" s="223"/>
      <c r="K298" s="223"/>
      <c r="L298" s="223"/>
    </row>
    <row r="299" spans="1:12" x14ac:dyDescent="0.2">
      <c r="A299" s="218"/>
      <c r="B299" s="224" t="s">
        <v>109</v>
      </c>
      <c r="C299" s="220">
        <v>711.9</v>
      </c>
      <c r="D299" s="220" t="s">
        <v>1447</v>
      </c>
      <c r="E299" s="220">
        <v>711.9</v>
      </c>
      <c r="F299" s="220">
        <v>68.7</v>
      </c>
      <c r="G299" s="220">
        <v>2.4</v>
      </c>
      <c r="H299" s="220"/>
      <c r="I299" s="220"/>
      <c r="J299" s="220"/>
      <c r="K299" s="220"/>
      <c r="L299" s="220"/>
    </row>
    <row r="300" spans="1:12" x14ac:dyDescent="0.2">
      <c r="A300" s="221"/>
      <c r="B300" s="222" t="s">
        <v>110</v>
      </c>
      <c r="C300" s="223">
        <v>718</v>
      </c>
      <c r="D300" s="223" t="s">
        <v>1454</v>
      </c>
      <c r="E300" s="223">
        <v>718</v>
      </c>
      <c r="F300" s="223">
        <v>69.2</v>
      </c>
      <c r="G300" s="223">
        <v>6.2</v>
      </c>
      <c r="H300" s="223"/>
      <c r="I300" s="223"/>
      <c r="J300" s="223"/>
      <c r="K300" s="223"/>
      <c r="L300" s="223"/>
    </row>
    <row r="301" spans="1:12" ht="22.5" x14ac:dyDescent="0.2">
      <c r="A301" s="218"/>
      <c r="B301" s="224" t="s">
        <v>1455</v>
      </c>
      <c r="C301" s="220">
        <v>727.4</v>
      </c>
      <c r="D301" s="220" t="s">
        <v>1454</v>
      </c>
      <c r="E301" s="220">
        <v>727.4</v>
      </c>
      <c r="F301" s="220">
        <v>69.8</v>
      </c>
      <c r="G301" s="220">
        <v>9.4</v>
      </c>
      <c r="H301" s="220"/>
      <c r="I301" s="220"/>
      <c r="J301" s="220"/>
      <c r="K301" s="220"/>
      <c r="L301" s="220"/>
    </row>
    <row r="302" spans="1:12" x14ac:dyDescent="0.2">
      <c r="A302" s="221"/>
      <c r="B302" s="222" t="s">
        <v>1456</v>
      </c>
      <c r="C302" s="223">
        <v>727.7</v>
      </c>
      <c r="D302" s="223" t="s">
        <v>1454</v>
      </c>
      <c r="E302" s="223">
        <v>727.7</v>
      </c>
      <c r="F302" s="223">
        <v>69.8</v>
      </c>
      <c r="G302" s="223">
        <v>0.3</v>
      </c>
      <c r="H302" s="223"/>
      <c r="I302" s="223"/>
      <c r="J302" s="223"/>
      <c r="K302" s="223"/>
      <c r="L302" s="223"/>
    </row>
    <row r="303" spans="1:12" ht="79.5" customHeight="1" x14ac:dyDescent="0.2">
      <c r="A303" s="231"/>
      <c r="B303" s="232" t="s">
        <v>1457</v>
      </c>
      <c r="C303" s="233">
        <v>727.8</v>
      </c>
      <c r="D303" s="220" t="s">
        <v>1454</v>
      </c>
      <c r="E303" s="233">
        <v>727.8</v>
      </c>
      <c r="F303" s="233">
        <v>69.8</v>
      </c>
      <c r="G303" s="233">
        <v>0</v>
      </c>
      <c r="H303" s="233">
        <v>94.6</v>
      </c>
      <c r="I303" s="233">
        <v>6.4</v>
      </c>
      <c r="J303" s="233">
        <v>14.7</v>
      </c>
      <c r="K303" s="233">
        <v>4.5999999999999996</v>
      </c>
      <c r="L303" s="233"/>
    </row>
    <row r="304" spans="1:12" x14ac:dyDescent="0.2">
      <c r="A304" s="231"/>
      <c r="B304" s="232"/>
      <c r="C304" s="233"/>
      <c r="D304" s="220" t="s">
        <v>1458</v>
      </c>
      <c r="E304" s="233"/>
      <c r="F304" s="233"/>
      <c r="G304" s="233"/>
      <c r="H304" s="233"/>
      <c r="I304" s="233"/>
      <c r="J304" s="233"/>
      <c r="K304" s="233"/>
      <c r="L304" s="233"/>
    </row>
    <row r="305" spans="1:12" x14ac:dyDescent="0.2">
      <c r="A305" s="221"/>
      <c r="B305" s="222" t="s">
        <v>1459</v>
      </c>
      <c r="C305" s="223">
        <v>728.3</v>
      </c>
      <c r="D305" s="223" t="s">
        <v>1458</v>
      </c>
      <c r="E305" s="223">
        <v>728.3</v>
      </c>
      <c r="F305" s="223">
        <v>70.400000000000006</v>
      </c>
      <c r="G305" s="223">
        <v>0.5</v>
      </c>
      <c r="H305" s="223"/>
      <c r="I305" s="223"/>
      <c r="J305" s="223"/>
      <c r="K305" s="223"/>
      <c r="L305" s="223"/>
    </row>
    <row r="306" spans="1:12" x14ac:dyDescent="0.2">
      <c r="A306" s="218"/>
      <c r="B306" s="224" t="s">
        <v>1386</v>
      </c>
      <c r="C306" s="220">
        <v>728.9</v>
      </c>
      <c r="D306" s="220" t="s">
        <v>1458</v>
      </c>
      <c r="E306" s="220">
        <v>728.9</v>
      </c>
      <c r="F306" s="220">
        <v>70.400000000000006</v>
      </c>
      <c r="G306" s="220">
        <v>0.6</v>
      </c>
      <c r="H306" s="220"/>
      <c r="I306" s="220"/>
      <c r="J306" s="220"/>
      <c r="K306" s="220"/>
      <c r="L306" s="220"/>
    </row>
    <row r="307" spans="1:12" x14ac:dyDescent="0.2">
      <c r="A307" s="221"/>
      <c r="B307" s="222" t="s">
        <v>1386</v>
      </c>
      <c r="C307" s="223">
        <v>729</v>
      </c>
      <c r="D307" s="223" t="s">
        <v>1458</v>
      </c>
      <c r="E307" s="223">
        <v>729</v>
      </c>
      <c r="F307" s="223">
        <v>70.400000000000006</v>
      </c>
      <c r="G307" s="223">
        <v>0.1</v>
      </c>
      <c r="H307" s="223"/>
      <c r="I307" s="223"/>
      <c r="J307" s="223"/>
      <c r="K307" s="223"/>
      <c r="L307" s="223"/>
    </row>
    <row r="308" spans="1:12" x14ac:dyDescent="0.2">
      <c r="A308" s="218"/>
      <c r="B308" s="224" t="s">
        <v>1460</v>
      </c>
      <c r="C308" s="220">
        <v>729.3</v>
      </c>
      <c r="D308" s="220" t="s">
        <v>1458</v>
      </c>
      <c r="E308" s="220">
        <v>729.3</v>
      </c>
      <c r="F308" s="220">
        <v>70.400000000000006</v>
      </c>
      <c r="G308" s="220">
        <v>0.3</v>
      </c>
      <c r="H308" s="220"/>
      <c r="I308" s="220"/>
      <c r="J308" s="220"/>
      <c r="K308" s="220"/>
      <c r="L308" s="220"/>
    </row>
    <row r="309" spans="1:12" ht="22.5" x14ac:dyDescent="0.2">
      <c r="A309" s="221"/>
      <c r="B309" s="222" t="s">
        <v>1461</v>
      </c>
      <c r="C309" s="223">
        <v>729.3</v>
      </c>
      <c r="D309" s="223" t="s">
        <v>1458</v>
      </c>
      <c r="E309" s="223">
        <v>729.3</v>
      </c>
      <c r="F309" s="223">
        <v>70.400000000000006</v>
      </c>
      <c r="G309" s="223">
        <v>0</v>
      </c>
      <c r="H309" s="223"/>
      <c r="I309" s="223"/>
      <c r="J309" s="223"/>
      <c r="K309" s="223"/>
      <c r="L309" s="223"/>
    </row>
    <row r="310" spans="1:12" x14ac:dyDescent="0.2">
      <c r="A310" s="218"/>
      <c r="B310" s="224" t="s">
        <v>1462</v>
      </c>
      <c r="C310" s="220">
        <v>729.9</v>
      </c>
      <c r="D310" s="220" t="s">
        <v>1458</v>
      </c>
      <c r="E310" s="220">
        <v>729.8</v>
      </c>
      <c r="F310" s="220">
        <v>70.5</v>
      </c>
      <c r="G310" s="220">
        <v>0.6</v>
      </c>
      <c r="H310" s="220"/>
      <c r="I310" s="220"/>
      <c r="J310" s="220"/>
      <c r="K310" s="220"/>
      <c r="L310" s="220"/>
    </row>
    <row r="311" spans="1:12" x14ac:dyDescent="0.2">
      <c r="A311" s="221"/>
      <c r="B311" s="222" t="s">
        <v>111</v>
      </c>
      <c r="C311" s="223">
        <v>733.2</v>
      </c>
      <c r="D311" s="223" t="s">
        <v>1458</v>
      </c>
      <c r="E311" s="223">
        <v>733.2</v>
      </c>
      <c r="F311" s="223">
        <v>70.7</v>
      </c>
      <c r="G311" s="223">
        <v>3.3</v>
      </c>
      <c r="H311" s="223"/>
      <c r="I311" s="223"/>
      <c r="J311" s="223"/>
      <c r="K311" s="223"/>
      <c r="L311" s="223"/>
    </row>
    <row r="312" spans="1:12" x14ac:dyDescent="0.2">
      <c r="A312" s="218"/>
      <c r="B312" s="224" t="s">
        <v>1463</v>
      </c>
      <c r="C312" s="220">
        <v>739.2</v>
      </c>
      <c r="D312" s="220" t="s">
        <v>1464</v>
      </c>
      <c r="E312" s="220">
        <v>739.2</v>
      </c>
      <c r="F312" s="220">
        <v>71.2</v>
      </c>
      <c r="G312" s="220">
        <v>6</v>
      </c>
      <c r="H312" s="220"/>
      <c r="I312" s="220"/>
      <c r="J312" s="220"/>
      <c r="K312" s="220"/>
      <c r="L312" s="220"/>
    </row>
    <row r="313" spans="1:12" ht="22.5" x14ac:dyDescent="0.2">
      <c r="A313" s="221"/>
      <c r="B313" s="222" t="s">
        <v>1465</v>
      </c>
      <c r="C313" s="223">
        <v>741.6</v>
      </c>
      <c r="D313" s="223" t="s">
        <v>1464</v>
      </c>
      <c r="E313" s="223">
        <v>741.6</v>
      </c>
      <c r="F313" s="223">
        <v>71.400000000000006</v>
      </c>
      <c r="G313" s="223">
        <v>2.4</v>
      </c>
      <c r="H313" s="223"/>
      <c r="I313" s="223"/>
      <c r="J313" s="223"/>
      <c r="K313" s="223"/>
      <c r="L313" s="223"/>
    </row>
    <row r="314" spans="1:12" ht="22.5" x14ac:dyDescent="0.2">
      <c r="A314" s="218"/>
      <c r="B314" s="224" t="s">
        <v>1466</v>
      </c>
      <c r="C314" s="220">
        <v>743.4</v>
      </c>
      <c r="D314" s="220" t="s">
        <v>1464</v>
      </c>
      <c r="E314" s="220">
        <v>743.4</v>
      </c>
      <c r="F314" s="220">
        <v>71.5</v>
      </c>
      <c r="G314" s="220">
        <v>1.9</v>
      </c>
      <c r="H314" s="220"/>
      <c r="I314" s="220"/>
      <c r="J314" s="220"/>
      <c r="K314" s="220"/>
      <c r="L314" s="220"/>
    </row>
    <row r="315" spans="1:12" ht="22.5" x14ac:dyDescent="0.2">
      <c r="A315" s="221"/>
      <c r="B315" s="222" t="s">
        <v>1467</v>
      </c>
      <c r="C315" s="223">
        <v>744.1</v>
      </c>
      <c r="D315" s="223" t="s">
        <v>1464</v>
      </c>
      <c r="E315" s="223">
        <v>744.1</v>
      </c>
      <c r="F315" s="223">
        <v>71.5</v>
      </c>
      <c r="G315" s="223">
        <v>0.6</v>
      </c>
      <c r="H315" s="223"/>
      <c r="I315" s="223"/>
      <c r="J315" s="223"/>
      <c r="K315" s="223"/>
      <c r="L315" s="223"/>
    </row>
    <row r="316" spans="1:12" x14ac:dyDescent="0.2">
      <c r="A316" s="218"/>
      <c r="B316" s="224" t="s">
        <v>1468</v>
      </c>
      <c r="C316" s="220">
        <v>746.5</v>
      </c>
      <c r="D316" s="220" t="s">
        <v>1464</v>
      </c>
      <c r="E316" s="220">
        <v>746.5</v>
      </c>
      <c r="F316" s="220">
        <v>71.7</v>
      </c>
      <c r="G316" s="220">
        <v>2.4</v>
      </c>
      <c r="H316" s="220"/>
      <c r="I316" s="220"/>
      <c r="J316" s="220"/>
      <c r="K316" s="220"/>
      <c r="L316" s="220"/>
    </row>
    <row r="317" spans="1:12" ht="33.75" x14ac:dyDescent="0.2">
      <c r="A317" s="221"/>
      <c r="B317" s="222" t="s">
        <v>1469</v>
      </c>
      <c r="C317" s="223">
        <v>747.3</v>
      </c>
      <c r="D317" s="223" t="s">
        <v>1464</v>
      </c>
      <c r="E317" s="223">
        <v>747.3</v>
      </c>
      <c r="F317" s="223">
        <v>71.8</v>
      </c>
      <c r="G317" s="223">
        <v>0.8</v>
      </c>
      <c r="H317" s="223"/>
      <c r="I317" s="223"/>
      <c r="J317" s="223"/>
      <c r="K317" s="223"/>
      <c r="L317" s="223"/>
    </row>
    <row r="318" spans="1:12" ht="22.5" x14ac:dyDescent="0.2">
      <c r="A318" s="218"/>
      <c r="B318" s="224" t="s">
        <v>1470</v>
      </c>
      <c r="C318" s="220">
        <v>747.9</v>
      </c>
      <c r="D318" s="220" t="s">
        <v>1464</v>
      </c>
      <c r="E318" s="220">
        <v>747.9</v>
      </c>
      <c r="F318" s="220">
        <v>71.8</v>
      </c>
      <c r="G318" s="220">
        <v>0.7</v>
      </c>
      <c r="H318" s="220"/>
      <c r="I318" s="220"/>
      <c r="J318" s="220"/>
      <c r="K318" s="220"/>
      <c r="L318" s="220"/>
    </row>
    <row r="319" spans="1:12" x14ac:dyDescent="0.2">
      <c r="A319" s="221"/>
      <c r="B319" s="222" t="s">
        <v>1471</v>
      </c>
      <c r="C319" s="223">
        <v>749.7</v>
      </c>
      <c r="D319" s="223" t="s">
        <v>1464</v>
      </c>
      <c r="E319" s="223">
        <v>749.7</v>
      </c>
      <c r="F319" s="223">
        <v>72</v>
      </c>
      <c r="G319" s="223">
        <v>1.7</v>
      </c>
      <c r="H319" s="223"/>
      <c r="I319" s="223"/>
      <c r="J319" s="223"/>
      <c r="K319" s="223"/>
      <c r="L319" s="223"/>
    </row>
    <row r="320" spans="1:12" x14ac:dyDescent="0.2">
      <c r="A320" s="218"/>
      <c r="B320" s="224" t="s">
        <v>1472</v>
      </c>
      <c r="C320" s="220">
        <v>749.8</v>
      </c>
      <c r="D320" s="220" t="s">
        <v>1464</v>
      </c>
      <c r="E320" s="220">
        <v>749.7</v>
      </c>
      <c r="F320" s="220">
        <v>72</v>
      </c>
      <c r="G320" s="220">
        <v>0.1</v>
      </c>
      <c r="H320" s="220"/>
      <c r="I320" s="220"/>
      <c r="J320" s="220"/>
      <c r="K320" s="220"/>
      <c r="L320" s="220"/>
    </row>
    <row r="321" spans="1:12" x14ac:dyDescent="0.2">
      <c r="A321" s="221"/>
      <c r="B321" s="222" t="s">
        <v>1473</v>
      </c>
      <c r="C321" s="223">
        <v>749.8</v>
      </c>
      <c r="D321" s="223" t="s">
        <v>1464</v>
      </c>
      <c r="E321" s="223">
        <v>749.8</v>
      </c>
      <c r="F321" s="223">
        <v>72</v>
      </c>
      <c r="G321" s="223">
        <v>0</v>
      </c>
      <c r="H321" s="223"/>
      <c r="I321" s="223"/>
      <c r="J321" s="223"/>
      <c r="K321" s="223"/>
      <c r="L321" s="223"/>
    </row>
    <row r="322" spans="1:12" x14ac:dyDescent="0.2">
      <c r="A322" s="218"/>
      <c r="B322" s="224" t="s">
        <v>113</v>
      </c>
      <c r="C322" s="220">
        <v>752.9</v>
      </c>
      <c r="D322" s="220" t="s">
        <v>1474</v>
      </c>
      <c r="E322" s="220">
        <v>752.8</v>
      </c>
      <c r="F322" s="220">
        <v>72.2</v>
      </c>
      <c r="G322" s="220">
        <v>3.1</v>
      </c>
      <c r="H322" s="220"/>
      <c r="I322" s="220"/>
      <c r="J322" s="220"/>
      <c r="K322" s="220"/>
      <c r="L322" s="220"/>
    </row>
    <row r="323" spans="1:12" x14ac:dyDescent="0.2">
      <c r="A323" s="221"/>
      <c r="B323" s="222" t="s">
        <v>1475</v>
      </c>
      <c r="C323" s="223">
        <v>756.1</v>
      </c>
      <c r="D323" s="223" t="s">
        <v>1474</v>
      </c>
      <c r="E323" s="223">
        <v>756.1</v>
      </c>
      <c r="F323" s="223">
        <v>72.400000000000006</v>
      </c>
      <c r="G323" s="223">
        <v>3.2</v>
      </c>
      <c r="H323" s="223"/>
      <c r="I323" s="223"/>
      <c r="J323" s="223"/>
      <c r="K323" s="223"/>
      <c r="L323" s="223"/>
    </row>
    <row r="324" spans="1:12" x14ac:dyDescent="0.2">
      <c r="A324" s="218"/>
      <c r="B324" s="224" t="s">
        <v>1427</v>
      </c>
      <c r="C324" s="220">
        <v>756.1</v>
      </c>
      <c r="D324" s="220" t="s">
        <v>1474</v>
      </c>
      <c r="E324" s="220">
        <v>756.1</v>
      </c>
      <c r="F324" s="220">
        <v>72.400000000000006</v>
      </c>
      <c r="G324" s="220">
        <v>0.1</v>
      </c>
      <c r="H324" s="220"/>
      <c r="I324" s="220"/>
      <c r="J324" s="220"/>
      <c r="K324" s="220"/>
      <c r="L324" s="220"/>
    </row>
    <row r="325" spans="1:12" x14ac:dyDescent="0.2">
      <c r="A325" s="221"/>
      <c r="B325" s="222" t="s">
        <v>114</v>
      </c>
      <c r="C325" s="223">
        <v>759.9</v>
      </c>
      <c r="D325" s="223" t="s">
        <v>1474</v>
      </c>
      <c r="E325" s="223">
        <v>759.9</v>
      </c>
      <c r="F325" s="223">
        <v>72.7</v>
      </c>
      <c r="G325" s="223">
        <v>3.8</v>
      </c>
      <c r="H325" s="223"/>
      <c r="I325" s="223"/>
      <c r="J325" s="223"/>
      <c r="K325" s="223"/>
      <c r="L325" s="223"/>
    </row>
    <row r="326" spans="1:12" x14ac:dyDescent="0.2">
      <c r="A326" s="218"/>
      <c r="B326" s="224" t="s">
        <v>115</v>
      </c>
      <c r="C326" s="220">
        <v>764.9</v>
      </c>
      <c r="D326" s="220" t="s">
        <v>1476</v>
      </c>
      <c r="E326" s="220">
        <v>764.9</v>
      </c>
      <c r="F326" s="220">
        <v>73.099999999999994</v>
      </c>
      <c r="G326" s="220">
        <v>5</v>
      </c>
      <c r="H326" s="220"/>
      <c r="I326" s="220"/>
      <c r="J326" s="220"/>
      <c r="K326" s="220"/>
      <c r="L326" s="220"/>
    </row>
    <row r="327" spans="1:12" x14ac:dyDescent="0.2">
      <c r="A327" s="221"/>
      <c r="B327" s="222" t="s">
        <v>1477</v>
      </c>
      <c r="C327" s="223">
        <v>767.6</v>
      </c>
      <c r="D327" s="223" t="s">
        <v>1476</v>
      </c>
      <c r="E327" s="223">
        <v>767.6</v>
      </c>
      <c r="F327" s="223">
        <v>73.3</v>
      </c>
      <c r="G327" s="223">
        <v>2.7</v>
      </c>
      <c r="H327" s="223"/>
      <c r="I327" s="223"/>
      <c r="J327" s="223"/>
      <c r="K327" s="223"/>
      <c r="L327" s="223"/>
    </row>
    <row r="328" spans="1:12" x14ac:dyDescent="0.2">
      <c r="A328" s="218"/>
      <c r="B328" s="224" t="s">
        <v>1478</v>
      </c>
      <c r="C328" s="220">
        <v>769.1</v>
      </c>
      <c r="D328" s="220" t="s">
        <v>1476</v>
      </c>
      <c r="E328" s="220">
        <v>769.1</v>
      </c>
      <c r="F328" s="220">
        <v>73.400000000000006</v>
      </c>
      <c r="G328" s="220">
        <v>1.5</v>
      </c>
      <c r="H328" s="220"/>
      <c r="I328" s="220"/>
      <c r="J328" s="220"/>
      <c r="K328" s="220"/>
      <c r="L328" s="220"/>
    </row>
    <row r="329" spans="1:12" x14ac:dyDescent="0.2">
      <c r="A329" s="221"/>
      <c r="B329" s="222" t="s">
        <v>116</v>
      </c>
      <c r="C329" s="223">
        <v>770.2</v>
      </c>
      <c r="D329" s="223" t="s">
        <v>1476</v>
      </c>
      <c r="E329" s="223">
        <v>770.2</v>
      </c>
      <c r="F329" s="223">
        <v>73.5</v>
      </c>
      <c r="G329" s="223">
        <v>1.1000000000000001</v>
      </c>
      <c r="H329" s="223"/>
      <c r="I329" s="223"/>
      <c r="J329" s="223"/>
      <c r="K329" s="223"/>
      <c r="L329" s="223"/>
    </row>
    <row r="330" spans="1:12" ht="33.75" x14ac:dyDescent="0.2">
      <c r="A330" s="218"/>
      <c r="B330" s="224" t="s">
        <v>1479</v>
      </c>
      <c r="C330" s="220">
        <v>774.9</v>
      </c>
      <c r="D330" s="220" t="s">
        <v>1476</v>
      </c>
      <c r="E330" s="220">
        <v>774.9</v>
      </c>
      <c r="F330" s="220">
        <v>73.8</v>
      </c>
      <c r="G330" s="220">
        <v>4.7</v>
      </c>
      <c r="H330" s="220"/>
      <c r="I330" s="220"/>
      <c r="J330" s="220"/>
      <c r="K330" s="220"/>
      <c r="L330" s="220"/>
    </row>
    <row r="331" spans="1:12" x14ac:dyDescent="0.2">
      <c r="A331" s="221"/>
      <c r="B331" s="222" t="s">
        <v>1480</v>
      </c>
      <c r="C331" s="223">
        <v>782.7</v>
      </c>
      <c r="D331" s="223" t="s">
        <v>1481</v>
      </c>
      <c r="E331" s="223">
        <v>782.7</v>
      </c>
      <c r="F331" s="223">
        <v>74.400000000000006</v>
      </c>
      <c r="G331" s="223">
        <v>7.8</v>
      </c>
      <c r="H331" s="223"/>
      <c r="I331" s="223"/>
      <c r="J331" s="223"/>
      <c r="K331" s="223"/>
      <c r="L331" s="223"/>
    </row>
    <row r="332" spans="1:12" ht="54" customHeight="1" x14ac:dyDescent="0.2">
      <c r="A332" s="231"/>
      <c r="B332" s="232" t="s">
        <v>1482</v>
      </c>
      <c r="C332" s="233">
        <v>784.7</v>
      </c>
      <c r="D332" s="220" t="s">
        <v>1481</v>
      </c>
      <c r="E332" s="233">
        <v>784.7</v>
      </c>
      <c r="F332" s="233">
        <v>74.599999999999994</v>
      </c>
      <c r="G332" s="233">
        <v>2</v>
      </c>
      <c r="H332" s="233">
        <v>57</v>
      </c>
      <c r="I332" s="233">
        <v>4.2</v>
      </c>
      <c r="J332" s="233">
        <v>13.5</v>
      </c>
      <c r="K332" s="233">
        <v>5.5</v>
      </c>
      <c r="L332" s="233"/>
    </row>
    <row r="333" spans="1:12" x14ac:dyDescent="0.2">
      <c r="A333" s="231"/>
      <c r="B333" s="232"/>
      <c r="C333" s="233"/>
      <c r="D333" s="220" t="s">
        <v>1483</v>
      </c>
      <c r="E333" s="233"/>
      <c r="F333" s="233"/>
      <c r="G333" s="233"/>
      <c r="H333" s="233"/>
      <c r="I333" s="233"/>
      <c r="J333" s="233"/>
      <c r="K333" s="233"/>
      <c r="L333" s="233"/>
    </row>
    <row r="334" spans="1:12" x14ac:dyDescent="0.2">
      <c r="A334" s="221"/>
      <c r="B334" s="222" t="s">
        <v>1484</v>
      </c>
      <c r="C334" s="223">
        <v>784.8</v>
      </c>
      <c r="D334" s="223" t="s">
        <v>1483</v>
      </c>
      <c r="E334" s="223">
        <v>784.8</v>
      </c>
      <c r="F334" s="223">
        <v>75.099999999999994</v>
      </c>
      <c r="G334" s="223">
        <v>0.1</v>
      </c>
      <c r="H334" s="223"/>
      <c r="I334" s="223"/>
      <c r="J334" s="223"/>
      <c r="K334" s="223"/>
      <c r="L334" s="223"/>
    </row>
    <row r="335" spans="1:12" x14ac:dyDescent="0.2">
      <c r="A335" s="218"/>
      <c r="B335" s="224" t="s">
        <v>1485</v>
      </c>
      <c r="C335" s="220">
        <v>784.9</v>
      </c>
      <c r="D335" s="220" t="s">
        <v>1483</v>
      </c>
      <c r="E335" s="220">
        <v>784.9</v>
      </c>
      <c r="F335" s="220">
        <v>75.099999999999994</v>
      </c>
      <c r="G335" s="220">
        <v>0</v>
      </c>
      <c r="H335" s="220"/>
      <c r="I335" s="220"/>
      <c r="J335" s="220"/>
      <c r="K335" s="220"/>
      <c r="L335" s="220"/>
    </row>
    <row r="336" spans="1:12" x14ac:dyDescent="0.2">
      <c r="A336" s="221"/>
      <c r="B336" s="222" t="s">
        <v>1486</v>
      </c>
      <c r="C336" s="223">
        <v>785.9</v>
      </c>
      <c r="D336" s="223" t="s">
        <v>1483</v>
      </c>
      <c r="E336" s="223">
        <v>785.9</v>
      </c>
      <c r="F336" s="223">
        <v>75.2</v>
      </c>
      <c r="G336" s="223">
        <v>1.1000000000000001</v>
      </c>
      <c r="H336" s="223"/>
      <c r="I336" s="223"/>
      <c r="J336" s="223"/>
      <c r="K336" s="223"/>
      <c r="L336" s="223"/>
    </row>
    <row r="337" spans="1:12" x14ac:dyDescent="0.2">
      <c r="A337" s="218"/>
      <c r="B337" s="224" t="s">
        <v>118</v>
      </c>
      <c r="C337" s="220">
        <v>786.6</v>
      </c>
      <c r="D337" s="220" t="s">
        <v>1483</v>
      </c>
      <c r="E337" s="220">
        <v>786.6</v>
      </c>
      <c r="F337" s="220">
        <v>75.2</v>
      </c>
      <c r="G337" s="220">
        <v>0.7</v>
      </c>
      <c r="H337" s="220"/>
      <c r="I337" s="220"/>
      <c r="J337" s="220"/>
      <c r="K337" s="220"/>
      <c r="L337" s="220"/>
    </row>
    <row r="338" spans="1:12" x14ac:dyDescent="0.2">
      <c r="A338" s="221"/>
      <c r="B338" s="222" t="s">
        <v>119</v>
      </c>
      <c r="C338" s="223">
        <v>795.3</v>
      </c>
      <c r="D338" s="223" t="s">
        <v>1483</v>
      </c>
      <c r="E338" s="223">
        <v>795.3</v>
      </c>
      <c r="F338" s="223">
        <v>75.900000000000006</v>
      </c>
      <c r="G338" s="223">
        <v>8.6999999999999993</v>
      </c>
      <c r="H338" s="223"/>
      <c r="I338" s="223"/>
      <c r="J338" s="223"/>
      <c r="K338" s="223"/>
      <c r="L338" s="223"/>
    </row>
    <row r="339" spans="1:12" ht="22.5" x14ac:dyDescent="0.2">
      <c r="A339" s="218"/>
      <c r="B339" s="224" t="s">
        <v>1487</v>
      </c>
      <c r="C339" s="220">
        <v>795.8</v>
      </c>
      <c r="D339" s="220" t="s">
        <v>1483</v>
      </c>
      <c r="E339" s="220">
        <v>795.8</v>
      </c>
      <c r="F339" s="220">
        <v>75.900000000000006</v>
      </c>
      <c r="G339" s="220">
        <v>0.4</v>
      </c>
      <c r="H339" s="220"/>
      <c r="I339" s="220"/>
      <c r="J339" s="220"/>
      <c r="K339" s="220"/>
      <c r="L339" s="220"/>
    </row>
    <row r="340" spans="1:12" ht="22.5" x14ac:dyDescent="0.2">
      <c r="A340" s="221"/>
      <c r="B340" s="222" t="s">
        <v>1488</v>
      </c>
      <c r="C340" s="223">
        <v>795.8</v>
      </c>
      <c r="D340" s="223" t="s">
        <v>1483</v>
      </c>
      <c r="E340" s="223">
        <v>795.8</v>
      </c>
      <c r="F340" s="223">
        <v>75.900000000000006</v>
      </c>
      <c r="G340" s="223">
        <v>0</v>
      </c>
      <c r="H340" s="223"/>
      <c r="I340" s="223"/>
      <c r="J340" s="223"/>
      <c r="K340" s="223"/>
      <c r="L340" s="223"/>
    </row>
    <row r="341" spans="1:12" x14ac:dyDescent="0.2">
      <c r="A341" s="218"/>
      <c r="B341" s="224" t="s">
        <v>1489</v>
      </c>
      <c r="C341" s="220">
        <v>796</v>
      </c>
      <c r="D341" s="220" t="s">
        <v>1483</v>
      </c>
      <c r="E341" s="220">
        <v>796</v>
      </c>
      <c r="F341" s="220">
        <v>76</v>
      </c>
      <c r="G341" s="220">
        <v>0.2</v>
      </c>
      <c r="H341" s="220"/>
      <c r="I341" s="220"/>
      <c r="J341" s="220"/>
      <c r="K341" s="220"/>
      <c r="L341" s="220"/>
    </row>
    <row r="342" spans="1:12" x14ac:dyDescent="0.2">
      <c r="A342" s="221"/>
      <c r="B342" s="222" t="s">
        <v>1490</v>
      </c>
      <c r="C342" s="223">
        <v>802.9</v>
      </c>
      <c r="D342" s="223" t="s">
        <v>1491</v>
      </c>
      <c r="E342" s="223">
        <v>802.8</v>
      </c>
      <c r="F342" s="223">
        <v>76.5</v>
      </c>
      <c r="G342" s="223">
        <v>6.8</v>
      </c>
      <c r="H342" s="223"/>
      <c r="I342" s="223"/>
      <c r="J342" s="223"/>
      <c r="K342" s="223"/>
      <c r="L342" s="223"/>
    </row>
    <row r="343" spans="1:12" ht="22.5" x14ac:dyDescent="0.2">
      <c r="A343" s="218"/>
      <c r="B343" s="224" t="s">
        <v>120</v>
      </c>
      <c r="C343" s="220">
        <v>804.9</v>
      </c>
      <c r="D343" s="220" t="s">
        <v>1491</v>
      </c>
      <c r="E343" s="220">
        <v>804.9</v>
      </c>
      <c r="F343" s="220">
        <v>76.7</v>
      </c>
      <c r="G343" s="220">
        <v>2</v>
      </c>
      <c r="H343" s="220"/>
      <c r="I343" s="220"/>
      <c r="J343" s="220"/>
      <c r="K343" s="220"/>
      <c r="L343" s="220"/>
    </row>
    <row r="344" spans="1:12" x14ac:dyDescent="0.2">
      <c r="A344" s="221"/>
      <c r="B344" s="222" t="s">
        <v>1492</v>
      </c>
      <c r="C344" s="223">
        <v>806.6</v>
      </c>
      <c r="D344" s="223" t="s">
        <v>1491</v>
      </c>
      <c r="E344" s="223">
        <v>806.6</v>
      </c>
      <c r="F344" s="223">
        <v>76.8</v>
      </c>
      <c r="G344" s="223">
        <v>1.7</v>
      </c>
      <c r="H344" s="223"/>
      <c r="I344" s="223"/>
      <c r="J344" s="223"/>
      <c r="K344" s="223"/>
      <c r="L344" s="223"/>
    </row>
    <row r="345" spans="1:12" x14ac:dyDescent="0.2">
      <c r="A345" s="218"/>
      <c r="B345" s="224" t="s">
        <v>1493</v>
      </c>
      <c r="C345" s="220">
        <v>806.7</v>
      </c>
      <c r="D345" s="220" t="s">
        <v>1491</v>
      </c>
      <c r="E345" s="220">
        <v>806.6</v>
      </c>
      <c r="F345" s="220">
        <v>76.8</v>
      </c>
      <c r="G345" s="220">
        <v>0</v>
      </c>
      <c r="H345" s="220"/>
      <c r="I345" s="220"/>
      <c r="J345" s="220"/>
      <c r="K345" s="220"/>
      <c r="L345" s="220"/>
    </row>
    <row r="346" spans="1:12" x14ac:dyDescent="0.2">
      <c r="A346" s="221"/>
      <c r="B346" s="222" t="s">
        <v>1494</v>
      </c>
      <c r="C346" s="223">
        <v>806.7</v>
      </c>
      <c r="D346" s="223" t="s">
        <v>1491</v>
      </c>
      <c r="E346" s="223">
        <v>806.7</v>
      </c>
      <c r="F346" s="223">
        <v>76.8</v>
      </c>
      <c r="G346" s="223">
        <v>0.1</v>
      </c>
      <c r="H346" s="223"/>
      <c r="I346" s="223"/>
      <c r="J346" s="223"/>
      <c r="K346" s="223"/>
      <c r="L346" s="223"/>
    </row>
    <row r="347" spans="1:12" x14ac:dyDescent="0.2">
      <c r="A347" s="218"/>
      <c r="B347" s="224" t="s">
        <v>1022</v>
      </c>
      <c r="C347" s="220">
        <v>810.6</v>
      </c>
      <c r="D347" s="220" t="s">
        <v>1495</v>
      </c>
      <c r="E347" s="220">
        <v>810.6</v>
      </c>
      <c r="F347" s="220">
        <v>77.099999999999994</v>
      </c>
      <c r="G347" s="220">
        <v>3.9</v>
      </c>
      <c r="H347" s="220"/>
      <c r="I347" s="220"/>
      <c r="J347" s="220"/>
      <c r="K347" s="220"/>
      <c r="L347" s="220"/>
    </row>
    <row r="348" spans="1:12" x14ac:dyDescent="0.2">
      <c r="A348" s="221"/>
      <c r="B348" s="222" t="s">
        <v>1496</v>
      </c>
      <c r="C348" s="223">
        <v>813</v>
      </c>
      <c r="D348" s="223" t="s">
        <v>1495</v>
      </c>
      <c r="E348" s="223">
        <v>813</v>
      </c>
      <c r="F348" s="223">
        <v>77.3</v>
      </c>
      <c r="G348" s="223">
        <v>2.4</v>
      </c>
      <c r="H348" s="223"/>
      <c r="I348" s="223"/>
      <c r="J348" s="223"/>
      <c r="K348" s="223"/>
      <c r="L348" s="223"/>
    </row>
    <row r="349" spans="1:12" x14ac:dyDescent="0.2">
      <c r="A349" s="218"/>
      <c r="B349" s="224" t="s">
        <v>1497</v>
      </c>
      <c r="C349" s="220">
        <v>815.1</v>
      </c>
      <c r="D349" s="220" t="s">
        <v>1495</v>
      </c>
      <c r="E349" s="220">
        <v>815.1</v>
      </c>
      <c r="F349" s="220">
        <v>77.5</v>
      </c>
      <c r="G349" s="220">
        <v>2.2000000000000002</v>
      </c>
      <c r="H349" s="220"/>
      <c r="I349" s="220"/>
      <c r="J349" s="220"/>
      <c r="K349" s="220"/>
      <c r="L349" s="220"/>
    </row>
    <row r="350" spans="1:12" x14ac:dyDescent="0.2">
      <c r="A350" s="221"/>
      <c r="B350" s="222" t="s">
        <v>1498</v>
      </c>
      <c r="C350" s="223">
        <v>815.1</v>
      </c>
      <c r="D350" s="223" t="s">
        <v>1495</v>
      </c>
      <c r="E350" s="223">
        <v>815.1</v>
      </c>
      <c r="F350" s="223">
        <v>77.5</v>
      </c>
      <c r="G350" s="223">
        <v>0</v>
      </c>
      <c r="H350" s="223"/>
      <c r="I350" s="223"/>
      <c r="J350" s="223"/>
      <c r="K350" s="223"/>
      <c r="L350" s="223"/>
    </row>
    <row r="351" spans="1:12" x14ac:dyDescent="0.2">
      <c r="A351" s="218"/>
      <c r="B351" s="224" t="s">
        <v>1499</v>
      </c>
      <c r="C351" s="220">
        <v>820.5</v>
      </c>
      <c r="D351" s="220" t="s">
        <v>1495</v>
      </c>
      <c r="E351" s="220">
        <v>820.5</v>
      </c>
      <c r="F351" s="220">
        <v>77.900000000000006</v>
      </c>
      <c r="G351" s="220">
        <v>5.4</v>
      </c>
      <c r="H351" s="220"/>
      <c r="I351" s="220"/>
      <c r="J351" s="220"/>
      <c r="K351" s="220"/>
      <c r="L351" s="220"/>
    </row>
    <row r="352" spans="1:12" x14ac:dyDescent="0.2">
      <c r="A352" s="221"/>
      <c r="B352" s="222" t="s">
        <v>1500</v>
      </c>
      <c r="C352" s="223">
        <v>826.6</v>
      </c>
      <c r="D352" s="223" t="s">
        <v>1501</v>
      </c>
      <c r="E352" s="223">
        <v>826.6</v>
      </c>
      <c r="F352" s="223">
        <v>78.400000000000006</v>
      </c>
      <c r="G352" s="223">
        <v>6.1</v>
      </c>
      <c r="H352" s="223"/>
      <c r="I352" s="223"/>
      <c r="J352" s="223"/>
      <c r="K352" s="223"/>
      <c r="L352" s="223"/>
    </row>
    <row r="353" spans="1:12" x14ac:dyDescent="0.2">
      <c r="A353" s="218"/>
      <c r="B353" s="224" t="s">
        <v>122</v>
      </c>
      <c r="C353" s="220">
        <v>827.5</v>
      </c>
      <c r="D353" s="220" t="s">
        <v>1501</v>
      </c>
      <c r="E353" s="220">
        <v>827.5</v>
      </c>
      <c r="F353" s="220">
        <v>78.5</v>
      </c>
      <c r="G353" s="220">
        <v>1</v>
      </c>
      <c r="H353" s="220"/>
      <c r="I353" s="220"/>
      <c r="J353" s="220"/>
      <c r="K353" s="220"/>
      <c r="L353" s="220"/>
    </row>
    <row r="354" spans="1:12" x14ac:dyDescent="0.2">
      <c r="A354" s="221"/>
      <c r="B354" s="222" t="s">
        <v>1502</v>
      </c>
      <c r="C354" s="223">
        <v>832.2</v>
      </c>
      <c r="D354" s="223" t="s">
        <v>1501</v>
      </c>
      <c r="E354" s="223">
        <v>832.2</v>
      </c>
      <c r="F354" s="223">
        <v>78.900000000000006</v>
      </c>
      <c r="G354" s="223">
        <v>4.7</v>
      </c>
      <c r="H354" s="223"/>
      <c r="I354" s="223"/>
      <c r="J354" s="223"/>
      <c r="K354" s="223"/>
      <c r="L354" s="223"/>
    </row>
    <row r="355" spans="1:12" x14ac:dyDescent="0.2">
      <c r="A355" s="218"/>
      <c r="B355" s="224" t="s">
        <v>1503</v>
      </c>
      <c r="C355" s="220">
        <v>832.3</v>
      </c>
      <c r="D355" s="220" t="s">
        <v>1501</v>
      </c>
      <c r="E355" s="220">
        <v>832.3</v>
      </c>
      <c r="F355" s="220">
        <v>78.900000000000006</v>
      </c>
      <c r="G355" s="220">
        <v>0</v>
      </c>
      <c r="H355" s="220"/>
      <c r="I355" s="220"/>
      <c r="J355" s="220"/>
      <c r="K355" s="220"/>
      <c r="L355" s="220"/>
    </row>
    <row r="356" spans="1:12" x14ac:dyDescent="0.2">
      <c r="A356" s="221"/>
      <c r="B356" s="222" t="s">
        <v>123</v>
      </c>
      <c r="C356" s="223">
        <v>835.1</v>
      </c>
      <c r="D356" s="223" t="s">
        <v>1504</v>
      </c>
      <c r="E356" s="223">
        <v>835.1</v>
      </c>
      <c r="F356" s="223">
        <v>79.099999999999994</v>
      </c>
      <c r="G356" s="223">
        <v>2.8</v>
      </c>
      <c r="H356" s="223"/>
      <c r="I356" s="223"/>
      <c r="J356" s="223"/>
      <c r="K356" s="223"/>
      <c r="L356" s="223"/>
    </row>
    <row r="357" spans="1:12" x14ac:dyDescent="0.2">
      <c r="A357" s="218"/>
      <c r="B357" s="224" t="s">
        <v>124</v>
      </c>
      <c r="C357" s="220">
        <v>841.1</v>
      </c>
      <c r="D357" s="220" t="s">
        <v>1504</v>
      </c>
      <c r="E357" s="220">
        <v>841.1</v>
      </c>
      <c r="F357" s="220">
        <v>79.599999999999994</v>
      </c>
      <c r="G357" s="220">
        <v>6</v>
      </c>
      <c r="H357" s="220"/>
      <c r="I357" s="220"/>
      <c r="J357" s="220"/>
      <c r="K357" s="220"/>
      <c r="L357" s="220"/>
    </row>
    <row r="358" spans="1:12" x14ac:dyDescent="0.2">
      <c r="A358" s="221"/>
      <c r="B358" s="222" t="s">
        <v>1505</v>
      </c>
      <c r="C358" s="223">
        <v>842.8</v>
      </c>
      <c r="D358" s="223" t="s">
        <v>1504</v>
      </c>
      <c r="E358" s="223">
        <v>842.8</v>
      </c>
      <c r="F358" s="223">
        <v>79.7</v>
      </c>
      <c r="G358" s="223">
        <v>1.7</v>
      </c>
      <c r="H358" s="223"/>
      <c r="I358" s="223"/>
      <c r="J358" s="223"/>
      <c r="K358" s="223"/>
      <c r="L358" s="223"/>
    </row>
    <row r="359" spans="1:12" x14ac:dyDescent="0.2">
      <c r="A359" s="218"/>
      <c r="B359" s="224" t="s">
        <v>1506</v>
      </c>
      <c r="C359" s="220">
        <v>842.8</v>
      </c>
      <c r="D359" s="220" t="s">
        <v>1504</v>
      </c>
      <c r="E359" s="220">
        <v>842.8</v>
      </c>
      <c r="F359" s="220">
        <v>79.7</v>
      </c>
      <c r="G359" s="220">
        <v>0</v>
      </c>
      <c r="H359" s="220"/>
      <c r="I359" s="220"/>
      <c r="J359" s="220"/>
      <c r="K359" s="220"/>
      <c r="L359" s="220"/>
    </row>
    <row r="360" spans="1:12" ht="22.5" x14ac:dyDescent="0.2">
      <c r="A360" s="221"/>
      <c r="B360" s="222" t="s">
        <v>1507</v>
      </c>
      <c r="C360" s="223">
        <v>843.4</v>
      </c>
      <c r="D360" s="223" t="s">
        <v>1504</v>
      </c>
      <c r="E360" s="223">
        <v>843.4</v>
      </c>
      <c r="F360" s="223">
        <v>79.8</v>
      </c>
      <c r="G360" s="223">
        <v>0.5</v>
      </c>
      <c r="H360" s="223"/>
      <c r="I360" s="223"/>
      <c r="J360" s="223"/>
      <c r="K360" s="223"/>
      <c r="L360" s="223"/>
    </row>
    <row r="361" spans="1:12" x14ac:dyDescent="0.2">
      <c r="A361" s="218"/>
      <c r="B361" s="224" t="s">
        <v>1508</v>
      </c>
      <c r="C361" s="220">
        <v>847.7</v>
      </c>
      <c r="D361" s="220" t="s">
        <v>1509</v>
      </c>
      <c r="E361" s="220">
        <v>847.7</v>
      </c>
      <c r="F361" s="220">
        <v>80.099999999999994</v>
      </c>
      <c r="G361" s="220">
        <v>4.3</v>
      </c>
      <c r="H361" s="220"/>
      <c r="I361" s="220"/>
      <c r="J361" s="220"/>
      <c r="K361" s="220"/>
      <c r="L361" s="220"/>
    </row>
    <row r="362" spans="1:12" ht="33.75" x14ac:dyDescent="0.2">
      <c r="A362" s="221"/>
      <c r="B362" s="222" t="s">
        <v>1510</v>
      </c>
      <c r="C362" s="223">
        <v>848.9</v>
      </c>
      <c r="D362" s="223" t="s">
        <v>1509</v>
      </c>
      <c r="E362" s="223">
        <v>848.9</v>
      </c>
      <c r="F362" s="223">
        <v>80.2</v>
      </c>
      <c r="G362" s="223">
        <v>1.2</v>
      </c>
      <c r="H362" s="223"/>
      <c r="I362" s="223"/>
      <c r="J362" s="223"/>
      <c r="K362" s="223"/>
      <c r="L362" s="223"/>
    </row>
    <row r="363" spans="1:12" ht="22.5" x14ac:dyDescent="0.2">
      <c r="A363" s="218"/>
      <c r="B363" s="224" t="s">
        <v>1511</v>
      </c>
      <c r="C363" s="220">
        <v>854.5</v>
      </c>
      <c r="D363" s="220" t="s">
        <v>1509</v>
      </c>
      <c r="E363" s="220">
        <v>854.5</v>
      </c>
      <c r="F363" s="220">
        <v>80.599999999999994</v>
      </c>
      <c r="G363" s="220">
        <v>5.6</v>
      </c>
      <c r="H363" s="220"/>
      <c r="I363" s="220"/>
      <c r="J363" s="220"/>
      <c r="K363" s="220"/>
      <c r="L363" s="220"/>
    </row>
    <row r="364" spans="1:12" x14ac:dyDescent="0.2">
      <c r="A364" s="221"/>
      <c r="B364" s="222" t="s">
        <v>1512</v>
      </c>
      <c r="C364" s="223">
        <v>857</v>
      </c>
      <c r="D364" s="223" t="s">
        <v>1509</v>
      </c>
      <c r="E364" s="223">
        <v>856.9</v>
      </c>
      <c r="F364" s="223">
        <v>80.8</v>
      </c>
      <c r="G364" s="223">
        <v>2.5</v>
      </c>
      <c r="H364" s="223"/>
      <c r="I364" s="223"/>
      <c r="J364" s="223"/>
      <c r="K364" s="223"/>
      <c r="L364" s="223"/>
    </row>
    <row r="365" spans="1:12" x14ac:dyDescent="0.2">
      <c r="A365" s="218"/>
      <c r="B365" s="224" t="s">
        <v>1513</v>
      </c>
      <c r="C365" s="220">
        <v>861.9</v>
      </c>
      <c r="D365" s="220" t="s">
        <v>1514</v>
      </c>
      <c r="E365" s="220">
        <v>861.9</v>
      </c>
      <c r="F365" s="220">
        <v>81.2</v>
      </c>
      <c r="G365" s="220">
        <v>5</v>
      </c>
      <c r="H365" s="220"/>
      <c r="I365" s="220"/>
      <c r="J365" s="220"/>
      <c r="K365" s="220"/>
      <c r="L365" s="220"/>
    </row>
    <row r="366" spans="1:12" ht="54" customHeight="1" x14ac:dyDescent="0.2">
      <c r="A366" s="228"/>
      <c r="B366" s="229" t="s">
        <v>1515</v>
      </c>
      <c r="C366" s="230">
        <v>862</v>
      </c>
      <c r="D366" s="223" t="s">
        <v>1514</v>
      </c>
      <c r="E366" s="230">
        <v>861.9</v>
      </c>
      <c r="F366" s="230">
        <v>81.3</v>
      </c>
      <c r="G366" s="230">
        <v>0</v>
      </c>
      <c r="H366" s="230">
        <v>77.2</v>
      </c>
      <c r="I366" s="230">
        <v>6.2</v>
      </c>
      <c r="J366" s="230">
        <v>12.5</v>
      </c>
      <c r="K366" s="230">
        <v>6.3</v>
      </c>
      <c r="L366" s="230"/>
    </row>
    <row r="367" spans="1:12" x14ac:dyDescent="0.2">
      <c r="A367" s="228"/>
      <c r="B367" s="229"/>
      <c r="C367" s="230"/>
      <c r="D367" s="223" t="s">
        <v>1514</v>
      </c>
      <c r="E367" s="230"/>
      <c r="F367" s="230"/>
      <c r="G367" s="230"/>
      <c r="H367" s="230"/>
      <c r="I367" s="230"/>
      <c r="J367" s="230"/>
      <c r="K367" s="230"/>
      <c r="L367" s="230"/>
    </row>
    <row r="368" spans="1:12" ht="22.5" x14ac:dyDescent="0.2">
      <c r="A368" s="218"/>
      <c r="B368" s="224" t="s">
        <v>1516</v>
      </c>
      <c r="C368" s="220">
        <v>865.6</v>
      </c>
      <c r="D368" s="220" t="s">
        <v>1514</v>
      </c>
      <c r="E368" s="220">
        <v>865.6</v>
      </c>
      <c r="F368" s="220">
        <v>82</v>
      </c>
      <c r="G368" s="220">
        <v>3.6</v>
      </c>
      <c r="H368" s="220"/>
      <c r="I368" s="220"/>
      <c r="J368" s="220"/>
      <c r="K368" s="220"/>
      <c r="L368" s="220"/>
    </row>
    <row r="369" spans="1:12" ht="22.5" x14ac:dyDescent="0.2">
      <c r="A369" s="221"/>
      <c r="B369" s="222" t="s">
        <v>1517</v>
      </c>
      <c r="C369" s="223">
        <v>867.5</v>
      </c>
      <c r="D369" s="223" t="s">
        <v>1518</v>
      </c>
      <c r="E369" s="223">
        <v>867.5</v>
      </c>
      <c r="F369" s="223">
        <v>82.1</v>
      </c>
      <c r="G369" s="223">
        <v>1.9</v>
      </c>
      <c r="H369" s="223"/>
      <c r="I369" s="223"/>
      <c r="J369" s="223"/>
      <c r="K369" s="223"/>
      <c r="L369" s="223"/>
    </row>
    <row r="370" spans="1:12" x14ac:dyDescent="0.2">
      <c r="A370" s="218"/>
      <c r="B370" s="224" t="s">
        <v>125</v>
      </c>
      <c r="C370" s="220">
        <v>869.6</v>
      </c>
      <c r="D370" s="220" t="s">
        <v>1518</v>
      </c>
      <c r="E370" s="220">
        <v>869.6</v>
      </c>
      <c r="F370" s="220">
        <v>82.3</v>
      </c>
      <c r="G370" s="220">
        <v>2.2000000000000002</v>
      </c>
      <c r="H370" s="220"/>
      <c r="I370" s="220"/>
      <c r="J370" s="220"/>
      <c r="K370" s="220"/>
      <c r="L370" s="220"/>
    </row>
    <row r="371" spans="1:12" ht="22.5" x14ac:dyDescent="0.2">
      <c r="A371" s="221"/>
      <c r="B371" s="222" t="s">
        <v>1519</v>
      </c>
      <c r="C371" s="223">
        <v>872.5</v>
      </c>
      <c r="D371" s="223" t="s">
        <v>1518</v>
      </c>
      <c r="E371" s="223">
        <v>872.4</v>
      </c>
      <c r="F371" s="223">
        <v>82.5</v>
      </c>
      <c r="G371" s="223">
        <v>2.8</v>
      </c>
      <c r="H371" s="223"/>
      <c r="I371" s="223"/>
      <c r="J371" s="223"/>
      <c r="K371" s="223"/>
      <c r="L371" s="223"/>
    </row>
    <row r="372" spans="1:12" ht="22.5" x14ac:dyDescent="0.2">
      <c r="A372" s="218"/>
      <c r="B372" s="224" t="s">
        <v>1520</v>
      </c>
      <c r="C372" s="220">
        <v>874.1</v>
      </c>
      <c r="D372" s="220" t="s">
        <v>1518</v>
      </c>
      <c r="E372" s="220">
        <v>874.1</v>
      </c>
      <c r="F372" s="220">
        <v>82.6</v>
      </c>
      <c r="G372" s="220">
        <v>1.6</v>
      </c>
      <c r="H372" s="220"/>
      <c r="I372" s="220"/>
      <c r="J372" s="220"/>
      <c r="K372" s="220"/>
      <c r="L372" s="220"/>
    </row>
    <row r="373" spans="1:12" ht="22.5" x14ac:dyDescent="0.2">
      <c r="A373" s="221"/>
      <c r="B373" s="222" t="s">
        <v>1521</v>
      </c>
      <c r="C373" s="223">
        <v>876.1</v>
      </c>
      <c r="D373" s="223" t="s">
        <v>1518</v>
      </c>
      <c r="E373" s="223">
        <v>876.1</v>
      </c>
      <c r="F373" s="223">
        <v>82.7</v>
      </c>
      <c r="G373" s="223">
        <v>2</v>
      </c>
      <c r="H373" s="223"/>
      <c r="I373" s="223"/>
      <c r="J373" s="223"/>
      <c r="K373" s="223"/>
      <c r="L373" s="223"/>
    </row>
    <row r="374" spans="1:12" x14ac:dyDescent="0.2">
      <c r="A374" s="218"/>
      <c r="B374" s="224" t="s">
        <v>1522</v>
      </c>
      <c r="C374" s="220">
        <v>879.1</v>
      </c>
      <c r="D374" s="220" t="s">
        <v>1518</v>
      </c>
      <c r="E374" s="220">
        <v>879.1</v>
      </c>
      <c r="F374" s="220">
        <v>82.9</v>
      </c>
      <c r="G374" s="220">
        <v>3</v>
      </c>
      <c r="H374" s="220"/>
      <c r="I374" s="220"/>
      <c r="J374" s="220"/>
      <c r="K374" s="220"/>
      <c r="L374" s="220"/>
    </row>
    <row r="375" spans="1:12" ht="22.5" x14ac:dyDescent="0.2">
      <c r="A375" s="221"/>
      <c r="B375" s="222" t="s">
        <v>1523</v>
      </c>
      <c r="C375" s="223">
        <v>882.1</v>
      </c>
      <c r="D375" s="223" t="s">
        <v>1524</v>
      </c>
      <c r="E375" s="223">
        <v>882.1</v>
      </c>
      <c r="F375" s="223">
        <v>83.1</v>
      </c>
      <c r="G375" s="223">
        <v>3</v>
      </c>
      <c r="H375" s="223"/>
      <c r="I375" s="223"/>
      <c r="J375" s="223"/>
      <c r="K375" s="223"/>
      <c r="L375" s="223"/>
    </row>
    <row r="376" spans="1:12" x14ac:dyDescent="0.2">
      <c r="A376" s="218"/>
      <c r="B376" s="224" t="s">
        <v>1525</v>
      </c>
      <c r="C376" s="220">
        <v>882.8</v>
      </c>
      <c r="D376" s="220" t="s">
        <v>1524</v>
      </c>
      <c r="E376" s="220">
        <v>882.8</v>
      </c>
      <c r="F376" s="220">
        <v>83.1</v>
      </c>
      <c r="G376" s="220">
        <v>0.7</v>
      </c>
      <c r="H376" s="220"/>
      <c r="I376" s="220"/>
      <c r="J376" s="220"/>
      <c r="K376" s="220"/>
      <c r="L376" s="220"/>
    </row>
    <row r="377" spans="1:12" ht="22.5" x14ac:dyDescent="0.2">
      <c r="A377" s="221"/>
      <c r="B377" s="222" t="s">
        <v>1526</v>
      </c>
      <c r="C377" s="223">
        <v>883.9</v>
      </c>
      <c r="D377" s="223" t="s">
        <v>1524</v>
      </c>
      <c r="E377" s="223">
        <v>883.9</v>
      </c>
      <c r="F377" s="223">
        <v>83.2</v>
      </c>
      <c r="G377" s="223">
        <v>1.1000000000000001</v>
      </c>
      <c r="H377" s="223"/>
      <c r="I377" s="223"/>
      <c r="J377" s="223"/>
      <c r="K377" s="223"/>
      <c r="L377" s="223"/>
    </row>
    <row r="378" spans="1:12" ht="22.5" x14ac:dyDescent="0.2">
      <c r="A378" s="218"/>
      <c r="B378" s="224" t="s">
        <v>1527</v>
      </c>
      <c r="C378" s="220">
        <v>884.6</v>
      </c>
      <c r="D378" s="220" t="s">
        <v>1524</v>
      </c>
      <c r="E378" s="220">
        <v>884.6</v>
      </c>
      <c r="F378" s="220">
        <v>83.3</v>
      </c>
      <c r="G378" s="220">
        <v>0.7</v>
      </c>
      <c r="H378" s="220"/>
      <c r="I378" s="220"/>
      <c r="J378" s="220"/>
      <c r="K378" s="220"/>
      <c r="L378" s="220"/>
    </row>
    <row r="379" spans="1:12" ht="22.5" x14ac:dyDescent="0.2">
      <c r="A379" s="221"/>
      <c r="B379" s="222" t="s">
        <v>1528</v>
      </c>
      <c r="C379" s="223">
        <v>886</v>
      </c>
      <c r="D379" s="223" t="s">
        <v>1524</v>
      </c>
      <c r="E379" s="223">
        <v>886</v>
      </c>
      <c r="F379" s="223">
        <v>83.4</v>
      </c>
      <c r="G379" s="223">
        <v>1.3</v>
      </c>
      <c r="H379" s="223"/>
      <c r="I379" s="223"/>
      <c r="J379" s="223"/>
      <c r="K379" s="223"/>
      <c r="L379" s="223"/>
    </row>
    <row r="380" spans="1:12" ht="22.5" x14ac:dyDescent="0.2">
      <c r="A380" s="218"/>
      <c r="B380" s="224" t="s">
        <v>1529</v>
      </c>
      <c r="C380" s="220">
        <v>887.3</v>
      </c>
      <c r="D380" s="220" t="s">
        <v>1524</v>
      </c>
      <c r="E380" s="220">
        <v>887.3</v>
      </c>
      <c r="F380" s="220">
        <v>83.4</v>
      </c>
      <c r="G380" s="220">
        <v>1.3</v>
      </c>
      <c r="H380" s="220"/>
      <c r="I380" s="220"/>
      <c r="J380" s="220"/>
      <c r="K380" s="220"/>
      <c r="L380" s="220"/>
    </row>
    <row r="381" spans="1:12" ht="22.5" x14ac:dyDescent="0.2">
      <c r="A381" s="221"/>
      <c r="B381" s="222" t="s">
        <v>1530</v>
      </c>
      <c r="C381" s="223">
        <v>888.1</v>
      </c>
      <c r="D381" s="223" t="s">
        <v>1524</v>
      </c>
      <c r="E381" s="223">
        <v>888.1</v>
      </c>
      <c r="F381" s="223">
        <v>83.5</v>
      </c>
      <c r="G381" s="223">
        <v>0.8</v>
      </c>
      <c r="H381" s="223"/>
      <c r="I381" s="223"/>
      <c r="J381" s="223"/>
      <c r="K381" s="223"/>
      <c r="L381" s="223"/>
    </row>
    <row r="382" spans="1:12" ht="22.5" x14ac:dyDescent="0.2">
      <c r="A382" s="218"/>
      <c r="B382" s="224" t="s">
        <v>1531</v>
      </c>
      <c r="C382" s="220">
        <v>894.5</v>
      </c>
      <c r="D382" s="220" t="s">
        <v>1524</v>
      </c>
      <c r="E382" s="220">
        <v>894.5</v>
      </c>
      <c r="F382" s="220">
        <v>83.9</v>
      </c>
      <c r="G382" s="220">
        <v>6.4</v>
      </c>
      <c r="H382" s="220"/>
      <c r="I382" s="220"/>
      <c r="J382" s="220"/>
      <c r="K382" s="220"/>
      <c r="L382" s="220"/>
    </row>
    <row r="383" spans="1:12" x14ac:dyDescent="0.2">
      <c r="A383" s="221"/>
      <c r="B383" s="222" t="s">
        <v>1532</v>
      </c>
      <c r="C383" s="223">
        <v>896.1</v>
      </c>
      <c r="D383" s="223" t="s">
        <v>1533</v>
      </c>
      <c r="E383" s="223">
        <v>896.1</v>
      </c>
      <c r="F383" s="223">
        <v>84</v>
      </c>
      <c r="G383" s="223">
        <v>1.6</v>
      </c>
      <c r="H383" s="223"/>
      <c r="I383" s="223"/>
      <c r="J383" s="223"/>
      <c r="K383" s="223"/>
      <c r="L383" s="223"/>
    </row>
    <row r="384" spans="1:12" ht="22.5" x14ac:dyDescent="0.2">
      <c r="A384" s="218"/>
      <c r="B384" s="224" t="s">
        <v>1534</v>
      </c>
      <c r="C384" s="220">
        <v>898.3</v>
      </c>
      <c r="D384" s="220" t="s">
        <v>1533</v>
      </c>
      <c r="E384" s="220">
        <v>898.3</v>
      </c>
      <c r="F384" s="220">
        <v>84.2</v>
      </c>
      <c r="G384" s="220">
        <v>2.2000000000000002</v>
      </c>
      <c r="H384" s="220"/>
      <c r="I384" s="220"/>
      <c r="J384" s="220"/>
      <c r="K384" s="220"/>
      <c r="L384" s="220"/>
    </row>
    <row r="385" spans="1:12" x14ac:dyDescent="0.2">
      <c r="A385" s="221"/>
      <c r="B385" s="222" t="s">
        <v>1535</v>
      </c>
      <c r="C385" s="223">
        <v>898.3</v>
      </c>
      <c r="D385" s="223" t="s">
        <v>1533</v>
      </c>
      <c r="E385" s="223">
        <v>898.3</v>
      </c>
      <c r="F385" s="223">
        <v>84.2</v>
      </c>
      <c r="G385" s="223">
        <v>0</v>
      </c>
      <c r="H385" s="223"/>
      <c r="I385" s="223"/>
      <c r="J385" s="223"/>
      <c r="K385" s="223"/>
      <c r="L385" s="223"/>
    </row>
    <row r="386" spans="1:12" ht="22.5" x14ac:dyDescent="0.2">
      <c r="A386" s="218"/>
      <c r="B386" s="224" t="s">
        <v>1536</v>
      </c>
      <c r="C386" s="220">
        <v>903.2</v>
      </c>
      <c r="D386" s="220" t="s">
        <v>1533</v>
      </c>
      <c r="E386" s="220">
        <v>903.2</v>
      </c>
      <c r="F386" s="220">
        <v>84.5</v>
      </c>
      <c r="G386" s="220">
        <v>4.9000000000000004</v>
      </c>
      <c r="H386" s="220"/>
      <c r="I386" s="220"/>
      <c r="J386" s="220"/>
      <c r="K386" s="220"/>
      <c r="L386" s="220"/>
    </row>
    <row r="387" spans="1:12" x14ac:dyDescent="0.2">
      <c r="A387" s="221"/>
      <c r="B387" s="222" t="s">
        <v>1537</v>
      </c>
      <c r="C387" s="223">
        <v>904.5</v>
      </c>
      <c r="D387" s="223" t="s">
        <v>1533</v>
      </c>
      <c r="E387" s="223">
        <v>904.5</v>
      </c>
      <c r="F387" s="223">
        <v>84.6</v>
      </c>
      <c r="G387" s="223">
        <v>1.3</v>
      </c>
      <c r="H387" s="223"/>
      <c r="I387" s="223"/>
      <c r="J387" s="223"/>
      <c r="K387" s="223"/>
      <c r="L387" s="223"/>
    </row>
    <row r="388" spans="1:12" ht="22.5" x14ac:dyDescent="0.2">
      <c r="A388" s="218"/>
      <c r="B388" s="224" t="s">
        <v>1538</v>
      </c>
      <c r="C388" s="220">
        <v>906.6</v>
      </c>
      <c r="D388" s="220" t="s">
        <v>1533</v>
      </c>
      <c r="E388" s="220">
        <v>906.6</v>
      </c>
      <c r="F388" s="220">
        <v>84.7</v>
      </c>
      <c r="G388" s="220">
        <v>2.1</v>
      </c>
      <c r="H388" s="220"/>
      <c r="I388" s="220"/>
      <c r="J388" s="220"/>
      <c r="K388" s="220"/>
      <c r="L388" s="220"/>
    </row>
    <row r="389" spans="1:12" x14ac:dyDescent="0.2">
      <c r="A389" s="221"/>
      <c r="B389" s="222" t="s">
        <v>1539</v>
      </c>
      <c r="C389" s="223">
        <v>907.8</v>
      </c>
      <c r="D389" s="223" t="s">
        <v>1533</v>
      </c>
      <c r="E389" s="223">
        <v>907.8</v>
      </c>
      <c r="F389" s="223">
        <v>84.8</v>
      </c>
      <c r="G389" s="223">
        <v>1.2</v>
      </c>
      <c r="H389" s="223"/>
      <c r="I389" s="223"/>
      <c r="J389" s="223"/>
      <c r="K389" s="223"/>
      <c r="L389" s="223"/>
    </row>
    <row r="390" spans="1:12" x14ac:dyDescent="0.2">
      <c r="A390" s="218"/>
      <c r="B390" s="224" t="s">
        <v>1540</v>
      </c>
      <c r="C390" s="220">
        <v>914.4</v>
      </c>
      <c r="D390" s="220" t="s">
        <v>1541</v>
      </c>
      <c r="E390" s="220">
        <v>914.4</v>
      </c>
      <c r="F390" s="220">
        <v>85.2</v>
      </c>
      <c r="G390" s="220">
        <v>6.5</v>
      </c>
      <c r="H390" s="220"/>
      <c r="I390" s="220"/>
      <c r="J390" s="220"/>
      <c r="K390" s="220"/>
      <c r="L390" s="220"/>
    </row>
    <row r="391" spans="1:12" ht="22.5" x14ac:dyDescent="0.2">
      <c r="A391" s="221"/>
      <c r="B391" s="222" t="s">
        <v>1542</v>
      </c>
      <c r="C391" s="223">
        <v>917.2</v>
      </c>
      <c r="D391" s="223" t="s">
        <v>1541</v>
      </c>
      <c r="E391" s="223">
        <v>917.2</v>
      </c>
      <c r="F391" s="223">
        <v>85.4</v>
      </c>
      <c r="G391" s="223">
        <v>2.8</v>
      </c>
      <c r="H391" s="223"/>
      <c r="I391" s="223"/>
      <c r="J391" s="223"/>
      <c r="K391" s="223"/>
      <c r="L391" s="223"/>
    </row>
    <row r="392" spans="1:12" x14ac:dyDescent="0.2">
      <c r="A392" s="218"/>
      <c r="B392" s="224" t="s">
        <v>1543</v>
      </c>
      <c r="C392" s="220">
        <v>917.4</v>
      </c>
      <c r="D392" s="220" t="s">
        <v>1541</v>
      </c>
      <c r="E392" s="220">
        <v>917.4</v>
      </c>
      <c r="F392" s="220">
        <v>85.4</v>
      </c>
      <c r="G392" s="220">
        <v>0.2</v>
      </c>
      <c r="H392" s="220"/>
      <c r="I392" s="220"/>
      <c r="J392" s="220"/>
      <c r="K392" s="220"/>
      <c r="L392" s="220"/>
    </row>
    <row r="393" spans="1:12" ht="22.5" x14ac:dyDescent="0.2">
      <c r="A393" s="221"/>
      <c r="B393" s="222" t="s">
        <v>1544</v>
      </c>
      <c r="C393" s="223">
        <v>918.4</v>
      </c>
      <c r="D393" s="223" t="s">
        <v>1541</v>
      </c>
      <c r="E393" s="223">
        <v>918.4</v>
      </c>
      <c r="F393" s="223">
        <v>85.5</v>
      </c>
      <c r="G393" s="223">
        <v>1</v>
      </c>
      <c r="H393" s="223"/>
      <c r="I393" s="223"/>
      <c r="J393" s="223"/>
      <c r="K393" s="223"/>
      <c r="L393" s="223"/>
    </row>
    <row r="394" spans="1:12" ht="22.5" x14ac:dyDescent="0.2">
      <c r="A394" s="218"/>
      <c r="B394" s="224" t="s">
        <v>1545</v>
      </c>
      <c r="C394" s="220">
        <v>919.8</v>
      </c>
      <c r="D394" s="220" t="s">
        <v>1541</v>
      </c>
      <c r="E394" s="220">
        <v>919.8</v>
      </c>
      <c r="F394" s="220">
        <v>85.6</v>
      </c>
      <c r="G394" s="220">
        <v>1.4</v>
      </c>
      <c r="H394" s="220"/>
      <c r="I394" s="220"/>
      <c r="J394" s="220"/>
      <c r="K394" s="220"/>
      <c r="L394" s="220"/>
    </row>
    <row r="395" spans="1:12" ht="22.5" x14ac:dyDescent="0.2">
      <c r="A395" s="221"/>
      <c r="B395" s="222" t="s">
        <v>1546</v>
      </c>
      <c r="C395" s="223">
        <v>922.8</v>
      </c>
      <c r="D395" s="223" t="s">
        <v>1541</v>
      </c>
      <c r="E395" s="223">
        <v>922.8</v>
      </c>
      <c r="F395" s="223">
        <v>85.8</v>
      </c>
      <c r="G395" s="223">
        <v>3</v>
      </c>
      <c r="H395" s="223"/>
      <c r="I395" s="223"/>
      <c r="J395" s="223"/>
      <c r="K395" s="223"/>
      <c r="L395" s="223"/>
    </row>
    <row r="396" spans="1:12" ht="22.5" x14ac:dyDescent="0.2">
      <c r="A396" s="218"/>
      <c r="B396" s="224" t="s">
        <v>1547</v>
      </c>
      <c r="C396" s="220">
        <v>924.3</v>
      </c>
      <c r="D396" s="220" t="s">
        <v>1541</v>
      </c>
      <c r="E396" s="220">
        <v>924.3</v>
      </c>
      <c r="F396" s="220">
        <v>85.9</v>
      </c>
      <c r="G396" s="220">
        <v>1.5</v>
      </c>
      <c r="H396" s="220"/>
      <c r="I396" s="220"/>
      <c r="J396" s="220"/>
      <c r="K396" s="220"/>
      <c r="L396" s="220"/>
    </row>
    <row r="397" spans="1:12" x14ac:dyDescent="0.2">
      <c r="A397" s="221"/>
      <c r="B397" s="222" t="s">
        <v>1548</v>
      </c>
      <c r="C397" s="223">
        <v>928.9</v>
      </c>
      <c r="D397" s="223" t="s">
        <v>1549</v>
      </c>
      <c r="E397" s="223">
        <v>928.9</v>
      </c>
      <c r="F397" s="223">
        <v>86.2</v>
      </c>
      <c r="G397" s="223">
        <v>4.5999999999999996</v>
      </c>
      <c r="H397" s="223"/>
      <c r="I397" s="223"/>
      <c r="J397" s="223"/>
      <c r="K397" s="223"/>
      <c r="L397" s="223"/>
    </row>
    <row r="398" spans="1:12" ht="22.5" x14ac:dyDescent="0.2">
      <c r="A398" s="218"/>
      <c r="B398" s="224" t="s">
        <v>1550</v>
      </c>
      <c r="C398" s="220">
        <v>930.3</v>
      </c>
      <c r="D398" s="220" t="s">
        <v>1549</v>
      </c>
      <c r="E398" s="220">
        <v>930.3</v>
      </c>
      <c r="F398" s="220">
        <v>86.3</v>
      </c>
      <c r="G398" s="220">
        <v>1.4</v>
      </c>
      <c r="H398" s="220"/>
      <c r="I398" s="220"/>
      <c r="J398" s="220"/>
      <c r="K398" s="220"/>
      <c r="L398" s="220"/>
    </row>
    <row r="399" spans="1:12" ht="22.5" x14ac:dyDescent="0.2">
      <c r="A399" s="221"/>
      <c r="B399" s="222" t="s">
        <v>1551</v>
      </c>
      <c r="C399" s="223">
        <v>932.9</v>
      </c>
      <c r="D399" s="223" t="s">
        <v>1549</v>
      </c>
      <c r="E399" s="223">
        <v>932.9</v>
      </c>
      <c r="F399" s="223">
        <v>86.5</v>
      </c>
      <c r="G399" s="223">
        <v>2.6</v>
      </c>
      <c r="H399" s="223"/>
      <c r="I399" s="223"/>
      <c r="J399" s="223"/>
      <c r="K399" s="223"/>
      <c r="L399" s="223"/>
    </row>
    <row r="400" spans="1:12" x14ac:dyDescent="0.2">
      <c r="A400" s="218"/>
      <c r="B400" s="224" t="s">
        <v>1552</v>
      </c>
      <c r="C400" s="220">
        <v>933.3</v>
      </c>
      <c r="D400" s="220" t="s">
        <v>1549</v>
      </c>
      <c r="E400" s="220">
        <v>933.3</v>
      </c>
      <c r="F400" s="220">
        <v>86.5</v>
      </c>
      <c r="G400" s="220">
        <v>0.4</v>
      </c>
      <c r="H400" s="220"/>
      <c r="I400" s="220"/>
      <c r="J400" s="220"/>
      <c r="K400" s="220"/>
      <c r="L400" s="220"/>
    </row>
    <row r="401" spans="1:12" ht="22.5" x14ac:dyDescent="0.2">
      <c r="A401" s="221"/>
      <c r="B401" s="222" t="s">
        <v>1553</v>
      </c>
      <c r="C401" s="223">
        <v>933.7</v>
      </c>
      <c r="D401" s="223" t="s">
        <v>1549</v>
      </c>
      <c r="E401" s="223">
        <v>933.7</v>
      </c>
      <c r="F401" s="223">
        <v>86.5</v>
      </c>
      <c r="G401" s="223">
        <v>0.5</v>
      </c>
      <c r="H401" s="223"/>
      <c r="I401" s="223"/>
      <c r="J401" s="223"/>
      <c r="K401" s="223"/>
      <c r="L401" s="223"/>
    </row>
    <row r="402" spans="1:12" ht="22.5" x14ac:dyDescent="0.2">
      <c r="A402" s="218"/>
      <c r="B402" s="224" t="s">
        <v>1554</v>
      </c>
      <c r="C402" s="220">
        <v>935.3</v>
      </c>
      <c r="D402" s="220" t="s">
        <v>1549</v>
      </c>
      <c r="E402" s="220">
        <v>935.3</v>
      </c>
      <c r="F402" s="220">
        <v>86.6</v>
      </c>
      <c r="G402" s="220">
        <v>1.6</v>
      </c>
      <c r="H402" s="220"/>
      <c r="I402" s="220"/>
      <c r="J402" s="220"/>
      <c r="K402" s="220"/>
      <c r="L402" s="220"/>
    </row>
    <row r="403" spans="1:12" x14ac:dyDescent="0.2">
      <c r="A403" s="221"/>
      <c r="B403" s="222" t="s">
        <v>1555</v>
      </c>
      <c r="C403" s="223">
        <v>940</v>
      </c>
      <c r="D403" s="223" t="s">
        <v>1549</v>
      </c>
      <c r="E403" s="223">
        <v>940</v>
      </c>
      <c r="F403" s="223">
        <v>87</v>
      </c>
      <c r="G403" s="223">
        <v>4.7</v>
      </c>
      <c r="H403" s="223"/>
      <c r="I403" s="223"/>
      <c r="J403" s="223"/>
      <c r="K403" s="223"/>
      <c r="L403" s="223"/>
    </row>
    <row r="404" spans="1:12" x14ac:dyDescent="0.2">
      <c r="A404" s="218"/>
      <c r="B404" s="224" t="s">
        <v>1556</v>
      </c>
      <c r="C404" s="220">
        <v>943</v>
      </c>
      <c r="D404" s="220" t="s">
        <v>1557</v>
      </c>
      <c r="E404" s="220">
        <v>943</v>
      </c>
      <c r="F404" s="220">
        <v>87.2</v>
      </c>
      <c r="G404" s="220">
        <v>3</v>
      </c>
      <c r="H404" s="220"/>
      <c r="I404" s="220"/>
      <c r="J404" s="220"/>
      <c r="K404" s="220"/>
      <c r="L404" s="220"/>
    </row>
    <row r="405" spans="1:12" x14ac:dyDescent="0.2">
      <c r="A405" s="228"/>
      <c r="B405" s="229" t="s">
        <v>1558</v>
      </c>
      <c r="C405" s="230">
        <v>943.3</v>
      </c>
      <c r="D405" s="223" t="s">
        <v>1557</v>
      </c>
      <c r="E405" s="230">
        <v>943.3</v>
      </c>
      <c r="F405" s="230">
        <v>87.2</v>
      </c>
      <c r="G405" s="230">
        <v>0.3</v>
      </c>
      <c r="H405" s="230">
        <v>81.3</v>
      </c>
      <c r="I405" s="230">
        <v>5.4</v>
      </c>
      <c r="J405" s="230">
        <v>15</v>
      </c>
      <c r="K405" s="230">
        <v>5</v>
      </c>
      <c r="L405" s="230"/>
    </row>
    <row r="406" spans="1:12" x14ac:dyDescent="0.2">
      <c r="A406" s="228"/>
      <c r="B406" s="229"/>
      <c r="C406" s="230"/>
      <c r="D406" s="223" t="s">
        <v>1557</v>
      </c>
      <c r="E406" s="230"/>
      <c r="F406" s="230"/>
      <c r="G406" s="230"/>
      <c r="H406" s="230"/>
      <c r="I406" s="230"/>
      <c r="J406" s="230"/>
      <c r="K406" s="230"/>
      <c r="L406" s="230"/>
    </row>
    <row r="407" spans="1:12" x14ac:dyDescent="0.2">
      <c r="A407" s="218"/>
      <c r="B407" s="224" t="s">
        <v>1559</v>
      </c>
      <c r="C407" s="220">
        <v>943.3</v>
      </c>
      <c r="D407" s="220" t="s">
        <v>1557</v>
      </c>
      <c r="E407" s="220">
        <v>943.3</v>
      </c>
      <c r="F407" s="220">
        <v>87.7</v>
      </c>
      <c r="G407" s="220">
        <v>0</v>
      </c>
      <c r="H407" s="220"/>
      <c r="I407" s="220"/>
      <c r="J407" s="220"/>
      <c r="K407" s="220"/>
      <c r="L407" s="220"/>
    </row>
    <row r="408" spans="1:12" x14ac:dyDescent="0.2">
      <c r="A408" s="221"/>
      <c r="B408" s="222" t="s">
        <v>1560</v>
      </c>
      <c r="C408" s="223">
        <v>944.7</v>
      </c>
      <c r="D408" s="223" t="s">
        <v>1557</v>
      </c>
      <c r="E408" s="223">
        <v>944.7</v>
      </c>
      <c r="F408" s="223">
        <v>87.8</v>
      </c>
      <c r="G408" s="223">
        <v>1.4</v>
      </c>
      <c r="H408" s="223"/>
      <c r="I408" s="223"/>
      <c r="J408" s="223"/>
      <c r="K408" s="223"/>
      <c r="L408" s="223"/>
    </row>
    <row r="409" spans="1:12" ht="22.5" x14ac:dyDescent="0.2">
      <c r="A409" s="218"/>
      <c r="B409" s="224" t="s">
        <v>1561</v>
      </c>
      <c r="C409" s="220">
        <v>946.5</v>
      </c>
      <c r="D409" s="220" t="s">
        <v>1557</v>
      </c>
      <c r="E409" s="220">
        <v>946.5</v>
      </c>
      <c r="F409" s="220">
        <v>87.9</v>
      </c>
      <c r="G409" s="220">
        <v>1.8</v>
      </c>
      <c r="H409" s="220"/>
      <c r="I409" s="220"/>
      <c r="J409" s="220"/>
      <c r="K409" s="220"/>
      <c r="L409" s="220"/>
    </row>
    <row r="410" spans="1:12" ht="22.5" x14ac:dyDescent="0.2">
      <c r="A410" s="221"/>
      <c r="B410" s="222" t="s">
        <v>1562</v>
      </c>
      <c r="C410" s="223">
        <v>952.1</v>
      </c>
      <c r="D410" s="223" t="s">
        <v>1563</v>
      </c>
      <c r="E410" s="223">
        <v>952.1</v>
      </c>
      <c r="F410" s="223">
        <v>88.2</v>
      </c>
      <c r="G410" s="223">
        <v>5.6</v>
      </c>
      <c r="H410" s="223"/>
      <c r="I410" s="223"/>
      <c r="J410" s="223"/>
      <c r="K410" s="223"/>
      <c r="L410" s="223"/>
    </row>
    <row r="411" spans="1:12" ht="22.5" x14ac:dyDescent="0.2">
      <c r="A411" s="218"/>
      <c r="B411" s="224" t="s">
        <v>1564</v>
      </c>
      <c r="C411" s="220">
        <v>954.6</v>
      </c>
      <c r="D411" s="220" t="s">
        <v>1563</v>
      </c>
      <c r="E411" s="220">
        <v>954.6</v>
      </c>
      <c r="F411" s="220">
        <v>88.4</v>
      </c>
      <c r="G411" s="220">
        <v>2.6</v>
      </c>
      <c r="H411" s="220"/>
      <c r="I411" s="220"/>
      <c r="J411" s="220"/>
      <c r="K411" s="220"/>
      <c r="L411" s="220"/>
    </row>
    <row r="412" spans="1:12" ht="22.5" x14ac:dyDescent="0.2">
      <c r="A412" s="221"/>
      <c r="B412" s="222" t="s">
        <v>1565</v>
      </c>
      <c r="C412" s="223">
        <v>956.2</v>
      </c>
      <c r="D412" s="223" t="s">
        <v>1563</v>
      </c>
      <c r="E412" s="223">
        <v>956.2</v>
      </c>
      <c r="F412" s="223">
        <v>88.5</v>
      </c>
      <c r="G412" s="223">
        <v>1.6</v>
      </c>
      <c r="H412" s="223"/>
      <c r="I412" s="223"/>
      <c r="J412" s="223"/>
      <c r="K412" s="223"/>
      <c r="L412" s="223"/>
    </row>
    <row r="413" spans="1:12" x14ac:dyDescent="0.2">
      <c r="A413" s="218"/>
      <c r="B413" s="224" t="s">
        <v>1566</v>
      </c>
      <c r="C413" s="220">
        <v>958</v>
      </c>
      <c r="D413" s="220" t="s">
        <v>1563</v>
      </c>
      <c r="E413" s="220">
        <v>958</v>
      </c>
      <c r="F413" s="220">
        <v>88.6</v>
      </c>
      <c r="G413" s="220">
        <v>1.8</v>
      </c>
      <c r="H413" s="220"/>
      <c r="I413" s="220"/>
      <c r="J413" s="220"/>
      <c r="K413" s="220"/>
      <c r="L413" s="220"/>
    </row>
    <row r="414" spans="1:12" ht="22.5" x14ac:dyDescent="0.2">
      <c r="A414" s="221"/>
      <c r="B414" s="222" t="s">
        <v>1567</v>
      </c>
      <c r="C414" s="223">
        <v>958.2</v>
      </c>
      <c r="D414" s="223" t="s">
        <v>1563</v>
      </c>
      <c r="E414" s="223">
        <v>958.2</v>
      </c>
      <c r="F414" s="223">
        <v>88.6</v>
      </c>
      <c r="G414" s="223">
        <v>0.2</v>
      </c>
      <c r="H414" s="223"/>
      <c r="I414" s="223"/>
      <c r="J414" s="223"/>
      <c r="K414" s="223"/>
      <c r="L414" s="223"/>
    </row>
    <row r="415" spans="1:12" ht="22.5" x14ac:dyDescent="0.2">
      <c r="A415" s="218"/>
      <c r="B415" s="224" t="s">
        <v>1568</v>
      </c>
      <c r="C415" s="220">
        <v>960</v>
      </c>
      <c r="D415" s="220" t="s">
        <v>1563</v>
      </c>
      <c r="E415" s="220">
        <v>960</v>
      </c>
      <c r="F415" s="220">
        <v>88.7</v>
      </c>
      <c r="G415" s="220">
        <v>1.7</v>
      </c>
      <c r="H415" s="220"/>
      <c r="I415" s="220"/>
      <c r="J415" s="220"/>
      <c r="K415" s="220"/>
      <c r="L415" s="220"/>
    </row>
    <row r="416" spans="1:12" ht="22.5" x14ac:dyDescent="0.2">
      <c r="A416" s="221"/>
      <c r="B416" s="222" t="s">
        <v>1569</v>
      </c>
      <c r="C416" s="223">
        <v>966</v>
      </c>
      <c r="D416" s="223" t="s">
        <v>1570</v>
      </c>
      <c r="E416" s="223">
        <v>966</v>
      </c>
      <c r="F416" s="223">
        <v>89.1</v>
      </c>
      <c r="G416" s="223">
        <v>6.1</v>
      </c>
      <c r="H416" s="223"/>
      <c r="I416" s="223"/>
      <c r="J416" s="223"/>
      <c r="K416" s="223"/>
      <c r="L416" s="223"/>
    </row>
    <row r="417" spans="1:12" x14ac:dyDescent="0.2">
      <c r="A417" s="218"/>
      <c r="B417" s="224" t="s">
        <v>1571</v>
      </c>
      <c r="C417" s="220">
        <v>968.2</v>
      </c>
      <c r="D417" s="220" t="s">
        <v>1570</v>
      </c>
      <c r="E417" s="220">
        <v>968.2</v>
      </c>
      <c r="F417" s="220">
        <v>89.2</v>
      </c>
      <c r="G417" s="220">
        <v>2.2000000000000002</v>
      </c>
      <c r="H417" s="220"/>
      <c r="I417" s="220"/>
      <c r="J417" s="220"/>
      <c r="K417" s="220"/>
      <c r="L417" s="220"/>
    </row>
    <row r="418" spans="1:12" x14ac:dyDescent="0.2">
      <c r="A418" s="221"/>
      <c r="B418" s="222" t="s">
        <v>1572</v>
      </c>
      <c r="C418" s="223">
        <v>968.7</v>
      </c>
      <c r="D418" s="223" t="s">
        <v>1570</v>
      </c>
      <c r="E418" s="223">
        <v>968.7</v>
      </c>
      <c r="F418" s="223">
        <v>89.2</v>
      </c>
      <c r="G418" s="223">
        <v>0.5</v>
      </c>
      <c r="H418" s="223"/>
      <c r="I418" s="223"/>
      <c r="J418" s="223"/>
      <c r="K418" s="223"/>
      <c r="L418" s="223"/>
    </row>
    <row r="419" spans="1:12" x14ac:dyDescent="0.2">
      <c r="A419" s="218"/>
      <c r="B419" s="224" t="s">
        <v>1573</v>
      </c>
      <c r="C419" s="220">
        <v>970.2</v>
      </c>
      <c r="D419" s="220" t="s">
        <v>1570</v>
      </c>
      <c r="E419" s="220">
        <v>970.2</v>
      </c>
      <c r="F419" s="220">
        <v>89.3</v>
      </c>
      <c r="G419" s="220">
        <v>1.6</v>
      </c>
      <c r="H419" s="220"/>
      <c r="I419" s="220"/>
      <c r="J419" s="220"/>
      <c r="K419" s="220"/>
      <c r="L419" s="220"/>
    </row>
    <row r="420" spans="1:12" x14ac:dyDescent="0.2">
      <c r="A420" s="221"/>
      <c r="B420" s="222" t="s">
        <v>1574</v>
      </c>
      <c r="C420" s="223">
        <v>971.6</v>
      </c>
      <c r="D420" s="223" t="s">
        <v>1570</v>
      </c>
      <c r="E420" s="223">
        <v>971.6</v>
      </c>
      <c r="F420" s="223">
        <v>89.4</v>
      </c>
      <c r="G420" s="223">
        <v>1.4</v>
      </c>
      <c r="H420" s="223"/>
      <c r="I420" s="223"/>
      <c r="J420" s="223"/>
      <c r="K420" s="223"/>
      <c r="L420" s="223"/>
    </row>
    <row r="421" spans="1:12" x14ac:dyDescent="0.2">
      <c r="A421" s="218"/>
      <c r="B421" s="224" t="s">
        <v>1575</v>
      </c>
      <c r="C421" s="220">
        <v>971.6</v>
      </c>
      <c r="D421" s="220" t="s">
        <v>1570</v>
      </c>
      <c r="E421" s="220">
        <v>971.6</v>
      </c>
      <c r="F421" s="220">
        <v>89.4</v>
      </c>
      <c r="G421" s="220">
        <v>0</v>
      </c>
      <c r="H421" s="220"/>
      <c r="I421" s="220"/>
      <c r="J421" s="220"/>
      <c r="K421" s="220"/>
      <c r="L421" s="220"/>
    </row>
    <row r="422" spans="1:12" x14ac:dyDescent="0.2">
      <c r="A422" s="221"/>
      <c r="B422" s="222" t="s">
        <v>1031</v>
      </c>
      <c r="C422" s="223">
        <v>976.8</v>
      </c>
      <c r="D422" s="223" t="s">
        <v>1570</v>
      </c>
      <c r="E422" s="223">
        <v>976.8</v>
      </c>
      <c r="F422" s="223">
        <v>89.8</v>
      </c>
      <c r="G422" s="223">
        <v>5.2</v>
      </c>
      <c r="H422" s="223"/>
      <c r="I422" s="223"/>
      <c r="J422" s="223"/>
      <c r="K422" s="223"/>
      <c r="L422" s="223"/>
    </row>
    <row r="423" spans="1:12" x14ac:dyDescent="0.2">
      <c r="A423" s="218"/>
      <c r="B423" s="224" t="s">
        <v>1576</v>
      </c>
      <c r="C423" s="220">
        <v>977.9</v>
      </c>
      <c r="D423" s="220" t="s">
        <v>1570</v>
      </c>
      <c r="E423" s="220">
        <v>977.9</v>
      </c>
      <c r="F423" s="220">
        <v>89.8</v>
      </c>
      <c r="G423" s="220">
        <v>1.1000000000000001</v>
      </c>
      <c r="H423" s="220"/>
      <c r="I423" s="220"/>
      <c r="J423" s="220"/>
      <c r="K423" s="220"/>
      <c r="L423" s="220"/>
    </row>
    <row r="424" spans="1:12" x14ac:dyDescent="0.2">
      <c r="A424" s="221"/>
      <c r="B424" s="222" t="s">
        <v>1577</v>
      </c>
      <c r="C424" s="223">
        <v>977.9</v>
      </c>
      <c r="D424" s="223" t="s">
        <v>1570</v>
      </c>
      <c r="E424" s="223">
        <v>977.9</v>
      </c>
      <c r="F424" s="223">
        <v>89.8</v>
      </c>
      <c r="G424" s="223">
        <v>0</v>
      </c>
      <c r="H424" s="223"/>
      <c r="I424" s="223"/>
      <c r="J424" s="223"/>
      <c r="K424" s="223"/>
      <c r="L424" s="223"/>
    </row>
    <row r="425" spans="1:12" ht="33.75" x14ac:dyDescent="0.2">
      <c r="A425" s="218"/>
      <c r="B425" s="224" t="s">
        <v>1578</v>
      </c>
      <c r="C425" s="220">
        <v>979.9</v>
      </c>
      <c r="D425" s="220" t="s">
        <v>1570</v>
      </c>
      <c r="E425" s="220">
        <v>979.9</v>
      </c>
      <c r="F425" s="220">
        <v>89.9</v>
      </c>
      <c r="G425" s="220">
        <v>1.9</v>
      </c>
      <c r="H425" s="220"/>
      <c r="I425" s="220"/>
      <c r="J425" s="220"/>
      <c r="K425" s="220"/>
      <c r="L425" s="220"/>
    </row>
    <row r="426" spans="1:12" x14ac:dyDescent="0.2">
      <c r="A426" s="221"/>
      <c r="B426" s="222" t="s">
        <v>1579</v>
      </c>
      <c r="C426" s="223">
        <v>980</v>
      </c>
      <c r="D426" s="223" t="s">
        <v>1570</v>
      </c>
      <c r="E426" s="223">
        <v>980</v>
      </c>
      <c r="F426" s="223">
        <v>89.9</v>
      </c>
      <c r="G426" s="223">
        <v>0.1</v>
      </c>
      <c r="H426" s="223"/>
      <c r="I426" s="223"/>
      <c r="J426" s="223"/>
      <c r="K426" s="223"/>
      <c r="L426" s="223"/>
    </row>
    <row r="427" spans="1:12" x14ac:dyDescent="0.2">
      <c r="A427" s="218"/>
      <c r="B427" s="224" t="s">
        <v>1579</v>
      </c>
      <c r="C427" s="220">
        <v>980</v>
      </c>
      <c r="D427" s="220" t="s">
        <v>1570</v>
      </c>
      <c r="E427" s="220">
        <v>980</v>
      </c>
      <c r="F427" s="220">
        <v>89.9</v>
      </c>
      <c r="G427" s="220">
        <v>0</v>
      </c>
      <c r="H427" s="220"/>
      <c r="I427" s="220"/>
      <c r="J427" s="220"/>
      <c r="K427" s="220"/>
      <c r="L427" s="220"/>
    </row>
    <row r="428" spans="1:12" x14ac:dyDescent="0.2">
      <c r="A428" s="221"/>
      <c r="B428" s="222" t="s">
        <v>1580</v>
      </c>
      <c r="C428" s="223">
        <v>980</v>
      </c>
      <c r="D428" s="223" t="s">
        <v>1570</v>
      </c>
      <c r="E428" s="223">
        <v>980</v>
      </c>
      <c r="F428" s="223">
        <v>90</v>
      </c>
      <c r="G428" s="223">
        <v>0</v>
      </c>
      <c r="H428" s="223"/>
      <c r="I428" s="223"/>
      <c r="J428" s="223"/>
      <c r="K428" s="223"/>
      <c r="L428" s="223"/>
    </row>
    <row r="429" spans="1:12" x14ac:dyDescent="0.2">
      <c r="A429" s="218"/>
      <c r="B429" s="224" t="s">
        <v>1581</v>
      </c>
      <c r="C429" s="220">
        <v>980</v>
      </c>
      <c r="D429" s="220" t="s">
        <v>1570</v>
      </c>
      <c r="E429" s="220">
        <v>980</v>
      </c>
      <c r="F429" s="220">
        <v>90</v>
      </c>
      <c r="G429" s="220">
        <v>0</v>
      </c>
      <c r="H429" s="220"/>
      <c r="I429" s="220"/>
      <c r="J429" s="220"/>
      <c r="K429" s="220"/>
      <c r="L429" s="220"/>
    </row>
    <row r="430" spans="1:12" x14ac:dyDescent="0.2">
      <c r="A430" s="221"/>
      <c r="B430" s="222" t="s">
        <v>1581</v>
      </c>
      <c r="C430" s="223">
        <v>982.3</v>
      </c>
      <c r="D430" s="223" t="s">
        <v>1582</v>
      </c>
      <c r="E430" s="223">
        <v>982.3</v>
      </c>
      <c r="F430" s="223">
        <v>90.1</v>
      </c>
      <c r="G430" s="223">
        <v>2.2999999999999998</v>
      </c>
      <c r="H430" s="223"/>
      <c r="I430" s="223"/>
      <c r="J430" s="223"/>
      <c r="K430" s="223"/>
      <c r="L430" s="223"/>
    </row>
    <row r="431" spans="1:12" x14ac:dyDescent="0.2">
      <c r="A431" s="218"/>
      <c r="B431" s="224" t="s">
        <v>1583</v>
      </c>
      <c r="C431" s="220">
        <v>982.4</v>
      </c>
      <c r="D431" s="220" t="s">
        <v>1582</v>
      </c>
      <c r="E431" s="220">
        <v>982.4</v>
      </c>
      <c r="F431" s="220">
        <v>90.1</v>
      </c>
      <c r="G431" s="220">
        <v>0.1</v>
      </c>
      <c r="H431" s="220"/>
      <c r="I431" s="220"/>
      <c r="J431" s="220"/>
      <c r="K431" s="220"/>
      <c r="L431" s="220"/>
    </row>
    <row r="432" spans="1:12" ht="22.5" x14ac:dyDescent="0.2">
      <c r="A432" s="221"/>
      <c r="B432" s="222" t="s">
        <v>1584</v>
      </c>
      <c r="C432" s="223">
        <v>983.3</v>
      </c>
      <c r="D432" s="223" t="s">
        <v>1582</v>
      </c>
      <c r="E432" s="223">
        <v>983.3</v>
      </c>
      <c r="F432" s="223">
        <v>90.2</v>
      </c>
      <c r="G432" s="223">
        <v>0.9</v>
      </c>
      <c r="H432" s="223"/>
      <c r="I432" s="223"/>
      <c r="J432" s="223"/>
      <c r="K432" s="223"/>
      <c r="L432" s="223"/>
    </row>
    <row r="433" spans="1:12" x14ac:dyDescent="0.2">
      <c r="A433" s="218"/>
      <c r="B433" s="224" t="s">
        <v>1585</v>
      </c>
      <c r="C433" s="220">
        <v>986.9</v>
      </c>
      <c r="D433" s="220" t="s">
        <v>1582</v>
      </c>
      <c r="E433" s="220">
        <v>986.9</v>
      </c>
      <c r="F433" s="220">
        <v>90.4</v>
      </c>
      <c r="G433" s="220">
        <v>3.6</v>
      </c>
      <c r="H433" s="220"/>
      <c r="I433" s="220"/>
      <c r="J433" s="220"/>
      <c r="K433" s="220"/>
      <c r="L433" s="220"/>
    </row>
    <row r="434" spans="1:12" x14ac:dyDescent="0.2">
      <c r="A434" s="221"/>
      <c r="B434" s="222" t="s">
        <v>1586</v>
      </c>
      <c r="C434" s="223">
        <v>991.8</v>
      </c>
      <c r="D434" s="223" t="s">
        <v>1582</v>
      </c>
      <c r="E434" s="223">
        <v>991.8</v>
      </c>
      <c r="F434" s="223">
        <v>90.7</v>
      </c>
      <c r="G434" s="223">
        <v>5</v>
      </c>
      <c r="H434" s="223"/>
      <c r="I434" s="223"/>
      <c r="J434" s="223"/>
      <c r="K434" s="223"/>
      <c r="L434" s="223"/>
    </row>
    <row r="435" spans="1:12" x14ac:dyDescent="0.2">
      <c r="A435" s="218"/>
      <c r="B435" s="224" t="s">
        <v>1587</v>
      </c>
      <c r="C435" s="220">
        <v>991.9</v>
      </c>
      <c r="D435" s="220" t="s">
        <v>1582</v>
      </c>
      <c r="E435" s="220">
        <v>991.9</v>
      </c>
      <c r="F435" s="220">
        <v>90.7</v>
      </c>
      <c r="G435" s="220">
        <v>0</v>
      </c>
      <c r="H435" s="220"/>
      <c r="I435" s="220"/>
      <c r="J435" s="220"/>
      <c r="K435" s="220"/>
      <c r="L435" s="220"/>
    </row>
    <row r="436" spans="1:12" x14ac:dyDescent="0.2">
      <c r="A436" s="221"/>
      <c r="B436" s="222" t="s">
        <v>1357</v>
      </c>
      <c r="C436" s="223">
        <v>992</v>
      </c>
      <c r="D436" s="223" t="s">
        <v>1582</v>
      </c>
      <c r="E436" s="223">
        <v>992</v>
      </c>
      <c r="F436" s="223">
        <v>90.7</v>
      </c>
      <c r="G436" s="223">
        <v>0.1</v>
      </c>
      <c r="H436" s="223"/>
      <c r="I436" s="223"/>
      <c r="J436" s="223"/>
      <c r="K436" s="223"/>
      <c r="L436" s="223"/>
    </row>
    <row r="437" spans="1:12" x14ac:dyDescent="0.2">
      <c r="A437" s="218"/>
      <c r="B437" s="224" t="s">
        <v>134</v>
      </c>
      <c r="C437" s="220">
        <v>995.3</v>
      </c>
      <c r="D437" s="220" t="s">
        <v>1582</v>
      </c>
      <c r="E437" s="220">
        <v>995.3</v>
      </c>
      <c r="F437" s="220">
        <v>90.9</v>
      </c>
      <c r="G437" s="220">
        <v>3.3</v>
      </c>
      <c r="H437" s="220"/>
      <c r="I437" s="220"/>
      <c r="J437" s="220"/>
      <c r="K437" s="220"/>
      <c r="L437" s="220"/>
    </row>
    <row r="438" spans="1:12" x14ac:dyDescent="0.2">
      <c r="A438" s="221"/>
      <c r="B438" s="222" t="s">
        <v>1588</v>
      </c>
      <c r="C438" s="223">
        <v>999.1</v>
      </c>
      <c r="D438" s="223" t="s">
        <v>1589</v>
      </c>
      <c r="E438" s="223">
        <v>999.1</v>
      </c>
      <c r="F438" s="223">
        <v>91.1</v>
      </c>
      <c r="G438" s="223">
        <v>3.8</v>
      </c>
      <c r="H438" s="223"/>
      <c r="I438" s="223"/>
      <c r="J438" s="223"/>
      <c r="K438" s="223"/>
      <c r="L438" s="223"/>
    </row>
    <row r="439" spans="1:12" x14ac:dyDescent="0.2">
      <c r="A439" s="218"/>
      <c r="B439" s="224" t="s">
        <v>135</v>
      </c>
      <c r="C439" s="220">
        <v>1002.3</v>
      </c>
      <c r="D439" s="220" t="s">
        <v>1589</v>
      </c>
      <c r="E439" s="220">
        <v>1002.3</v>
      </c>
      <c r="F439" s="220">
        <v>91.3</v>
      </c>
      <c r="G439" s="220">
        <v>3.2</v>
      </c>
      <c r="H439" s="220"/>
      <c r="I439" s="220"/>
      <c r="J439" s="220"/>
      <c r="K439" s="220"/>
      <c r="L439" s="220"/>
    </row>
    <row r="440" spans="1:12" x14ac:dyDescent="0.2">
      <c r="A440" s="221"/>
      <c r="B440" s="222" t="s">
        <v>1590</v>
      </c>
      <c r="C440" s="223">
        <v>1005.2</v>
      </c>
      <c r="D440" s="223" t="s">
        <v>1589</v>
      </c>
      <c r="E440" s="223">
        <v>1005.2</v>
      </c>
      <c r="F440" s="223">
        <v>91.5</v>
      </c>
      <c r="G440" s="223">
        <v>2.9</v>
      </c>
      <c r="H440" s="223"/>
      <c r="I440" s="223"/>
      <c r="J440" s="223"/>
      <c r="K440" s="223"/>
      <c r="L440" s="223"/>
    </row>
    <row r="441" spans="1:12" x14ac:dyDescent="0.2">
      <c r="A441" s="218"/>
      <c r="B441" s="224" t="s">
        <v>1591</v>
      </c>
      <c r="C441" s="220">
        <v>1005.8</v>
      </c>
      <c r="D441" s="220" t="s">
        <v>1589</v>
      </c>
      <c r="E441" s="220">
        <v>1005.8</v>
      </c>
      <c r="F441" s="220">
        <v>91.5</v>
      </c>
      <c r="G441" s="220">
        <v>0.6</v>
      </c>
      <c r="H441" s="220"/>
      <c r="I441" s="220"/>
      <c r="J441" s="220"/>
      <c r="K441" s="220"/>
      <c r="L441" s="220"/>
    </row>
    <row r="442" spans="1:12" x14ac:dyDescent="0.2">
      <c r="A442" s="221"/>
      <c r="B442" s="222" t="s">
        <v>1592</v>
      </c>
      <c r="C442" s="223">
        <v>1005.9</v>
      </c>
      <c r="D442" s="223" t="s">
        <v>1589</v>
      </c>
      <c r="E442" s="223">
        <v>1005.9</v>
      </c>
      <c r="F442" s="223">
        <v>91.5</v>
      </c>
      <c r="G442" s="223">
        <v>0.1</v>
      </c>
      <c r="H442" s="223"/>
      <c r="I442" s="223"/>
      <c r="J442" s="223"/>
      <c r="K442" s="223"/>
      <c r="L442" s="223"/>
    </row>
    <row r="443" spans="1:12" x14ac:dyDescent="0.2">
      <c r="A443" s="218"/>
      <c r="B443" s="224" t="s">
        <v>1593</v>
      </c>
      <c r="C443" s="220">
        <v>1005.9</v>
      </c>
      <c r="D443" s="220" t="s">
        <v>1589</v>
      </c>
      <c r="E443" s="220">
        <v>1005.9</v>
      </c>
      <c r="F443" s="220">
        <v>91.5</v>
      </c>
      <c r="G443" s="220">
        <v>0</v>
      </c>
      <c r="H443" s="220"/>
      <c r="I443" s="220"/>
      <c r="J443" s="220"/>
      <c r="K443" s="220"/>
      <c r="L443" s="220"/>
    </row>
    <row r="444" spans="1:12" ht="22.5" x14ac:dyDescent="0.2">
      <c r="A444" s="221"/>
      <c r="B444" s="222" t="s">
        <v>1594</v>
      </c>
      <c r="C444" s="223">
        <v>1005.9</v>
      </c>
      <c r="D444" s="223" t="s">
        <v>1589</v>
      </c>
      <c r="E444" s="223">
        <v>1005.9</v>
      </c>
      <c r="F444" s="223">
        <v>91.6</v>
      </c>
      <c r="G444" s="223">
        <v>0</v>
      </c>
      <c r="H444" s="223"/>
      <c r="I444" s="223"/>
      <c r="J444" s="223"/>
      <c r="K444" s="223"/>
      <c r="L444" s="223"/>
    </row>
    <row r="445" spans="1:12" ht="22.5" x14ac:dyDescent="0.2">
      <c r="A445" s="218"/>
      <c r="B445" s="224" t="s">
        <v>1595</v>
      </c>
      <c r="C445" s="220">
        <v>1013.4</v>
      </c>
      <c r="D445" s="220" t="s">
        <v>1596</v>
      </c>
      <c r="E445" s="220">
        <v>1013.4</v>
      </c>
      <c r="F445" s="220">
        <v>92</v>
      </c>
      <c r="G445" s="220">
        <v>7.5</v>
      </c>
      <c r="H445" s="220"/>
      <c r="I445" s="220"/>
      <c r="J445" s="220"/>
      <c r="K445" s="220"/>
      <c r="L445" s="220"/>
    </row>
    <row r="446" spans="1:12" ht="22.5" x14ac:dyDescent="0.2">
      <c r="A446" s="221"/>
      <c r="B446" s="222" t="s">
        <v>1039</v>
      </c>
      <c r="C446" s="223">
        <v>1016.6</v>
      </c>
      <c r="D446" s="223" t="s">
        <v>1596</v>
      </c>
      <c r="E446" s="223">
        <v>1016.6</v>
      </c>
      <c r="F446" s="223">
        <v>92.2</v>
      </c>
      <c r="G446" s="223">
        <v>3.2</v>
      </c>
      <c r="H446" s="223"/>
      <c r="I446" s="223"/>
      <c r="J446" s="223"/>
      <c r="K446" s="223"/>
      <c r="L446" s="223"/>
    </row>
    <row r="447" spans="1:12" x14ac:dyDescent="0.2">
      <c r="A447" s="218"/>
      <c r="B447" s="224" t="s">
        <v>1597</v>
      </c>
      <c r="C447" s="220">
        <v>1019.6</v>
      </c>
      <c r="D447" s="220" t="s">
        <v>1596</v>
      </c>
      <c r="E447" s="220">
        <v>1019.6</v>
      </c>
      <c r="F447" s="220">
        <v>92.4</v>
      </c>
      <c r="G447" s="220">
        <v>3</v>
      </c>
      <c r="H447" s="220"/>
      <c r="I447" s="220"/>
      <c r="J447" s="220"/>
      <c r="K447" s="220"/>
      <c r="L447" s="220"/>
    </row>
    <row r="448" spans="1:12" x14ac:dyDescent="0.2">
      <c r="A448" s="221"/>
      <c r="B448" s="222" t="s">
        <v>1598</v>
      </c>
      <c r="C448" s="223">
        <v>1019.7</v>
      </c>
      <c r="D448" s="223" t="s">
        <v>1596</v>
      </c>
      <c r="E448" s="223">
        <v>1019.7</v>
      </c>
      <c r="F448" s="223">
        <v>92.4</v>
      </c>
      <c r="G448" s="223">
        <v>0</v>
      </c>
      <c r="H448" s="223"/>
      <c r="I448" s="223"/>
      <c r="J448" s="223"/>
      <c r="K448" s="223"/>
      <c r="L448" s="223"/>
    </row>
    <row r="449" spans="1:12" x14ac:dyDescent="0.2">
      <c r="A449" s="218"/>
      <c r="B449" s="224" t="s">
        <v>1599</v>
      </c>
      <c r="C449" s="220">
        <v>1024.3</v>
      </c>
      <c r="D449" s="220" t="s">
        <v>1596</v>
      </c>
      <c r="E449" s="220">
        <v>1024.3</v>
      </c>
      <c r="F449" s="220">
        <v>92.7</v>
      </c>
      <c r="G449" s="220">
        <v>4.5999999999999996</v>
      </c>
      <c r="H449" s="220"/>
      <c r="I449" s="220"/>
      <c r="J449" s="220"/>
      <c r="K449" s="220"/>
      <c r="L449" s="220"/>
    </row>
    <row r="450" spans="1:12" x14ac:dyDescent="0.2">
      <c r="A450" s="221"/>
      <c r="B450" s="222" t="s">
        <v>1600</v>
      </c>
      <c r="C450" s="223">
        <v>1024.9000000000001</v>
      </c>
      <c r="D450" s="223" t="s">
        <v>1596</v>
      </c>
      <c r="E450" s="223">
        <v>1024.9000000000001</v>
      </c>
      <c r="F450" s="223">
        <v>92.7</v>
      </c>
      <c r="G450" s="223">
        <v>0.6</v>
      </c>
      <c r="H450" s="223"/>
      <c r="I450" s="223"/>
      <c r="J450" s="223"/>
      <c r="K450" s="223"/>
      <c r="L450" s="223"/>
    </row>
    <row r="451" spans="1:12" x14ac:dyDescent="0.2">
      <c r="A451" s="218"/>
      <c r="B451" s="224" t="s">
        <v>1601</v>
      </c>
      <c r="C451" s="220">
        <v>1025.2</v>
      </c>
      <c r="D451" s="220" t="s">
        <v>1596</v>
      </c>
      <c r="E451" s="220">
        <v>1025.2</v>
      </c>
      <c r="F451" s="220">
        <v>92.7</v>
      </c>
      <c r="G451" s="220">
        <v>0.3</v>
      </c>
      <c r="H451" s="220"/>
      <c r="I451" s="220"/>
      <c r="J451" s="220"/>
      <c r="K451" s="220"/>
      <c r="L451" s="220"/>
    </row>
    <row r="452" spans="1:12" ht="22.5" x14ac:dyDescent="0.2">
      <c r="A452" s="221"/>
      <c r="B452" s="222" t="s">
        <v>1602</v>
      </c>
      <c r="C452" s="223">
        <v>1025.5999999999999</v>
      </c>
      <c r="D452" s="223" t="s">
        <v>1596</v>
      </c>
      <c r="E452" s="223">
        <v>1025.5</v>
      </c>
      <c r="F452" s="223">
        <v>92.8</v>
      </c>
      <c r="G452" s="223">
        <v>0.3</v>
      </c>
      <c r="H452" s="223"/>
      <c r="I452" s="223"/>
      <c r="J452" s="223"/>
      <c r="K452" s="223"/>
      <c r="L452" s="223"/>
    </row>
    <row r="453" spans="1:12" ht="41.25" customHeight="1" x14ac:dyDescent="0.2">
      <c r="A453" s="231"/>
      <c r="B453" s="232" t="s">
        <v>1603</v>
      </c>
      <c r="C453" s="233">
        <v>1026.0999999999999</v>
      </c>
      <c r="D453" s="220" t="s">
        <v>1596</v>
      </c>
      <c r="E453" s="233">
        <v>1026.0999999999999</v>
      </c>
      <c r="F453" s="233">
        <v>92.8</v>
      </c>
      <c r="G453" s="233">
        <v>0.5</v>
      </c>
      <c r="H453" s="233">
        <v>82.8</v>
      </c>
      <c r="I453" s="233">
        <v>5.0999999999999996</v>
      </c>
      <c r="J453" s="233">
        <v>16.2</v>
      </c>
      <c r="K453" s="233">
        <v>4.5</v>
      </c>
      <c r="L453" s="233"/>
    </row>
    <row r="454" spans="1:12" x14ac:dyDescent="0.2">
      <c r="A454" s="231"/>
      <c r="B454" s="232"/>
      <c r="C454" s="233"/>
      <c r="D454" s="220" t="s">
        <v>1604</v>
      </c>
      <c r="E454" s="233"/>
      <c r="F454" s="233"/>
      <c r="G454" s="233"/>
      <c r="H454" s="233"/>
      <c r="I454" s="233"/>
      <c r="J454" s="233"/>
      <c r="K454" s="233"/>
      <c r="L454" s="233"/>
    </row>
    <row r="455" spans="1:12" x14ac:dyDescent="0.2">
      <c r="A455" s="221"/>
      <c r="B455" s="222" t="s">
        <v>1605</v>
      </c>
      <c r="C455" s="223">
        <v>1027.5</v>
      </c>
      <c r="D455" s="223" t="s">
        <v>1604</v>
      </c>
      <c r="E455" s="223">
        <v>1027.5</v>
      </c>
      <c r="F455" s="223">
        <v>93.4</v>
      </c>
      <c r="G455" s="223">
        <v>1.5</v>
      </c>
      <c r="H455" s="223"/>
      <c r="I455" s="223"/>
      <c r="J455" s="223"/>
      <c r="K455" s="223"/>
      <c r="L455" s="223"/>
    </row>
    <row r="456" spans="1:12" x14ac:dyDescent="0.2">
      <c r="A456" s="218"/>
      <c r="B456" s="224" t="s">
        <v>1606</v>
      </c>
      <c r="C456" s="220">
        <v>1029.0999999999999</v>
      </c>
      <c r="D456" s="220" t="s">
        <v>1604</v>
      </c>
      <c r="E456" s="220">
        <v>1029.0999999999999</v>
      </c>
      <c r="F456" s="220">
        <v>93.5</v>
      </c>
      <c r="G456" s="220">
        <v>1.6</v>
      </c>
      <c r="H456" s="220"/>
      <c r="I456" s="220"/>
      <c r="J456" s="220"/>
      <c r="K456" s="220"/>
      <c r="L456" s="220"/>
    </row>
    <row r="457" spans="1:12" x14ac:dyDescent="0.2">
      <c r="A457" s="221"/>
      <c r="B457" s="222" t="s">
        <v>1605</v>
      </c>
      <c r="C457" s="223">
        <v>1029.4000000000001</v>
      </c>
      <c r="D457" s="223" t="s">
        <v>1604</v>
      </c>
      <c r="E457" s="223">
        <v>1029.4000000000001</v>
      </c>
      <c r="F457" s="223">
        <v>93.5</v>
      </c>
      <c r="G457" s="223">
        <v>0.2</v>
      </c>
      <c r="H457" s="223"/>
      <c r="I457" s="223"/>
      <c r="J457" s="223"/>
      <c r="K457" s="223"/>
      <c r="L457" s="223"/>
    </row>
    <row r="458" spans="1:12" x14ac:dyDescent="0.2">
      <c r="A458" s="218"/>
      <c r="B458" s="224" t="s">
        <v>1605</v>
      </c>
      <c r="C458" s="220">
        <v>1029.4000000000001</v>
      </c>
      <c r="D458" s="220" t="s">
        <v>1604</v>
      </c>
      <c r="E458" s="220">
        <v>1029.4000000000001</v>
      </c>
      <c r="F458" s="220">
        <v>93.5</v>
      </c>
      <c r="G458" s="220">
        <v>0</v>
      </c>
      <c r="H458" s="220"/>
      <c r="I458" s="220"/>
      <c r="J458" s="220"/>
      <c r="K458" s="220"/>
      <c r="L458" s="220"/>
    </row>
    <row r="459" spans="1:12" x14ac:dyDescent="0.2">
      <c r="A459" s="221"/>
      <c r="B459" s="222" t="s">
        <v>1607</v>
      </c>
      <c r="C459" s="223">
        <v>1029.5</v>
      </c>
      <c r="D459" s="223" t="s">
        <v>1604</v>
      </c>
      <c r="E459" s="223">
        <v>1029.5</v>
      </c>
      <c r="F459" s="223">
        <v>93.5</v>
      </c>
      <c r="G459" s="223">
        <v>0.2</v>
      </c>
      <c r="H459" s="223"/>
      <c r="I459" s="223"/>
      <c r="J459" s="223"/>
      <c r="K459" s="223"/>
      <c r="L459" s="223"/>
    </row>
    <row r="460" spans="1:12" x14ac:dyDescent="0.2">
      <c r="A460" s="218"/>
      <c r="B460" s="224" t="s">
        <v>136</v>
      </c>
      <c r="C460" s="220">
        <v>1032.5</v>
      </c>
      <c r="D460" s="220" t="s">
        <v>1604</v>
      </c>
      <c r="E460" s="220">
        <v>1032.5</v>
      </c>
      <c r="F460" s="220">
        <v>93.7</v>
      </c>
      <c r="G460" s="220">
        <v>3</v>
      </c>
      <c r="H460" s="220"/>
      <c r="I460" s="220"/>
      <c r="J460" s="220"/>
      <c r="K460" s="220"/>
      <c r="L460" s="220"/>
    </row>
    <row r="461" spans="1:12" ht="22.5" x14ac:dyDescent="0.2">
      <c r="A461" s="221"/>
      <c r="B461" s="222" t="s">
        <v>1608</v>
      </c>
      <c r="C461" s="223">
        <v>1036.0999999999999</v>
      </c>
      <c r="D461" s="223" t="s">
        <v>1604</v>
      </c>
      <c r="E461" s="223">
        <v>1036.0999999999999</v>
      </c>
      <c r="F461" s="223">
        <v>93.9</v>
      </c>
      <c r="G461" s="223">
        <v>3.6</v>
      </c>
      <c r="H461" s="223"/>
      <c r="I461" s="223"/>
      <c r="J461" s="223"/>
      <c r="K461" s="223"/>
      <c r="L461" s="223"/>
    </row>
    <row r="462" spans="1:12" ht="22.5" x14ac:dyDescent="0.2">
      <c r="A462" s="218"/>
      <c r="B462" s="224" t="s">
        <v>1609</v>
      </c>
      <c r="C462" s="220">
        <v>1036.3</v>
      </c>
      <c r="D462" s="220" t="s">
        <v>1604</v>
      </c>
      <c r="E462" s="220">
        <v>1036.3</v>
      </c>
      <c r="F462" s="220">
        <v>93.9</v>
      </c>
      <c r="G462" s="220">
        <v>0.2</v>
      </c>
      <c r="H462" s="220"/>
      <c r="I462" s="220"/>
      <c r="J462" s="220"/>
      <c r="K462" s="220"/>
      <c r="L462" s="220"/>
    </row>
    <row r="463" spans="1:12" x14ac:dyDescent="0.2">
      <c r="A463" s="221"/>
      <c r="B463" s="222" t="s">
        <v>137</v>
      </c>
      <c r="C463" s="223">
        <v>1036.7</v>
      </c>
      <c r="D463" s="223" t="s">
        <v>1604</v>
      </c>
      <c r="E463" s="223">
        <v>1036.5999999999999</v>
      </c>
      <c r="F463" s="223">
        <v>93.9</v>
      </c>
      <c r="G463" s="223">
        <v>0.4</v>
      </c>
      <c r="H463" s="223"/>
      <c r="I463" s="223"/>
      <c r="J463" s="223"/>
      <c r="K463" s="223"/>
      <c r="L463" s="223"/>
    </row>
    <row r="464" spans="1:12" x14ac:dyDescent="0.2">
      <c r="A464" s="218"/>
      <c r="B464" s="224" t="s">
        <v>138</v>
      </c>
      <c r="C464" s="220">
        <v>1041.4000000000001</v>
      </c>
      <c r="D464" s="220" t="s">
        <v>1610</v>
      </c>
      <c r="E464" s="220">
        <v>1041.4000000000001</v>
      </c>
      <c r="F464" s="220">
        <v>94.1</v>
      </c>
      <c r="G464" s="220">
        <v>4.7</v>
      </c>
      <c r="H464" s="220"/>
      <c r="I464" s="220"/>
      <c r="J464" s="220"/>
      <c r="K464" s="220"/>
      <c r="L464" s="220"/>
    </row>
    <row r="465" spans="1:12" ht="22.5" x14ac:dyDescent="0.2">
      <c r="A465" s="221"/>
      <c r="B465" s="222" t="s">
        <v>1611</v>
      </c>
      <c r="C465" s="223">
        <v>1042.5</v>
      </c>
      <c r="D465" s="223" t="s">
        <v>1610</v>
      </c>
      <c r="E465" s="223">
        <v>1042.5</v>
      </c>
      <c r="F465" s="223">
        <v>94.2</v>
      </c>
      <c r="G465" s="223">
        <v>1.1000000000000001</v>
      </c>
      <c r="H465" s="223"/>
      <c r="I465" s="223"/>
      <c r="J465" s="223"/>
      <c r="K465" s="223"/>
      <c r="L465" s="223"/>
    </row>
    <row r="466" spans="1:12" ht="22.5" x14ac:dyDescent="0.2">
      <c r="A466" s="218"/>
      <c r="B466" s="224" t="s">
        <v>1612</v>
      </c>
      <c r="C466" s="220">
        <v>1043.5999999999999</v>
      </c>
      <c r="D466" s="220" t="s">
        <v>1610</v>
      </c>
      <c r="E466" s="220">
        <v>1043.5999999999999</v>
      </c>
      <c r="F466" s="220">
        <v>94.3</v>
      </c>
      <c r="G466" s="220">
        <v>1.1000000000000001</v>
      </c>
      <c r="H466" s="220"/>
      <c r="I466" s="220"/>
      <c r="J466" s="220"/>
      <c r="K466" s="220"/>
      <c r="L466" s="220"/>
    </row>
    <row r="467" spans="1:12" x14ac:dyDescent="0.2">
      <c r="A467" s="221"/>
      <c r="B467" s="222" t="s">
        <v>1613</v>
      </c>
      <c r="C467" s="223">
        <v>1043.5999999999999</v>
      </c>
      <c r="D467" s="223" t="s">
        <v>1610</v>
      </c>
      <c r="E467" s="223">
        <v>1043.5999999999999</v>
      </c>
      <c r="F467" s="223">
        <v>94.3</v>
      </c>
      <c r="G467" s="223">
        <v>0</v>
      </c>
      <c r="H467" s="223"/>
      <c r="I467" s="223"/>
      <c r="J467" s="223"/>
      <c r="K467" s="223"/>
      <c r="L467" s="223"/>
    </row>
    <row r="468" spans="1:12" x14ac:dyDescent="0.2">
      <c r="A468" s="218"/>
      <c r="B468" s="224" t="s">
        <v>1614</v>
      </c>
      <c r="C468" s="220">
        <v>1043.5999999999999</v>
      </c>
      <c r="D468" s="220" t="s">
        <v>1610</v>
      </c>
      <c r="E468" s="220">
        <v>1043.5999999999999</v>
      </c>
      <c r="F468" s="220">
        <v>94.3</v>
      </c>
      <c r="G468" s="220">
        <v>0</v>
      </c>
      <c r="H468" s="220"/>
      <c r="I468" s="220"/>
      <c r="J468" s="220"/>
      <c r="K468" s="220"/>
      <c r="L468" s="220"/>
    </row>
    <row r="469" spans="1:12" ht="22.5" x14ac:dyDescent="0.2">
      <c r="A469" s="221"/>
      <c r="B469" s="222" t="s">
        <v>1615</v>
      </c>
      <c r="C469" s="223">
        <v>1045.2</v>
      </c>
      <c r="D469" s="223" t="s">
        <v>1610</v>
      </c>
      <c r="E469" s="223">
        <v>1045.2</v>
      </c>
      <c r="F469" s="223">
        <v>94.4</v>
      </c>
      <c r="G469" s="223">
        <v>1.6</v>
      </c>
      <c r="H469" s="223"/>
      <c r="I469" s="223"/>
      <c r="J469" s="223"/>
      <c r="K469" s="223"/>
      <c r="L469" s="223"/>
    </row>
    <row r="470" spans="1:12" ht="22.5" x14ac:dyDescent="0.2">
      <c r="A470" s="218"/>
      <c r="B470" s="224" t="s">
        <v>1616</v>
      </c>
      <c r="C470" s="220">
        <v>1045.4000000000001</v>
      </c>
      <c r="D470" s="220" t="s">
        <v>1610</v>
      </c>
      <c r="E470" s="220">
        <v>1045.4000000000001</v>
      </c>
      <c r="F470" s="220">
        <v>94.4</v>
      </c>
      <c r="G470" s="220">
        <v>0.2</v>
      </c>
      <c r="H470" s="220"/>
      <c r="I470" s="220"/>
      <c r="J470" s="220"/>
      <c r="K470" s="220"/>
      <c r="L470" s="220"/>
    </row>
    <row r="471" spans="1:12" x14ac:dyDescent="0.2">
      <c r="A471" s="221"/>
      <c r="B471" s="222" t="s">
        <v>1617</v>
      </c>
      <c r="C471" s="223">
        <v>1047.7</v>
      </c>
      <c r="D471" s="223" t="s">
        <v>1610</v>
      </c>
      <c r="E471" s="223">
        <v>1047.7</v>
      </c>
      <c r="F471" s="223">
        <v>94.5</v>
      </c>
      <c r="G471" s="223">
        <v>2.2999999999999998</v>
      </c>
      <c r="H471" s="223"/>
      <c r="I471" s="223"/>
      <c r="J471" s="223"/>
      <c r="K471" s="223"/>
      <c r="L471" s="223"/>
    </row>
    <row r="472" spans="1:12" x14ac:dyDescent="0.2">
      <c r="A472" s="218"/>
      <c r="B472" s="224" t="s">
        <v>1618</v>
      </c>
      <c r="C472" s="220">
        <v>1048.5</v>
      </c>
      <c r="D472" s="220" t="s">
        <v>1610</v>
      </c>
      <c r="E472" s="220">
        <v>1048.5</v>
      </c>
      <c r="F472" s="220">
        <v>94.5</v>
      </c>
      <c r="G472" s="220">
        <v>0.8</v>
      </c>
      <c r="H472" s="220"/>
      <c r="I472" s="220"/>
      <c r="J472" s="220"/>
      <c r="K472" s="220"/>
      <c r="L472" s="220"/>
    </row>
    <row r="473" spans="1:12" x14ac:dyDescent="0.2">
      <c r="A473" s="221"/>
      <c r="B473" s="222" t="s">
        <v>1618</v>
      </c>
      <c r="C473" s="223">
        <v>1048.5</v>
      </c>
      <c r="D473" s="223" t="s">
        <v>1610</v>
      </c>
      <c r="E473" s="223">
        <v>1048.5</v>
      </c>
      <c r="F473" s="223">
        <v>94.5</v>
      </c>
      <c r="G473" s="223">
        <v>0</v>
      </c>
      <c r="H473" s="223"/>
      <c r="I473" s="223"/>
      <c r="J473" s="223"/>
      <c r="K473" s="223"/>
      <c r="L473" s="223"/>
    </row>
    <row r="474" spans="1:12" x14ac:dyDescent="0.2">
      <c r="A474" s="218"/>
      <c r="B474" s="224" t="s">
        <v>1619</v>
      </c>
      <c r="C474" s="220">
        <v>1048.5999999999999</v>
      </c>
      <c r="D474" s="220" t="s">
        <v>1610</v>
      </c>
      <c r="E474" s="220">
        <v>1048.5999999999999</v>
      </c>
      <c r="F474" s="220">
        <v>94.5</v>
      </c>
      <c r="G474" s="220">
        <v>0</v>
      </c>
      <c r="H474" s="220"/>
      <c r="I474" s="220"/>
      <c r="J474" s="220"/>
      <c r="K474" s="220"/>
      <c r="L474" s="220"/>
    </row>
    <row r="475" spans="1:12" x14ac:dyDescent="0.2">
      <c r="A475" s="221"/>
      <c r="B475" s="222" t="s">
        <v>1613</v>
      </c>
      <c r="C475" s="223">
        <v>1048.7</v>
      </c>
      <c r="D475" s="223" t="s">
        <v>1610</v>
      </c>
      <c r="E475" s="223">
        <v>1048.7</v>
      </c>
      <c r="F475" s="223">
        <v>94.5</v>
      </c>
      <c r="G475" s="223">
        <v>0.1</v>
      </c>
      <c r="H475" s="223"/>
      <c r="I475" s="223"/>
      <c r="J475" s="223"/>
      <c r="K475" s="223"/>
      <c r="L475" s="223"/>
    </row>
    <row r="476" spans="1:12" x14ac:dyDescent="0.2">
      <c r="A476" s="218"/>
      <c r="B476" s="224" t="s">
        <v>139</v>
      </c>
      <c r="C476" s="220">
        <v>1049.0999999999999</v>
      </c>
      <c r="D476" s="220" t="s">
        <v>1610</v>
      </c>
      <c r="E476" s="220">
        <v>1049</v>
      </c>
      <c r="F476" s="220">
        <v>94.6</v>
      </c>
      <c r="G476" s="220">
        <v>0.4</v>
      </c>
      <c r="H476" s="220"/>
      <c r="I476" s="220"/>
      <c r="J476" s="220"/>
      <c r="K476" s="220"/>
      <c r="L476" s="220"/>
    </row>
    <row r="477" spans="1:12" x14ac:dyDescent="0.2">
      <c r="A477" s="221"/>
      <c r="B477" s="222" t="s">
        <v>1620</v>
      </c>
      <c r="C477" s="223">
        <v>1057.2</v>
      </c>
      <c r="D477" s="223" t="s">
        <v>1621</v>
      </c>
      <c r="E477" s="223">
        <v>1057.2</v>
      </c>
      <c r="F477" s="223">
        <v>95</v>
      </c>
      <c r="G477" s="223">
        <v>8.1</v>
      </c>
      <c r="H477" s="223"/>
      <c r="I477" s="223"/>
      <c r="J477" s="223"/>
      <c r="K477" s="223"/>
      <c r="L477" s="223"/>
    </row>
    <row r="478" spans="1:12" x14ac:dyDescent="0.2">
      <c r="A478" s="218"/>
      <c r="B478" s="224" t="s">
        <v>1620</v>
      </c>
      <c r="C478" s="220">
        <v>1057.2</v>
      </c>
      <c r="D478" s="220" t="s">
        <v>1621</v>
      </c>
      <c r="E478" s="220">
        <v>1057.2</v>
      </c>
      <c r="F478" s="220">
        <v>95</v>
      </c>
      <c r="G478" s="220">
        <v>0</v>
      </c>
      <c r="H478" s="220"/>
      <c r="I478" s="220"/>
      <c r="J478" s="220"/>
      <c r="K478" s="220"/>
      <c r="L478" s="220"/>
    </row>
    <row r="479" spans="1:12" x14ac:dyDescent="0.2">
      <c r="A479" s="221"/>
      <c r="B479" s="222" t="s">
        <v>1622</v>
      </c>
      <c r="C479" s="223">
        <v>1057.5</v>
      </c>
      <c r="D479" s="223" t="s">
        <v>1621</v>
      </c>
      <c r="E479" s="223">
        <v>1057.5</v>
      </c>
      <c r="F479" s="223">
        <v>95</v>
      </c>
      <c r="G479" s="223">
        <v>0.3</v>
      </c>
      <c r="H479" s="223"/>
      <c r="I479" s="223"/>
      <c r="J479" s="223"/>
      <c r="K479" s="223"/>
      <c r="L479" s="223"/>
    </row>
    <row r="480" spans="1:12" x14ac:dyDescent="0.2">
      <c r="A480" s="218"/>
      <c r="B480" s="224" t="s">
        <v>1623</v>
      </c>
      <c r="C480" s="220">
        <v>1059.0999999999999</v>
      </c>
      <c r="D480" s="220" t="s">
        <v>1621</v>
      </c>
      <c r="E480" s="220">
        <v>1059.0999999999999</v>
      </c>
      <c r="F480" s="220">
        <v>95.1</v>
      </c>
      <c r="G480" s="220">
        <v>1.6</v>
      </c>
      <c r="H480" s="220"/>
      <c r="I480" s="220"/>
      <c r="J480" s="220"/>
      <c r="K480" s="220"/>
      <c r="L480" s="220"/>
    </row>
    <row r="481" spans="1:12" x14ac:dyDescent="0.2">
      <c r="A481" s="221"/>
      <c r="B481" s="222" t="s">
        <v>1624</v>
      </c>
      <c r="C481" s="223">
        <v>1060.8</v>
      </c>
      <c r="D481" s="223" t="s">
        <v>1621</v>
      </c>
      <c r="E481" s="223">
        <v>1060.8</v>
      </c>
      <c r="F481" s="223">
        <v>95.2</v>
      </c>
      <c r="G481" s="223">
        <v>1.7</v>
      </c>
      <c r="H481" s="223"/>
      <c r="I481" s="223"/>
      <c r="J481" s="223"/>
      <c r="K481" s="223"/>
      <c r="L481" s="223"/>
    </row>
    <row r="482" spans="1:12" x14ac:dyDescent="0.2">
      <c r="A482" s="218"/>
      <c r="B482" s="224" t="s">
        <v>1625</v>
      </c>
      <c r="C482" s="220">
        <v>1061.5999999999999</v>
      </c>
      <c r="D482" s="220" t="s">
        <v>1621</v>
      </c>
      <c r="E482" s="220">
        <v>1061.5999999999999</v>
      </c>
      <c r="F482" s="220">
        <v>95.3</v>
      </c>
      <c r="G482" s="220">
        <v>0.8</v>
      </c>
      <c r="H482" s="220"/>
      <c r="I482" s="220"/>
      <c r="J482" s="220"/>
      <c r="K482" s="220"/>
      <c r="L482" s="220"/>
    </row>
    <row r="483" spans="1:12" ht="22.5" x14ac:dyDescent="0.2">
      <c r="A483" s="221"/>
      <c r="B483" s="222" t="s">
        <v>1626</v>
      </c>
      <c r="C483" s="223">
        <v>1062.7</v>
      </c>
      <c r="D483" s="223" t="s">
        <v>1621</v>
      </c>
      <c r="E483" s="223">
        <v>1062.5999999999999</v>
      </c>
      <c r="F483" s="223">
        <v>95.3</v>
      </c>
      <c r="G483" s="223">
        <v>1</v>
      </c>
      <c r="H483" s="223"/>
      <c r="I483" s="223"/>
      <c r="J483" s="223"/>
      <c r="K483" s="223"/>
      <c r="L483" s="223"/>
    </row>
    <row r="484" spans="1:12" x14ac:dyDescent="0.2">
      <c r="A484" s="218"/>
      <c r="B484" s="224" t="s">
        <v>1627</v>
      </c>
      <c r="C484" s="220">
        <v>1064.4000000000001</v>
      </c>
      <c r="D484" s="220" t="s">
        <v>1621</v>
      </c>
      <c r="E484" s="220">
        <v>1064.4000000000001</v>
      </c>
      <c r="F484" s="220">
        <v>95.4</v>
      </c>
      <c r="G484" s="220">
        <v>1.8</v>
      </c>
      <c r="H484" s="220"/>
      <c r="I484" s="220"/>
      <c r="J484" s="220"/>
      <c r="K484" s="220"/>
      <c r="L484" s="220"/>
    </row>
    <row r="485" spans="1:12" ht="22.5" x14ac:dyDescent="0.2">
      <c r="A485" s="221"/>
      <c r="B485" s="222" t="s">
        <v>1628</v>
      </c>
      <c r="C485" s="223">
        <v>1067.5999999999999</v>
      </c>
      <c r="D485" s="223" t="s">
        <v>1621</v>
      </c>
      <c r="E485" s="223">
        <v>1067.5999999999999</v>
      </c>
      <c r="F485" s="223">
        <v>95.6</v>
      </c>
      <c r="G485" s="223">
        <v>3.2</v>
      </c>
      <c r="H485" s="223"/>
      <c r="I485" s="223"/>
      <c r="J485" s="223"/>
      <c r="K485" s="223"/>
      <c r="L485" s="223"/>
    </row>
    <row r="486" spans="1:12" x14ac:dyDescent="0.2">
      <c r="A486" s="218"/>
      <c r="B486" s="224" t="s">
        <v>1629</v>
      </c>
      <c r="C486" s="220">
        <v>1070</v>
      </c>
      <c r="D486" s="220" t="s">
        <v>1621</v>
      </c>
      <c r="E486" s="220">
        <v>1070</v>
      </c>
      <c r="F486" s="220">
        <v>95.7</v>
      </c>
      <c r="G486" s="220">
        <v>2.4</v>
      </c>
      <c r="H486" s="220"/>
      <c r="I486" s="220"/>
      <c r="J486" s="220"/>
      <c r="K486" s="220"/>
      <c r="L486" s="220"/>
    </row>
    <row r="487" spans="1:12" x14ac:dyDescent="0.2">
      <c r="A487" s="221"/>
      <c r="B487" s="222" t="s">
        <v>1630</v>
      </c>
      <c r="C487" s="223">
        <v>1070</v>
      </c>
      <c r="D487" s="223" t="s">
        <v>1621</v>
      </c>
      <c r="E487" s="223">
        <v>1070</v>
      </c>
      <c r="F487" s="223">
        <v>95.7</v>
      </c>
      <c r="G487" s="223">
        <v>0</v>
      </c>
      <c r="H487" s="223"/>
      <c r="I487" s="223"/>
      <c r="J487" s="223"/>
      <c r="K487" s="223"/>
      <c r="L487" s="223"/>
    </row>
    <row r="488" spans="1:12" x14ac:dyDescent="0.2">
      <c r="A488" s="218"/>
      <c r="B488" s="224" t="s">
        <v>1631</v>
      </c>
      <c r="C488" s="220">
        <v>1070.2</v>
      </c>
      <c r="D488" s="220" t="s">
        <v>1621</v>
      </c>
      <c r="E488" s="220">
        <v>1070.2</v>
      </c>
      <c r="F488" s="220">
        <v>95.7</v>
      </c>
      <c r="G488" s="220">
        <v>0.2</v>
      </c>
      <c r="H488" s="220"/>
      <c r="I488" s="220"/>
      <c r="J488" s="220"/>
      <c r="K488" s="220"/>
      <c r="L488" s="220"/>
    </row>
    <row r="489" spans="1:12" x14ac:dyDescent="0.2">
      <c r="A489" s="221"/>
      <c r="B489" s="222" t="s">
        <v>1048</v>
      </c>
      <c r="C489" s="223">
        <v>1072.0999999999999</v>
      </c>
      <c r="D489" s="223" t="s">
        <v>1621</v>
      </c>
      <c r="E489" s="223">
        <v>1072.0999999999999</v>
      </c>
      <c r="F489" s="223">
        <v>95.9</v>
      </c>
      <c r="G489" s="223">
        <v>1.9</v>
      </c>
      <c r="H489" s="223"/>
      <c r="I489" s="223"/>
      <c r="J489" s="223"/>
      <c r="K489" s="223"/>
      <c r="L489" s="223"/>
    </row>
    <row r="490" spans="1:12" ht="22.5" x14ac:dyDescent="0.2">
      <c r="A490" s="218"/>
      <c r="B490" s="224" t="s">
        <v>1632</v>
      </c>
      <c r="C490" s="220">
        <v>1072.5</v>
      </c>
      <c r="D490" s="220" t="s">
        <v>1621</v>
      </c>
      <c r="E490" s="220">
        <v>1072.5</v>
      </c>
      <c r="F490" s="220">
        <v>95.9</v>
      </c>
      <c r="G490" s="220">
        <v>0.3</v>
      </c>
      <c r="H490" s="220"/>
      <c r="I490" s="220"/>
      <c r="J490" s="220"/>
      <c r="K490" s="220"/>
      <c r="L490" s="220"/>
    </row>
    <row r="491" spans="1:12" x14ac:dyDescent="0.2">
      <c r="A491" s="221"/>
      <c r="B491" s="222" t="s">
        <v>141</v>
      </c>
      <c r="C491" s="223">
        <v>1074.4000000000001</v>
      </c>
      <c r="D491" s="223" t="s">
        <v>1621</v>
      </c>
      <c r="E491" s="223">
        <v>1074.4000000000001</v>
      </c>
      <c r="F491" s="223">
        <v>96</v>
      </c>
      <c r="G491" s="223">
        <v>1.9</v>
      </c>
      <c r="H491" s="223"/>
      <c r="I491" s="223"/>
      <c r="J491" s="223"/>
      <c r="K491" s="223"/>
      <c r="L491" s="223"/>
    </row>
    <row r="492" spans="1:12" x14ac:dyDescent="0.2">
      <c r="A492" s="218"/>
      <c r="B492" s="224" t="s">
        <v>1633</v>
      </c>
      <c r="C492" s="220">
        <v>1074.9000000000001</v>
      </c>
      <c r="D492" s="220" t="s">
        <v>1634</v>
      </c>
      <c r="E492" s="220">
        <v>1074.8</v>
      </c>
      <c r="F492" s="220">
        <v>96</v>
      </c>
      <c r="G492" s="220">
        <v>0.4</v>
      </c>
      <c r="H492" s="220"/>
      <c r="I492" s="220"/>
      <c r="J492" s="220"/>
      <c r="K492" s="220"/>
      <c r="L492" s="220"/>
    </row>
    <row r="493" spans="1:12" ht="22.5" x14ac:dyDescent="0.2">
      <c r="A493" s="221"/>
      <c r="B493" s="222" t="s">
        <v>1635</v>
      </c>
      <c r="C493" s="223">
        <v>1075.5</v>
      </c>
      <c r="D493" s="223" t="s">
        <v>1634</v>
      </c>
      <c r="E493" s="223">
        <v>1075.5</v>
      </c>
      <c r="F493" s="223">
        <v>96</v>
      </c>
      <c r="G493" s="223">
        <v>0.7</v>
      </c>
      <c r="H493" s="223"/>
      <c r="I493" s="223"/>
      <c r="J493" s="223"/>
      <c r="K493" s="223"/>
      <c r="L493" s="223"/>
    </row>
    <row r="494" spans="1:12" x14ac:dyDescent="0.2">
      <c r="A494" s="218"/>
      <c r="B494" s="224" t="s">
        <v>1049</v>
      </c>
      <c r="C494" s="220">
        <v>1075.5</v>
      </c>
      <c r="D494" s="220" t="s">
        <v>1634</v>
      </c>
      <c r="E494" s="220">
        <v>1075.5</v>
      </c>
      <c r="F494" s="220">
        <v>96</v>
      </c>
      <c r="G494" s="220">
        <v>0</v>
      </c>
      <c r="H494" s="220"/>
      <c r="I494" s="220"/>
      <c r="J494" s="220"/>
      <c r="K494" s="220"/>
      <c r="L494" s="220"/>
    </row>
    <row r="495" spans="1:12" x14ac:dyDescent="0.2">
      <c r="A495" s="221"/>
      <c r="B495" s="222" t="s">
        <v>1636</v>
      </c>
      <c r="C495" s="223">
        <v>1079.4000000000001</v>
      </c>
      <c r="D495" s="223" t="s">
        <v>1634</v>
      </c>
      <c r="E495" s="223">
        <v>1079.4000000000001</v>
      </c>
      <c r="F495" s="223">
        <v>96.3</v>
      </c>
      <c r="G495" s="223">
        <v>3.9</v>
      </c>
      <c r="H495" s="223"/>
      <c r="I495" s="223"/>
      <c r="J495" s="223"/>
      <c r="K495" s="223"/>
      <c r="L495" s="223"/>
    </row>
    <row r="496" spans="1:12" x14ac:dyDescent="0.2">
      <c r="A496" s="218"/>
      <c r="B496" s="224" t="s">
        <v>1637</v>
      </c>
      <c r="C496" s="220">
        <v>1080</v>
      </c>
      <c r="D496" s="220" t="s">
        <v>1634</v>
      </c>
      <c r="E496" s="220">
        <v>1080</v>
      </c>
      <c r="F496" s="220">
        <v>96.3</v>
      </c>
      <c r="G496" s="220">
        <v>0.6</v>
      </c>
      <c r="H496" s="220"/>
      <c r="I496" s="220"/>
      <c r="J496" s="220"/>
      <c r="K496" s="220"/>
      <c r="L496" s="220"/>
    </row>
    <row r="497" spans="1:12" x14ac:dyDescent="0.2">
      <c r="A497" s="221"/>
      <c r="B497" s="222" t="s">
        <v>1638</v>
      </c>
      <c r="C497" s="223">
        <v>1080.4000000000001</v>
      </c>
      <c r="D497" s="223" t="s">
        <v>1634</v>
      </c>
      <c r="E497" s="223">
        <v>1080.4000000000001</v>
      </c>
      <c r="F497" s="223">
        <v>96.3</v>
      </c>
      <c r="G497" s="223">
        <v>0.4</v>
      </c>
      <c r="H497" s="223"/>
      <c r="I497" s="223"/>
      <c r="J497" s="223"/>
      <c r="K497" s="223"/>
      <c r="L497" s="223"/>
    </row>
    <row r="498" spans="1:12" x14ac:dyDescent="0.2">
      <c r="A498" s="218"/>
      <c r="B498" s="224" t="s">
        <v>1639</v>
      </c>
      <c r="C498" s="220">
        <v>1082.0999999999999</v>
      </c>
      <c r="D498" s="220" t="s">
        <v>1634</v>
      </c>
      <c r="E498" s="220">
        <v>1082.0999999999999</v>
      </c>
      <c r="F498" s="220">
        <v>96.4</v>
      </c>
      <c r="G498" s="220">
        <v>1.7</v>
      </c>
      <c r="H498" s="220"/>
      <c r="I498" s="220"/>
      <c r="J498" s="220"/>
      <c r="K498" s="220"/>
      <c r="L498" s="220"/>
    </row>
    <row r="499" spans="1:12" ht="54" customHeight="1" x14ac:dyDescent="0.2">
      <c r="A499" s="228"/>
      <c r="B499" s="229" t="s">
        <v>1640</v>
      </c>
      <c r="C499" s="230">
        <v>1085.0999999999999</v>
      </c>
      <c r="D499" s="223" t="s">
        <v>1634</v>
      </c>
      <c r="E499" s="230">
        <v>1085.0999999999999</v>
      </c>
      <c r="F499" s="230">
        <v>96.6</v>
      </c>
      <c r="G499" s="230">
        <v>3</v>
      </c>
      <c r="H499" s="230">
        <v>59</v>
      </c>
      <c r="I499" s="230">
        <v>3.3</v>
      </c>
      <c r="J499" s="230">
        <v>18</v>
      </c>
      <c r="K499" s="230">
        <v>3.5</v>
      </c>
      <c r="L499" s="230"/>
    </row>
    <row r="500" spans="1:12" x14ac:dyDescent="0.2">
      <c r="A500" s="228"/>
      <c r="B500" s="229"/>
      <c r="C500" s="230"/>
      <c r="D500" s="223" t="s">
        <v>1641</v>
      </c>
      <c r="E500" s="230"/>
      <c r="F500" s="230"/>
      <c r="G500" s="230"/>
      <c r="H500" s="230"/>
      <c r="I500" s="230"/>
      <c r="J500" s="230"/>
      <c r="K500" s="230"/>
      <c r="L500" s="230"/>
    </row>
    <row r="501" spans="1:12" ht="22.5" x14ac:dyDescent="0.2">
      <c r="A501" s="218"/>
      <c r="B501" s="224" t="s">
        <v>1642</v>
      </c>
      <c r="C501" s="220">
        <v>1085.4000000000001</v>
      </c>
      <c r="D501" s="220" t="s">
        <v>1641</v>
      </c>
      <c r="E501" s="220">
        <v>1085.4000000000001</v>
      </c>
      <c r="F501" s="220">
        <v>97.1</v>
      </c>
      <c r="G501" s="220">
        <v>0.4</v>
      </c>
      <c r="H501" s="220"/>
      <c r="I501" s="220"/>
      <c r="J501" s="220"/>
      <c r="K501" s="220"/>
      <c r="L501" s="220"/>
    </row>
    <row r="502" spans="1:12" x14ac:dyDescent="0.2">
      <c r="A502" s="221"/>
      <c r="B502" s="222" t="s">
        <v>1643</v>
      </c>
      <c r="C502" s="223">
        <v>1085.5999999999999</v>
      </c>
      <c r="D502" s="223" t="s">
        <v>1641</v>
      </c>
      <c r="E502" s="223">
        <v>1085.5</v>
      </c>
      <c r="F502" s="223">
        <v>97.1</v>
      </c>
      <c r="G502" s="223">
        <v>0.1</v>
      </c>
      <c r="H502" s="223"/>
      <c r="I502" s="223"/>
      <c r="J502" s="223"/>
      <c r="K502" s="223"/>
      <c r="L502" s="223"/>
    </row>
    <row r="503" spans="1:12" x14ac:dyDescent="0.2">
      <c r="A503" s="218"/>
      <c r="B503" s="224" t="s">
        <v>1644</v>
      </c>
      <c r="C503" s="220">
        <v>1087.5999999999999</v>
      </c>
      <c r="D503" s="220" t="s">
        <v>1641</v>
      </c>
      <c r="E503" s="220">
        <v>1087.5999999999999</v>
      </c>
      <c r="F503" s="220">
        <v>97.2</v>
      </c>
      <c r="G503" s="220">
        <v>2</v>
      </c>
      <c r="H503" s="220"/>
      <c r="I503" s="220"/>
      <c r="J503" s="220"/>
      <c r="K503" s="220"/>
      <c r="L503" s="220"/>
    </row>
    <row r="504" spans="1:12" x14ac:dyDescent="0.2">
      <c r="A504" s="221"/>
      <c r="B504" s="222" t="s">
        <v>1645</v>
      </c>
      <c r="C504" s="223">
        <v>1092.5</v>
      </c>
      <c r="D504" s="223" t="s">
        <v>1641</v>
      </c>
      <c r="E504" s="223">
        <v>1092.5</v>
      </c>
      <c r="F504" s="223">
        <v>97.4</v>
      </c>
      <c r="G504" s="223">
        <v>4.9000000000000004</v>
      </c>
      <c r="H504" s="223"/>
      <c r="I504" s="223"/>
      <c r="J504" s="223"/>
      <c r="K504" s="223"/>
      <c r="L504" s="223"/>
    </row>
    <row r="505" spans="1:12" x14ac:dyDescent="0.2">
      <c r="A505" s="218"/>
      <c r="B505" s="224" t="s">
        <v>1646</v>
      </c>
      <c r="C505" s="220">
        <v>1094.9000000000001</v>
      </c>
      <c r="D505" s="220" t="s">
        <v>1641</v>
      </c>
      <c r="E505" s="220">
        <v>1094.9000000000001</v>
      </c>
      <c r="F505" s="220">
        <v>97.6</v>
      </c>
      <c r="G505" s="220">
        <v>2.4</v>
      </c>
      <c r="H505" s="220"/>
      <c r="I505" s="220"/>
      <c r="J505" s="220"/>
      <c r="K505" s="220"/>
      <c r="L505" s="220"/>
    </row>
    <row r="506" spans="1:12" ht="22.5" x14ac:dyDescent="0.2">
      <c r="A506" s="221"/>
      <c r="B506" s="222" t="s">
        <v>1647</v>
      </c>
      <c r="C506" s="223">
        <v>1096.3</v>
      </c>
      <c r="D506" s="223" t="s">
        <v>1641</v>
      </c>
      <c r="E506" s="223">
        <v>1096.3</v>
      </c>
      <c r="F506" s="223">
        <v>97.6</v>
      </c>
      <c r="G506" s="223">
        <v>1.3</v>
      </c>
      <c r="H506" s="223"/>
      <c r="I506" s="223"/>
      <c r="J506" s="223"/>
      <c r="K506" s="223"/>
      <c r="L506" s="223"/>
    </row>
    <row r="507" spans="1:12" x14ac:dyDescent="0.2">
      <c r="A507" s="218"/>
      <c r="B507" s="224" t="s">
        <v>1648</v>
      </c>
      <c r="C507" s="220">
        <v>1097.3</v>
      </c>
      <c r="D507" s="220" t="s">
        <v>1641</v>
      </c>
      <c r="E507" s="220">
        <v>1097.3</v>
      </c>
      <c r="F507" s="220">
        <v>97.7</v>
      </c>
      <c r="G507" s="220">
        <v>1</v>
      </c>
      <c r="H507" s="220"/>
      <c r="I507" s="220"/>
      <c r="J507" s="220"/>
      <c r="K507" s="220"/>
      <c r="L507" s="220"/>
    </row>
    <row r="508" spans="1:12" x14ac:dyDescent="0.2">
      <c r="A508" s="221"/>
      <c r="B508" s="222" t="s">
        <v>1649</v>
      </c>
      <c r="C508" s="223">
        <v>1101</v>
      </c>
      <c r="D508" s="223" t="s">
        <v>1641</v>
      </c>
      <c r="E508" s="223">
        <v>1101</v>
      </c>
      <c r="F508" s="223">
        <v>97.9</v>
      </c>
      <c r="G508" s="223">
        <v>3.7</v>
      </c>
      <c r="H508" s="223"/>
      <c r="I508" s="223"/>
      <c r="J508" s="223"/>
      <c r="K508" s="223"/>
      <c r="L508" s="223"/>
    </row>
    <row r="509" spans="1:12" x14ac:dyDescent="0.2">
      <c r="A509" s="218"/>
      <c r="B509" s="224" t="s">
        <v>1650</v>
      </c>
      <c r="C509" s="220">
        <v>1102.4000000000001</v>
      </c>
      <c r="D509" s="220" t="s">
        <v>1641</v>
      </c>
      <c r="E509" s="220">
        <v>1102.4000000000001</v>
      </c>
      <c r="F509" s="220">
        <v>97.9</v>
      </c>
      <c r="G509" s="220">
        <v>1.4</v>
      </c>
      <c r="H509" s="220"/>
      <c r="I509" s="220"/>
      <c r="J509" s="220"/>
      <c r="K509" s="220"/>
      <c r="L509" s="220"/>
    </row>
    <row r="510" spans="1:12" x14ac:dyDescent="0.2">
      <c r="A510" s="221"/>
      <c r="B510" s="222" t="s">
        <v>1638</v>
      </c>
      <c r="C510" s="223">
        <v>1104.4000000000001</v>
      </c>
      <c r="D510" s="223" t="s">
        <v>1651</v>
      </c>
      <c r="E510" s="223">
        <v>1104.4000000000001</v>
      </c>
      <c r="F510" s="223">
        <v>98</v>
      </c>
      <c r="G510" s="223">
        <v>2</v>
      </c>
      <c r="H510" s="223"/>
      <c r="I510" s="223"/>
      <c r="J510" s="223"/>
      <c r="K510" s="223"/>
      <c r="L510" s="223"/>
    </row>
    <row r="511" spans="1:12" x14ac:dyDescent="0.2">
      <c r="A511" s="218"/>
      <c r="B511" s="224" t="s">
        <v>1652</v>
      </c>
      <c r="C511" s="220">
        <v>1104.5</v>
      </c>
      <c r="D511" s="220" t="s">
        <v>1651</v>
      </c>
      <c r="E511" s="220">
        <v>1104.5</v>
      </c>
      <c r="F511" s="220">
        <v>98</v>
      </c>
      <c r="G511" s="220">
        <v>0.1</v>
      </c>
      <c r="H511" s="220"/>
      <c r="I511" s="220"/>
      <c r="J511" s="220"/>
      <c r="K511" s="220"/>
      <c r="L511" s="220"/>
    </row>
    <row r="512" spans="1:12" ht="22.5" x14ac:dyDescent="0.2">
      <c r="A512" s="221"/>
      <c r="B512" s="222" t="s">
        <v>1653</v>
      </c>
      <c r="C512" s="223">
        <v>1104.7</v>
      </c>
      <c r="D512" s="223" t="s">
        <v>1651</v>
      </c>
      <c r="E512" s="223">
        <v>1104.7</v>
      </c>
      <c r="F512" s="223">
        <v>98.1</v>
      </c>
      <c r="G512" s="223">
        <v>0.1</v>
      </c>
      <c r="H512" s="223"/>
      <c r="I512" s="223"/>
      <c r="J512" s="223"/>
      <c r="K512" s="223"/>
      <c r="L512" s="223"/>
    </row>
    <row r="513" spans="1:12" ht="22.5" x14ac:dyDescent="0.2">
      <c r="A513" s="218"/>
      <c r="B513" s="224" t="s">
        <v>1654</v>
      </c>
      <c r="C513" s="220">
        <v>1104.8</v>
      </c>
      <c r="D513" s="220" t="s">
        <v>1651</v>
      </c>
      <c r="E513" s="220">
        <v>1104.8</v>
      </c>
      <c r="F513" s="220">
        <v>98.1</v>
      </c>
      <c r="G513" s="220">
        <v>0.1</v>
      </c>
      <c r="H513" s="220"/>
      <c r="I513" s="220"/>
      <c r="J513" s="220"/>
      <c r="K513" s="220"/>
      <c r="L513" s="220"/>
    </row>
    <row r="514" spans="1:12" ht="22.5" x14ac:dyDescent="0.2">
      <c r="A514" s="221"/>
      <c r="B514" s="222" t="s">
        <v>1654</v>
      </c>
      <c r="C514" s="223">
        <v>1104.8</v>
      </c>
      <c r="D514" s="223" t="s">
        <v>1651</v>
      </c>
      <c r="E514" s="223">
        <v>1104.8</v>
      </c>
      <c r="F514" s="223">
        <v>98.1</v>
      </c>
      <c r="G514" s="223">
        <v>0.1</v>
      </c>
      <c r="H514" s="223"/>
      <c r="I514" s="223"/>
      <c r="J514" s="223"/>
      <c r="K514" s="223"/>
      <c r="L514" s="223"/>
    </row>
    <row r="515" spans="1:12" ht="22.5" x14ac:dyDescent="0.2">
      <c r="A515" s="218"/>
      <c r="B515" s="224" t="s">
        <v>1654</v>
      </c>
      <c r="C515" s="220">
        <v>1105.0999999999999</v>
      </c>
      <c r="D515" s="220" t="s">
        <v>1651</v>
      </c>
      <c r="E515" s="220">
        <v>1105.0999999999999</v>
      </c>
      <c r="F515" s="220">
        <v>98.1</v>
      </c>
      <c r="G515" s="220">
        <v>0.3</v>
      </c>
      <c r="H515" s="220"/>
      <c r="I515" s="220"/>
      <c r="J515" s="220"/>
      <c r="K515" s="220"/>
      <c r="L515" s="220"/>
    </row>
    <row r="516" spans="1:12" ht="33.75" x14ac:dyDescent="0.2">
      <c r="A516" s="221"/>
      <c r="B516" s="222" t="s">
        <v>1655</v>
      </c>
      <c r="C516" s="223">
        <v>1105.9000000000001</v>
      </c>
      <c r="D516" s="223" t="s">
        <v>1651</v>
      </c>
      <c r="E516" s="223">
        <v>1105.9000000000001</v>
      </c>
      <c r="F516" s="223">
        <v>98.1</v>
      </c>
      <c r="G516" s="223">
        <v>0.7</v>
      </c>
      <c r="H516" s="223"/>
      <c r="I516" s="223"/>
      <c r="J516" s="223"/>
      <c r="K516" s="223"/>
      <c r="L516" s="223"/>
    </row>
    <row r="517" spans="1:12" ht="22.5" x14ac:dyDescent="0.2">
      <c r="A517" s="218"/>
      <c r="B517" s="224" t="s">
        <v>1656</v>
      </c>
      <c r="C517" s="220">
        <v>1112.0999999999999</v>
      </c>
      <c r="D517" s="220" t="s">
        <v>1651</v>
      </c>
      <c r="E517" s="220">
        <v>1112.0999999999999</v>
      </c>
      <c r="F517" s="220">
        <v>98.4</v>
      </c>
      <c r="G517" s="220">
        <v>6.3</v>
      </c>
      <c r="H517" s="220"/>
      <c r="I517" s="220"/>
      <c r="J517" s="220"/>
      <c r="K517" s="220"/>
      <c r="L517" s="220"/>
    </row>
    <row r="518" spans="1:12" ht="22.5" x14ac:dyDescent="0.2">
      <c r="A518" s="221"/>
      <c r="B518" s="222" t="s">
        <v>1657</v>
      </c>
      <c r="C518" s="223">
        <v>1112.5999999999999</v>
      </c>
      <c r="D518" s="223" t="s">
        <v>1651</v>
      </c>
      <c r="E518" s="223">
        <v>1112.5999999999999</v>
      </c>
      <c r="F518" s="223">
        <v>98.5</v>
      </c>
      <c r="G518" s="223">
        <v>0.5</v>
      </c>
      <c r="H518" s="223"/>
      <c r="I518" s="223"/>
      <c r="J518" s="223"/>
      <c r="K518" s="223"/>
      <c r="L518" s="223"/>
    </row>
    <row r="519" spans="1:12" x14ac:dyDescent="0.2">
      <c r="A519" s="218"/>
      <c r="B519" s="224" t="s">
        <v>1658</v>
      </c>
      <c r="C519" s="220">
        <v>1113.3</v>
      </c>
      <c r="D519" s="220" t="s">
        <v>1651</v>
      </c>
      <c r="E519" s="220">
        <v>1113.3</v>
      </c>
      <c r="F519" s="220">
        <v>98.5</v>
      </c>
      <c r="G519" s="220">
        <v>0.7</v>
      </c>
      <c r="H519" s="220"/>
      <c r="I519" s="220"/>
      <c r="J519" s="220"/>
      <c r="K519" s="220"/>
      <c r="L519" s="220"/>
    </row>
    <row r="520" spans="1:12" x14ac:dyDescent="0.2">
      <c r="A520" s="221"/>
      <c r="B520" s="222" t="s">
        <v>1659</v>
      </c>
      <c r="C520" s="223">
        <v>1113.5</v>
      </c>
      <c r="D520" s="223" t="s">
        <v>1651</v>
      </c>
      <c r="E520" s="223">
        <v>1113.5</v>
      </c>
      <c r="F520" s="223">
        <v>98.5</v>
      </c>
      <c r="G520" s="223">
        <v>0.2</v>
      </c>
      <c r="H520" s="223"/>
      <c r="I520" s="223"/>
      <c r="J520" s="223"/>
      <c r="K520" s="223"/>
      <c r="L520" s="223"/>
    </row>
    <row r="521" spans="1:12" x14ac:dyDescent="0.2">
      <c r="A521" s="218"/>
      <c r="B521" s="224" t="s">
        <v>1660</v>
      </c>
      <c r="C521" s="220">
        <v>1113.5</v>
      </c>
      <c r="D521" s="220" t="s">
        <v>1651</v>
      </c>
      <c r="E521" s="220">
        <v>1113.5</v>
      </c>
      <c r="F521" s="220">
        <v>98.5</v>
      </c>
      <c r="G521" s="220">
        <v>0</v>
      </c>
      <c r="H521" s="220"/>
      <c r="I521" s="220"/>
      <c r="J521" s="220"/>
      <c r="K521" s="220"/>
      <c r="L521" s="220"/>
    </row>
    <row r="522" spans="1:12" ht="25.5" x14ac:dyDescent="0.2">
      <c r="A522" s="221"/>
      <c r="B522" s="225" t="s">
        <v>1661</v>
      </c>
      <c r="C522" s="223">
        <v>1115.5999999999999</v>
      </c>
      <c r="D522" s="223" t="s">
        <v>1651</v>
      </c>
      <c r="E522" s="223">
        <v>1115.5999999999999</v>
      </c>
      <c r="F522" s="223">
        <v>98.6</v>
      </c>
      <c r="G522" s="223">
        <v>2.1</v>
      </c>
      <c r="H522" s="223">
        <v>30.5</v>
      </c>
      <c r="I522" s="223">
        <v>1.5</v>
      </c>
      <c r="J522" s="223">
        <v>19.899999999999999</v>
      </c>
      <c r="K522" s="223">
        <v>2.5</v>
      </c>
      <c r="L522" s="223"/>
    </row>
    <row r="523" spans="1:12" x14ac:dyDescent="0.2">
      <c r="A523" s="218"/>
      <c r="B523" s="224" t="s">
        <v>1662</v>
      </c>
      <c r="C523" s="220">
        <v>1115.8</v>
      </c>
      <c r="D523" s="220" t="s">
        <v>1651</v>
      </c>
      <c r="E523" s="220">
        <v>1115.8</v>
      </c>
      <c r="F523" s="220">
        <v>98.6</v>
      </c>
      <c r="G523" s="220">
        <v>0.3</v>
      </c>
      <c r="H523" s="220"/>
      <c r="I523" s="220"/>
      <c r="J523" s="220"/>
      <c r="K523" s="220"/>
      <c r="L523" s="220"/>
    </row>
    <row r="524" spans="1:12" x14ac:dyDescent="0.2">
      <c r="A524" s="221"/>
      <c r="B524" s="222" t="s">
        <v>1663</v>
      </c>
      <c r="C524" s="223">
        <v>1118.4000000000001</v>
      </c>
      <c r="D524" s="223" t="s">
        <v>1651</v>
      </c>
      <c r="E524" s="223">
        <v>1118.4000000000001</v>
      </c>
      <c r="F524" s="223">
        <v>98.7</v>
      </c>
      <c r="G524" s="223">
        <v>2.6</v>
      </c>
      <c r="H524" s="223"/>
      <c r="I524" s="223"/>
      <c r="J524" s="223"/>
      <c r="K524" s="223"/>
      <c r="L524" s="223"/>
    </row>
    <row r="525" spans="1:12" x14ac:dyDescent="0.2">
      <c r="A525" s="218"/>
      <c r="B525" s="224" t="s">
        <v>145</v>
      </c>
      <c r="C525" s="220">
        <v>1120.4000000000001</v>
      </c>
      <c r="D525" s="220" t="s">
        <v>1651</v>
      </c>
      <c r="E525" s="220">
        <v>1120.4000000000001</v>
      </c>
      <c r="F525" s="220">
        <v>98.8</v>
      </c>
      <c r="G525" s="220">
        <v>2.1</v>
      </c>
      <c r="H525" s="220"/>
      <c r="I525" s="220"/>
      <c r="J525" s="220"/>
      <c r="K525" s="220"/>
      <c r="L525" s="220"/>
    </row>
    <row r="526" spans="1:12" ht="22.5" x14ac:dyDescent="0.2">
      <c r="A526" s="221"/>
      <c r="B526" s="222" t="s">
        <v>1664</v>
      </c>
      <c r="C526" s="223">
        <v>1122.9000000000001</v>
      </c>
      <c r="D526" s="223" t="s">
        <v>1651</v>
      </c>
      <c r="E526" s="223">
        <v>1122.9000000000001</v>
      </c>
      <c r="F526" s="223">
        <v>99</v>
      </c>
      <c r="G526" s="223">
        <v>2.4</v>
      </c>
      <c r="H526" s="223"/>
      <c r="I526" s="223"/>
      <c r="J526" s="223"/>
      <c r="K526" s="223"/>
      <c r="L526" s="223"/>
    </row>
    <row r="527" spans="1:12" ht="22.5" x14ac:dyDescent="0.2">
      <c r="A527" s="218"/>
      <c r="B527" s="224" t="s">
        <v>1665</v>
      </c>
      <c r="C527" s="220">
        <v>1123.3</v>
      </c>
      <c r="D527" s="220" t="s">
        <v>1651</v>
      </c>
      <c r="E527" s="220">
        <v>1123.3</v>
      </c>
      <c r="F527" s="220">
        <v>99</v>
      </c>
      <c r="G527" s="220">
        <v>0.4</v>
      </c>
      <c r="H527" s="220"/>
      <c r="I527" s="220"/>
      <c r="J527" s="220"/>
      <c r="K527" s="220"/>
      <c r="L527" s="220"/>
    </row>
    <row r="528" spans="1:12" ht="22.5" x14ac:dyDescent="0.2">
      <c r="A528" s="221"/>
      <c r="B528" s="222" t="s">
        <v>1227</v>
      </c>
      <c r="C528" s="223">
        <v>1123.4000000000001</v>
      </c>
      <c r="D528" s="223" t="s">
        <v>1651</v>
      </c>
      <c r="E528" s="223">
        <v>1123.4000000000001</v>
      </c>
      <c r="F528" s="223">
        <v>99</v>
      </c>
      <c r="G528" s="223">
        <v>0.1</v>
      </c>
      <c r="H528" s="223"/>
      <c r="I528" s="223"/>
      <c r="J528" s="223"/>
      <c r="K528" s="223"/>
      <c r="L528" s="223"/>
    </row>
    <row r="529" spans="1:12" ht="22.5" x14ac:dyDescent="0.2">
      <c r="A529" s="218"/>
      <c r="B529" s="224" t="s">
        <v>1664</v>
      </c>
      <c r="C529" s="220">
        <v>1124.0999999999999</v>
      </c>
      <c r="D529" s="220" t="s">
        <v>1666</v>
      </c>
      <c r="E529" s="220">
        <v>1124.0999999999999</v>
      </c>
      <c r="F529" s="220">
        <v>99</v>
      </c>
      <c r="G529" s="220">
        <v>0.7</v>
      </c>
      <c r="H529" s="220"/>
      <c r="I529" s="220"/>
      <c r="J529" s="220"/>
      <c r="K529" s="220"/>
      <c r="L529" s="220"/>
    </row>
    <row r="530" spans="1:12" x14ac:dyDescent="0.2">
      <c r="A530" s="221"/>
      <c r="B530" s="222" t="s">
        <v>1667</v>
      </c>
      <c r="C530" s="223">
        <v>1124.2</v>
      </c>
      <c r="D530" s="223" t="s">
        <v>1666</v>
      </c>
      <c r="E530" s="223">
        <v>1124.2</v>
      </c>
      <c r="F530" s="223">
        <v>99</v>
      </c>
      <c r="G530" s="223">
        <v>0.2</v>
      </c>
      <c r="H530" s="223"/>
      <c r="I530" s="223"/>
      <c r="J530" s="223"/>
      <c r="K530" s="223"/>
      <c r="L530" s="223"/>
    </row>
    <row r="531" spans="1:12" ht="22.5" x14ac:dyDescent="0.2">
      <c r="A531" s="218"/>
      <c r="B531" s="224" t="s">
        <v>1668</v>
      </c>
      <c r="C531" s="220">
        <v>1124.4000000000001</v>
      </c>
      <c r="D531" s="220" t="s">
        <v>1666</v>
      </c>
      <c r="E531" s="220">
        <v>1124.4000000000001</v>
      </c>
      <c r="F531" s="220">
        <v>99</v>
      </c>
      <c r="G531" s="220">
        <v>0.2</v>
      </c>
      <c r="H531" s="220"/>
      <c r="I531" s="220"/>
      <c r="J531" s="220"/>
      <c r="K531" s="220"/>
      <c r="L531" s="220"/>
    </row>
    <row r="532" spans="1:12" ht="22.5" x14ac:dyDescent="0.2">
      <c r="A532" s="221"/>
      <c r="B532" s="222" t="s">
        <v>1669</v>
      </c>
      <c r="C532" s="223">
        <v>1124.5</v>
      </c>
      <c r="D532" s="223" t="s">
        <v>1666</v>
      </c>
      <c r="E532" s="223">
        <v>1124.4000000000001</v>
      </c>
      <c r="F532" s="223">
        <v>99</v>
      </c>
      <c r="G532" s="223">
        <v>0</v>
      </c>
      <c r="H532" s="223"/>
      <c r="I532" s="223"/>
      <c r="J532" s="223"/>
      <c r="K532" s="223"/>
      <c r="L532" s="223"/>
    </row>
    <row r="533" spans="1:12" ht="22.5" x14ac:dyDescent="0.2">
      <c r="A533" s="218"/>
      <c r="B533" s="224" t="s">
        <v>1670</v>
      </c>
      <c r="C533" s="220">
        <v>1126.5</v>
      </c>
      <c r="D533" s="220" t="s">
        <v>1666</v>
      </c>
      <c r="E533" s="220">
        <v>1126.5</v>
      </c>
      <c r="F533" s="220">
        <v>99.1</v>
      </c>
      <c r="G533" s="220">
        <v>2.1</v>
      </c>
      <c r="H533" s="220"/>
      <c r="I533" s="220"/>
      <c r="J533" s="220"/>
      <c r="K533" s="220"/>
      <c r="L533" s="220"/>
    </row>
    <row r="534" spans="1:12" x14ac:dyDescent="0.2">
      <c r="A534" s="221"/>
      <c r="B534" s="222" t="s">
        <v>1671</v>
      </c>
      <c r="C534" s="223">
        <v>1127.5</v>
      </c>
      <c r="D534" s="223" t="s">
        <v>1666</v>
      </c>
      <c r="E534" s="223">
        <v>1127.5</v>
      </c>
      <c r="F534" s="223">
        <v>99.2</v>
      </c>
      <c r="G534" s="223">
        <v>1</v>
      </c>
      <c r="H534" s="223"/>
      <c r="I534" s="223"/>
      <c r="J534" s="223"/>
      <c r="K534" s="223"/>
      <c r="L534" s="223"/>
    </row>
    <row r="535" spans="1:12" x14ac:dyDescent="0.2">
      <c r="A535" s="218"/>
      <c r="B535" s="224" t="s">
        <v>1426</v>
      </c>
      <c r="C535" s="220">
        <v>1128.5999999999999</v>
      </c>
      <c r="D535" s="220" t="s">
        <v>1666</v>
      </c>
      <c r="E535" s="220">
        <v>1128.5999999999999</v>
      </c>
      <c r="F535" s="220">
        <v>99.2</v>
      </c>
      <c r="G535" s="220">
        <v>1.1000000000000001</v>
      </c>
      <c r="H535" s="220"/>
      <c r="I535" s="220"/>
      <c r="J535" s="220"/>
      <c r="K535" s="220"/>
      <c r="L535" s="220"/>
    </row>
    <row r="536" spans="1:12" x14ac:dyDescent="0.2">
      <c r="A536" s="221"/>
      <c r="B536" s="222" t="s">
        <v>1672</v>
      </c>
      <c r="C536" s="223">
        <v>1128.5999999999999</v>
      </c>
      <c r="D536" s="223" t="s">
        <v>1666</v>
      </c>
      <c r="E536" s="223">
        <v>1128.5999999999999</v>
      </c>
      <c r="F536" s="223">
        <v>99.2</v>
      </c>
      <c r="G536" s="223">
        <v>0</v>
      </c>
      <c r="H536" s="223"/>
      <c r="I536" s="223"/>
      <c r="J536" s="223"/>
      <c r="K536" s="223"/>
      <c r="L536" s="223"/>
    </row>
    <row r="537" spans="1:12" x14ac:dyDescent="0.2">
      <c r="A537" s="218"/>
      <c r="B537" s="224" t="s">
        <v>1673</v>
      </c>
      <c r="C537" s="220">
        <v>1131.2</v>
      </c>
      <c r="D537" s="220" t="s">
        <v>1666</v>
      </c>
      <c r="E537" s="220">
        <v>1131.2</v>
      </c>
      <c r="F537" s="220">
        <v>99.4</v>
      </c>
      <c r="G537" s="220">
        <v>2.6</v>
      </c>
      <c r="H537" s="220"/>
      <c r="I537" s="220"/>
      <c r="J537" s="220"/>
      <c r="K537" s="220"/>
      <c r="L537" s="220"/>
    </row>
    <row r="538" spans="1:12" x14ac:dyDescent="0.2">
      <c r="A538" s="221"/>
      <c r="B538" s="222" t="s">
        <v>1673</v>
      </c>
      <c r="C538" s="223">
        <v>1131.2</v>
      </c>
      <c r="D538" s="223" t="s">
        <v>1666</v>
      </c>
      <c r="E538" s="223">
        <v>1131.2</v>
      </c>
      <c r="F538" s="223">
        <v>99.4</v>
      </c>
      <c r="G538" s="223">
        <v>0</v>
      </c>
      <c r="H538" s="223"/>
      <c r="I538" s="223"/>
      <c r="J538" s="223"/>
      <c r="K538" s="223"/>
      <c r="L538" s="223"/>
    </row>
    <row r="539" spans="1:12" x14ac:dyDescent="0.2">
      <c r="A539" s="218"/>
      <c r="B539" s="224" t="s">
        <v>1385</v>
      </c>
      <c r="C539" s="220">
        <v>1132.4000000000001</v>
      </c>
      <c r="D539" s="220" t="s">
        <v>1666</v>
      </c>
      <c r="E539" s="220">
        <v>1132.4000000000001</v>
      </c>
      <c r="F539" s="220">
        <v>99.4</v>
      </c>
      <c r="G539" s="220">
        <v>1.2</v>
      </c>
      <c r="H539" s="220"/>
      <c r="I539" s="220"/>
      <c r="J539" s="220"/>
      <c r="K539" s="220"/>
      <c r="L539" s="220"/>
    </row>
    <row r="540" spans="1:12" x14ac:dyDescent="0.2">
      <c r="A540" s="221"/>
      <c r="B540" s="222" t="s">
        <v>1386</v>
      </c>
      <c r="C540" s="223">
        <v>1133.3</v>
      </c>
      <c r="D540" s="223" t="s">
        <v>1666</v>
      </c>
      <c r="E540" s="223">
        <v>1133.3</v>
      </c>
      <c r="F540" s="223">
        <v>99.5</v>
      </c>
      <c r="G540" s="223">
        <v>0.9</v>
      </c>
      <c r="H540" s="223"/>
      <c r="I540" s="223"/>
      <c r="J540" s="223"/>
      <c r="K540" s="223"/>
      <c r="L540" s="223"/>
    </row>
    <row r="541" spans="1:12" x14ac:dyDescent="0.2">
      <c r="A541" s="218"/>
      <c r="B541" s="224" t="s">
        <v>1386</v>
      </c>
      <c r="C541" s="220">
        <v>1133.4000000000001</v>
      </c>
      <c r="D541" s="220" t="s">
        <v>1666</v>
      </c>
      <c r="E541" s="220">
        <v>1133.4000000000001</v>
      </c>
      <c r="F541" s="220">
        <v>99.5</v>
      </c>
      <c r="G541" s="220">
        <v>0</v>
      </c>
      <c r="H541" s="220"/>
      <c r="I541" s="220"/>
      <c r="J541" s="220"/>
      <c r="K541" s="220"/>
      <c r="L541" s="220"/>
    </row>
    <row r="542" spans="1:12" x14ac:dyDescent="0.2">
      <c r="A542" s="221"/>
      <c r="B542" s="222" t="s">
        <v>1674</v>
      </c>
      <c r="C542" s="223">
        <v>1134.8</v>
      </c>
      <c r="D542" s="223" t="s">
        <v>1666</v>
      </c>
      <c r="E542" s="223">
        <v>1134.8</v>
      </c>
      <c r="F542" s="223">
        <v>99.5</v>
      </c>
      <c r="G542" s="223">
        <v>1.4</v>
      </c>
      <c r="H542" s="223"/>
      <c r="I542" s="223"/>
      <c r="J542" s="223"/>
      <c r="K542" s="223"/>
      <c r="L542" s="223"/>
    </row>
    <row r="543" spans="1:12" x14ac:dyDescent="0.2">
      <c r="A543" s="218"/>
      <c r="B543" s="224" t="s">
        <v>1675</v>
      </c>
      <c r="C543" s="220">
        <v>1136</v>
      </c>
      <c r="D543" s="220" t="s">
        <v>1666</v>
      </c>
      <c r="E543" s="220">
        <v>1136</v>
      </c>
      <c r="F543" s="220">
        <v>99.6</v>
      </c>
      <c r="G543" s="220">
        <v>1.1000000000000001</v>
      </c>
      <c r="H543" s="220"/>
      <c r="I543" s="220"/>
      <c r="J543" s="220"/>
      <c r="K543" s="220"/>
      <c r="L543" s="220"/>
    </row>
    <row r="544" spans="1:12" x14ac:dyDescent="0.2">
      <c r="A544" s="221"/>
      <c r="B544" s="222" t="s">
        <v>1676</v>
      </c>
      <c r="C544" s="223">
        <v>1136.9000000000001</v>
      </c>
      <c r="D544" s="223" t="s">
        <v>1666</v>
      </c>
      <c r="E544" s="223">
        <v>1136.9000000000001</v>
      </c>
      <c r="F544" s="223">
        <v>99.6</v>
      </c>
      <c r="G544" s="223">
        <v>0.9</v>
      </c>
      <c r="H544" s="223"/>
      <c r="I544" s="223"/>
      <c r="J544" s="223"/>
      <c r="K544" s="223"/>
      <c r="L544" s="223"/>
    </row>
    <row r="545" spans="1:12" x14ac:dyDescent="0.2">
      <c r="A545" s="218"/>
      <c r="B545" s="224" t="s">
        <v>146</v>
      </c>
      <c r="C545" s="220">
        <v>1138.9000000000001</v>
      </c>
      <c r="D545" s="220" t="s">
        <v>1666</v>
      </c>
      <c r="E545" s="220">
        <v>1138.9000000000001</v>
      </c>
      <c r="F545" s="220">
        <v>99.7</v>
      </c>
      <c r="G545" s="220">
        <v>2</v>
      </c>
      <c r="H545" s="220"/>
      <c r="I545" s="220"/>
      <c r="J545" s="220"/>
      <c r="K545" s="220"/>
      <c r="L545" s="220"/>
    </row>
    <row r="546" spans="1:12" x14ac:dyDescent="0.2">
      <c r="A546" s="221"/>
      <c r="B546" s="222" t="s">
        <v>1677</v>
      </c>
      <c r="C546" s="223">
        <v>1141.0999999999999</v>
      </c>
      <c r="D546" s="223" t="s">
        <v>1666</v>
      </c>
      <c r="E546" s="223">
        <v>1141.0999999999999</v>
      </c>
      <c r="F546" s="223">
        <v>99.9</v>
      </c>
      <c r="G546" s="223">
        <v>2.2000000000000002</v>
      </c>
      <c r="H546" s="223"/>
      <c r="I546" s="223"/>
      <c r="J546" s="223"/>
      <c r="K546" s="223"/>
      <c r="L546" s="223"/>
    </row>
    <row r="547" spans="1:12" x14ac:dyDescent="0.2">
      <c r="A547" s="218"/>
      <c r="B547" s="224" t="s">
        <v>1678</v>
      </c>
      <c r="C547" s="220">
        <v>1141.0999999999999</v>
      </c>
      <c r="D547" s="220" t="s">
        <v>1666</v>
      </c>
      <c r="E547" s="220">
        <v>1141.0999999999999</v>
      </c>
      <c r="F547" s="220">
        <v>99.9</v>
      </c>
      <c r="G547" s="220">
        <v>0</v>
      </c>
      <c r="H547" s="220"/>
      <c r="I547" s="220"/>
      <c r="J547" s="220"/>
      <c r="K547" s="220"/>
      <c r="L547" s="220"/>
    </row>
    <row r="548" spans="1:12" x14ac:dyDescent="0.2">
      <c r="A548" s="221"/>
      <c r="B548" s="222" t="s">
        <v>113</v>
      </c>
      <c r="C548" s="223">
        <v>1146.3</v>
      </c>
      <c r="D548" s="223" t="s">
        <v>1679</v>
      </c>
      <c r="E548" s="223">
        <v>1146.3</v>
      </c>
      <c r="F548" s="223">
        <v>100.1</v>
      </c>
      <c r="G548" s="223">
        <v>5.2</v>
      </c>
      <c r="H548" s="223"/>
      <c r="I548" s="223"/>
      <c r="J548" s="223"/>
      <c r="K548" s="223"/>
      <c r="L548" s="223"/>
    </row>
    <row r="549" spans="1:12" ht="22.5" x14ac:dyDescent="0.2">
      <c r="A549" s="218"/>
      <c r="B549" s="224" t="s">
        <v>1227</v>
      </c>
      <c r="C549" s="220">
        <v>1148.9000000000001</v>
      </c>
      <c r="D549" s="220" t="s">
        <v>1679</v>
      </c>
      <c r="E549" s="220">
        <v>1148.9000000000001</v>
      </c>
      <c r="F549" s="220">
        <v>100.2</v>
      </c>
      <c r="G549" s="220">
        <v>2.6</v>
      </c>
      <c r="H549" s="220"/>
      <c r="I549" s="220"/>
      <c r="J549" s="220"/>
      <c r="K549" s="220"/>
      <c r="L549" s="220"/>
    </row>
    <row r="550" spans="1:12" x14ac:dyDescent="0.2">
      <c r="A550" s="221"/>
      <c r="B550" s="222" t="s">
        <v>1680</v>
      </c>
      <c r="C550" s="223">
        <v>1149.7</v>
      </c>
      <c r="D550" s="223" t="s">
        <v>1679</v>
      </c>
      <c r="E550" s="223">
        <v>1149.7</v>
      </c>
      <c r="F550" s="223">
        <v>100.3</v>
      </c>
      <c r="G550" s="223">
        <v>0.8</v>
      </c>
      <c r="H550" s="223"/>
      <c r="I550" s="223"/>
      <c r="J550" s="223"/>
      <c r="K550" s="223"/>
      <c r="L550" s="223"/>
    </row>
    <row r="551" spans="1:12" ht="41.25" customHeight="1" x14ac:dyDescent="0.2">
      <c r="A551" s="231"/>
      <c r="B551" s="232" t="s">
        <v>1681</v>
      </c>
      <c r="C551" s="233">
        <v>1150.7</v>
      </c>
      <c r="D551" s="220" t="s">
        <v>1679</v>
      </c>
      <c r="E551" s="233">
        <v>1150.7</v>
      </c>
      <c r="F551" s="233">
        <v>100.3</v>
      </c>
      <c r="G551" s="233">
        <v>1</v>
      </c>
      <c r="H551" s="233">
        <v>35.1</v>
      </c>
      <c r="I551" s="233">
        <v>1.7</v>
      </c>
      <c r="J551" s="233">
        <v>20.399999999999999</v>
      </c>
      <c r="K551" s="233">
        <v>2.2999999999999998</v>
      </c>
      <c r="L551" s="233"/>
    </row>
    <row r="552" spans="1:12" x14ac:dyDescent="0.2">
      <c r="A552" s="231"/>
      <c r="B552" s="232"/>
      <c r="C552" s="233"/>
      <c r="D552" s="220" t="s">
        <v>1679</v>
      </c>
      <c r="E552" s="233"/>
      <c r="F552" s="233"/>
      <c r="G552" s="233"/>
      <c r="H552" s="233"/>
      <c r="I552" s="233"/>
      <c r="J552" s="233"/>
      <c r="K552" s="233"/>
      <c r="L552" s="233"/>
    </row>
    <row r="553" spans="1:12" x14ac:dyDescent="0.2">
      <c r="A553" s="221"/>
      <c r="B553" s="222" t="s">
        <v>1682</v>
      </c>
      <c r="C553" s="223">
        <v>1151.2</v>
      </c>
      <c r="D553" s="223" t="s">
        <v>1679</v>
      </c>
      <c r="E553" s="223">
        <v>1151.2</v>
      </c>
      <c r="F553" s="223">
        <v>100.8</v>
      </c>
      <c r="G553" s="223">
        <v>0.5</v>
      </c>
      <c r="H553" s="223"/>
      <c r="I553" s="223"/>
      <c r="J553" s="223"/>
      <c r="K553" s="223"/>
      <c r="L553" s="223"/>
    </row>
    <row r="554" spans="1:12" x14ac:dyDescent="0.2">
      <c r="A554" s="218"/>
      <c r="B554" s="224" t="s">
        <v>1682</v>
      </c>
      <c r="C554" s="220">
        <v>1151.4000000000001</v>
      </c>
      <c r="D554" s="220" t="s">
        <v>1679</v>
      </c>
      <c r="E554" s="220">
        <v>1151.4000000000001</v>
      </c>
      <c r="F554" s="220">
        <v>100.9</v>
      </c>
      <c r="G554" s="220">
        <v>0.3</v>
      </c>
      <c r="H554" s="220"/>
      <c r="I554" s="220"/>
      <c r="J554" s="220"/>
      <c r="K554" s="220"/>
      <c r="L554" s="220"/>
    </row>
    <row r="555" spans="1:12" x14ac:dyDescent="0.2">
      <c r="A555" s="221"/>
      <c r="B555" s="222" t="s">
        <v>1683</v>
      </c>
      <c r="C555" s="223">
        <v>1151.9000000000001</v>
      </c>
      <c r="D555" s="223" t="s">
        <v>1679</v>
      </c>
      <c r="E555" s="223">
        <v>1151.9000000000001</v>
      </c>
      <c r="F555" s="223">
        <v>100.9</v>
      </c>
      <c r="G555" s="223">
        <v>0.5</v>
      </c>
      <c r="H555" s="223"/>
      <c r="I555" s="223"/>
      <c r="J555" s="223"/>
      <c r="K555" s="223"/>
      <c r="L555" s="223"/>
    </row>
    <row r="556" spans="1:12" x14ac:dyDescent="0.2">
      <c r="A556" s="218"/>
      <c r="B556" s="224" t="s">
        <v>1684</v>
      </c>
      <c r="C556" s="220">
        <v>1152</v>
      </c>
      <c r="D556" s="220" t="s">
        <v>1679</v>
      </c>
      <c r="E556" s="220">
        <v>1152</v>
      </c>
      <c r="F556" s="220">
        <v>100.9</v>
      </c>
      <c r="G556" s="220">
        <v>0</v>
      </c>
      <c r="H556" s="220"/>
      <c r="I556" s="220"/>
      <c r="J556" s="220"/>
      <c r="K556" s="220"/>
      <c r="L556" s="220"/>
    </row>
    <row r="557" spans="1:12" x14ac:dyDescent="0.2">
      <c r="A557" s="221"/>
      <c r="B557" s="222" t="s">
        <v>1685</v>
      </c>
      <c r="C557" s="223">
        <v>1154.7</v>
      </c>
      <c r="D557" s="223" t="s">
        <v>1686</v>
      </c>
      <c r="E557" s="223">
        <v>1154.7</v>
      </c>
      <c r="F557" s="223">
        <v>101</v>
      </c>
      <c r="G557" s="223">
        <v>2.8</v>
      </c>
      <c r="H557" s="223"/>
      <c r="I557" s="223"/>
      <c r="J557" s="223"/>
      <c r="K557" s="223"/>
      <c r="L557" s="223"/>
    </row>
    <row r="558" spans="1:12" x14ac:dyDescent="0.2">
      <c r="A558" s="218"/>
      <c r="B558" s="224" t="s">
        <v>1687</v>
      </c>
      <c r="C558" s="220">
        <v>1158.7</v>
      </c>
      <c r="D558" s="220" t="s">
        <v>1686</v>
      </c>
      <c r="E558" s="220">
        <v>1158.7</v>
      </c>
      <c r="F558" s="220">
        <v>101.2</v>
      </c>
      <c r="G558" s="220">
        <v>3.9</v>
      </c>
      <c r="H558" s="220"/>
      <c r="I558" s="220"/>
      <c r="J558" s="220"/>
      <c r="K558" s="220"/>
      <c r="L558" s="220"/>
    </row>
    <row r="559" spans="1:12" x14ac:dyDescent="0.2">
      <c r="A559" s="221"/>
      <c r="B559" s="222" t="s">
        <v>1688</v>
      </c>
      <c r="C559" s="223">
        <v>1158.7</v>
      </c>
      <c r="D559" s="223" t="s">
        <v>1686</v>
      </c>
      <c r="E559" s="223">
        <v>1158.7</v>
      </c>
      <c r="F559" s="223">
        <v>101.2</v>
      </c>
      <c r="G559" s="223">
        <v>0</v>
      </c>
      <c r="H559" s="223"/>
      <c r="I559" s="223"/>
      <c r="J559" s="223"/>
      <c r="K559" s="223"/>
      <c r="L559" s="223"/>
    </row>
    <row r="560" spans="1:12" x14ac:dyDescent="0.2">
      <c r="A560" s="218"/>
      <c r="B560" s="224" t="s">
        <v>148</v>
      </c>
      <c r="C560" s="220">
        <v>1161.7</v>
      </c>
      <c r="D560" s="220" t="s">
        <v>1686</v>
      </c>
      <c r="E560" s="220">
        <v>1161.7</v>
      </c>
      <c r="F560" s="220">
        <v>101.4</v>
      </c>
      <c r="G560" s="220">
        <v>3</v>
      </c>
      <c r="H560" s="220"/>
      <c r="I560" s="220"/>
      <c r="J560" s="220"/>
      <c r="K560" s="220"/>
      <c r="L560" s="220"/>
    </row>
    <row r="561" spans="1:12" x14ac:dyDescent="0.2">
      <c r="A561" s="221"/>
      <c r="B561" s="222" t="s">
        <v>1689</v>
      </c>
      <c r="C561" s="223">
        <v>1168.8</v>
      </c>
      <c r="D561" s="223" t="s">
        <v>1686</v>
      </c>
      <c r="E561" s="223">
        <v>1168.8</v>
      </c>
      <c r="F561" s="223">
        <v>101.7</v>
      </c>
      <c r="G561" s="223">
        <v>7.1</v>
      </c>
      <c r="H561" s="223"/>
      <c r="I561" s="223"/>
      <c r="J561" s="223"/>
      <c r="K561" s="223"/>
      <c r="L561" s="223"/>
    </row>
    <row r="562" spans="1:12" x14ac:dyDescent="0.2">
      <c r="A562" s="218"/>
      <c r="B562" s="224" t="s">
        <v>1690</v>
      </c>
      <c r="C562" s="220">
        <v>1168.8</v>
      </c>
      <c r="D562" s="220" t="s">
        <v>1686</v>
      </c>
      <c r="E562" s="220">
        <v>1168.8</v>
      </c>
      <c r="F562" s="220">
        <v>101.7</v>
      </c>
      <c r="G562" s="220">
        <v>0</v>
      </c>
      <c r="H562" s="220"/>
      <c r="I562" s="220"/>
      <c r="J562" s="220"/>
      <c r="K562" s="220"/>
      <c r="L562" s="220"/>
    </row>
    <row r="563" spans="1:12" x14ac:dyDescent="0.2">
      <c r="A563" s="221"/>
      <c r="B563" s="222" t="s">
        <v>149</v>
      </c>
      <c r="C563" s="223">
        <v>1180.5</v>
      </c>
      <c r="D563" s="223" t="s">
        <v>1691</v>
      </c>
      <c r="E563" s="223">
        <v>1180.5</v>
      </c>
      <c r="F563" s="223">
        <v>102.3</v>
      </c>
      <c r="G563" s="223">
        <v>11.7</v>
      </c>
      <c r="H563" s="223"/>
      <c r="I563" s="223"/>
      <c r="J563" s="223"/>
      <c r="K563" s="223"/>
      <c r="L563" s="223"/>
    </row>
    <row r="564" spans="1:12" x14ac:dyDescent="0.2">
      <c r="A564" s="218"/>
      <c r="B564" s="224" t="s">
        <v>1692</v>
      </c>
      <c r="C564" s="220">
        <v>1180.7</v>
      </c>
      <c r="D564" s="220" t="s">
        <v>1691</v>
      </c>
      <c r="E564" s="220">
        <v>1180.7</v>
      </c>
      <c r="F564" s="220">
        <v>102.3</v>
      </c>
      <c r="G564" s="220">
        <v>0.2</v>
      </c>
      <c r="H564" s="220"/>
      <c r="I564" s="220"/>
      <c r="J564" s="220"/>
      <c r="K564" s="220"/>
      <c r="L564" s="220"/>
    </row>
    <row r="565" spans="1:12" x14ac:dyDescent="0.2">
      <c r="A565" s="221"/>
      <c r="B565" s="222" t="s">
        <v>1693</v>
      </c>
      <c r="C565" s="223">
        <v>1184.4000000000001</v>
      </c>
      <c r="D565" s="223" t="s">
        <v>1691</v>
      </c>
      <c r="E565" s="223">
        <v>1184.4000000000001</v>
      </c>
      <c r="F565" s="223">
        <v>102.5</v>
      </c>
      <c r="G565" s="223">
        <v>3.8</v>
      </c>
      <c r="H565" s="223"/>
      <c r="I565" s="223"/>
      <c r="J565" s="223"/>
      <c r="K565" s="223"/>
      <c r="L565" s="223"/>
    </row>
    <row r="566" spans="1:12" ht="22.5" x14ac:dyDescent="0.2">
      <c r="A566" s="218"/>
      <c r="B566" s="224" t="s">
        <v>1694</v>
      </c>
      <c r="C566" s="220">
        <v>1185.0999999999999</v>
      </c>
      <c r="D566" s="220" t="s">
        <v>1691</v>
      </c>
      <c r="E566" s="220">
        <v>1185.0999999999999</v>
      </c>
      <c r="F566" s="220">
        <v>102.5</v>
      </c>
      <c r="G566" s="220">
        <v>0.7</v>
      </c>
      <c r="H566" s="220"/>
      <c r="I566" s="220"/>
      <c r="J566" s="220"/>
      <c r="K566" s="220"/>
      <c r="L566" s="220"/>
    </row>
    <row r="567" spans="1:12" ht="22.5" x14ac:dyDescent="0.2">
      <c r="A567" s="221"/>
      <c r="B567" s="222" t="s">
        <v>1695</v>
      </c>
      <c r="C567" s="223">
        <v>1186.3</v>
      </c>
      <c r="D567" s="223" t="s">
        <v>1691</v>
      </c>
      <c r="E567" s="223">
        <v>1186.3</v>
      </c>
      <c r="F567" s="223">
        <v>102.6</v>
      </c>
      <c r="G567" s="223">
        <v>1.2</v>
      </c>
      <c r="H567" s="223"/>
      <c r="I567" s="223"/>
      <c r="J567" s="223"/>
      <c r="K567" s="223"/>
      <c r="L567" s="223"/>
    </row>
    <row r="568" spans="1:12" x14ac:dyDescent="0.2">
      <c r="A568" s="218"/>
      <c r="B568" s="224" t="s">
        <v>1696</v>
      </c>
      <c r="C568" s="220">
        <v>1186.5</v>
      </c>
      <c r="D568" s="220" t="s">
        <v>1691</v>
      </c>
      <c r="E568" s="220">
        <v>1186.5</v>
      </c>
      <c r="F568" s="220">
        <v>102.6</v>
      </c>
      <c r="G568" s="220">
        <v>0.2</v>
      </c>
      <c r="H568" s="220"/>
      <c r="I568" s="220"/>
      <c r="J568" s="220"/>
      <c r="K568" s="220"/>
      <c r="L568" s="220"/>
    </row>
    <row r="569" spans="1:12" x14ac:dyDescent="0.2">
      <c r="A569" s="221"/>
      <c r="B569" s="222" t="s">
        <v>1386</v>
      </c>
      <c r="C569" s="223">
        <v>1186.8</v>
      </c>
      <c r="D569" s="223" t="s">
        <v>1691</v>
      </c>
      <c r="E569" s="223">
        <v>1186.8</v>
      </c>
      <c r="F569" s="223">
        <v>102.6</v>
      </c>
      <c r="G569" s="223">
        <v>0.4</v>
      </c>
      <c r="H569" s="223"/>
      <c r="I569" s="223"/>
      <c r="J569" s="223"/>
      <c r="K569" s="223"/>
      <c r="L569" s="223"/>
    </row>
    <row r="570" spans="1:12" x14ac:dyDescent="0.2">
      <c r="A570" s="218"/>
      <c r="B570" s="224" t="s">
        <v>1386</v>
      </c>
      <c r="C570" s="220">
        <v>1186.9000000000001</v>
      </c>
      <c r="D570" s="220" t="s">
        <v>1691</v>
      </c>
      <c r="E570" s="220">
        <v>1186.9000000000001</v>
      </c>
      <c r="F570" s="220">
        <v>102.6</v>
      </c>
      <c r="G570" s="220">
        <v>0</v>
      </c>
      <c r="H570" s="220"/>
      <c r="I570" s="220"/>
      <c r="J570" s="220"/>
      <c r="K570" s="220"/>
      <c r="L570" s="220"/>
    </row>
    <row r="571" spans="1:12" x14ac:dyDescent="0.2">
      <c r="A571" s="221"/>
      <c r="B571" s="222" t="s">
        <v>150</v>
      </c>
      <c r="C571" s="223">
        <v>1194.0999999999999</v>
      </c>
      <c r="D571" s="223" t="s">
        <v>1691</v>
      </c>
      <c r="E571" s="223">
        <v>1194.0999999999999</v>
      </c>
      <c r="F571" s="223">
        <v>102.9</v>
      </c>
      <c r="G571" s="223">
        <v>7.2</v>
      </c>
      <c r="H571" s="223"/>
      <c r="I571" s="223"/>
      <c r="J571" s="223"/>
      <c r="K571" s="223"/>
      <c r="L571" s="223"/>
    </row>
    <row r="572" spans="1:12" x14ac:dyDescent="0.2">
      <c r="A572" s="218"/>
      <c r="B572" s="224" t="s">
        <v>1697</v>
      </c>
      <c r="C572" s="220">
        <v>1196.3</v>
      </c>
      <c r="D572" s="220" t="s">
        <v>1698</v>
      </c>
      <c r="E572" s="220">
        <v>1196.3</v>
      </c>
      <c r="F572" s="220">
        <v>103</v>
      </c>
      <c r="G572" s="220">
        <v>2.2000000000000002</v>
      </c>
      <c r="H572" s="220"/>
      <c r="I572" s="220"/>
      <c r="J572" s="220"/>
      <c r="K572" s="220"/>
      <c r="L572" s="220"/>
    </row>
    <row r="573" spans="1:12" x14ac:dyDescent="0.2">
      <c r="A573" s="221"/>
      <c r="B573" s="222" t="s">
        <v>1699</v>
      </c>
      <c r="C573" s="223">
        <v>1196.3</v>
      </c>
      <c r="D573" s="223" t="s">
        <v>1698</v>
      </c>
      <c r="E573" s="223">
        <v>1196.3</v>
      </c>
      <c r="F573" s="223">
        <v>103</v>
      </c>
      <c r="G573" s="223">
        <v>0</v>
      </c>
      <c r="H573" s="223"/>
      <c r="I573" s="223"/>
      <c r="J573" s="223"/>
      <c r="K573" s="223"/>
      <c r="L573" s="223"/>
    </row>
    <row r="574" spans="1:12" x14ac:dyDescent="0.2">
      <c r="A574" s="218"/>
      <c r="B574" s="224" t="s">
        <v>1700</v>
      </c>
      <c r="C574" s="220">
        <v>1198.0999999999999</v>
      </c>
      <c r="D574" s="220" t="s">
        <v>1698</v>
      </c>
      <c r="E574" s="220">
        <v>1198.0999999999999</v>
      </c>
      <c r="F574" s="220">
        <v>103.1</v>
      </c>
      <c r="G574" s="220">
        <v>1.8</v>
      </c>
      <c r="H574" s="220"/>
      <c r="I574" s="220"/>
      <c r="J574" s="220"/>
      <c r="K574" s="220"/>
      <c r="L574" s="220"/>
    </row>
    <row r="575" spans="1:12" ht="22.5" x14ac:dyDescent="0.2">
      <c r="A575" s="221"/>
      <c r="B575" s="222" t="s">
        <v>1701</v>
      </c>
      <c r="C575" s="223">
        <v>1198.3</v>
      </c>
      <c r="D575" s="223" t="s">
        <v>1698</v>
      </c>
      <c r="E575" s="223">
        <v>1198.3</v>
      </c>
      <c r="F575" s="223">
        <v>103.1</v>
      </c>
      <c r="G575" s="223">
        <v>0.2</v>
      </c>
      <c r="H575" s="223"/>
      <c r="I575" s="223"/>
      <c r="J575" s="223"/>
      <c r="K575" s="223"/>
      <c r="L575" s="223"/>
    </row>
    <row r="576" spans="1:12" x14ac:dyDescent="0.2">
      <c r="A576" s="218"/>
      <c r="B576" s="224" t="s">
        <v>1702</v>
      </c>
      <c r="C576" s="220">
        <v>1198.4000000000001</v>
      </c>
      <c r="D576" s="220" t="s">
        <v>1698</v>
      </c>
      <c r="E576" s="220">
        <v>1198.4000000000001</v>
      </c>
      <c r="F576" s="220">
        <v>103.1</v>
      </c>
      <c r="G576" s="220">
        <v>0</v>
      </c>
      <c r="H576" s="220"/>
      <c r="I576" s="220"/>
      <c r="J576" s="220"/>
      <c r="K576" s="220"/>
      <c r="L576" s="220"/>
    </row>
    <row r="577" spans="1:12" x14ac:dyDescent="0.2">
      <c r="A577" s="221"/>
      <c r="B577" s="222" t="s">
        <v>1703</v>
      </c>
      <c r="C577" s="223">
        <v>1207.5999999999999</v>
      </c>
      <c r="D577" s="223" t="s">
        <v>1698</v>
      </c>
      <c r="E577" s="223">
        <v>1207.5999999999999</v>
      </c>
      <c r="F577" s="223">
        <v>103.6</v>
      </c>
      <c r="G577" s="223">
        <v>9.3000000000000007</v>
      </c>
      <c r="H577" s="223"/>
      <c r="I577" s="223"/>
      <c r="J577" s="223"/>
      <c r="K577" s="223"/>
      <c r="L577" s="223"/>
    </row>
    <row r="578" spans="1:12" x14ac:dyDescent="0.2">
      <c r="A578" s="218"/>
      <c r="B578" s="224" t="s">
        <v>1704</v>
      </c>
      <c r="C578" s="220">
        <v>1207.7</v>
      </c>
      <c r="D578" s="220" t="s">
        <v>1698</v>
      </c>
      <c r="E578" s="220">
        <v>1207.7</v>
      </c>
      <c r="F578" s="220">
        <v>103.6</v>
      </c>
      <c r="G578" s="220">
        <v>0</v>
      </c>
      <c r="H578" s="220"/>
      <c r="I578" s="220"/>
      <c r="J578" s="220"/>
      <c r="K578" s="220"/>
      <c r="L578" s="220"/>
    </row>
    <row r="579" spans="1:12" x14ac:dyDescent="0.2">
      <c r="A579" s="221"/>
      <c r="B579" s="222" t="s">
        <v>1705</v>
      </c>
      <c r="C579" s="223">
        <v>1208</v>
      </c>
      <c r="D579" s="223" t="s">
        <v>1698</v>
      </c>
      <c r="E579" s="223">
        <v>1208</v>
      </c>
      <c r="F579" s="223">
        <v>103.6</v>
      </c>
      <c r="G579" s="223">
        <v>0.3</v>
      </c>
      <c r="H579" s="223"/>
      <c r="I579" s="223"/>
      <c r="J579" s="223"/>
      <c r="K579" s="223"/>
      <c r="L579" s="223"/>
    </row>
    <row r="580" spans="1:12" x14ac:dyDescent="0.2">
      <c r="A580" s="218"/>
      <c r="B580" s="224" t="s">
        <v>152</v>
      </c>
      <c r="C580" s="220">
        <v>1213.5999999999999</v>
      </c>
      <c r="D580" s="220" t="s">
        <v>1698</v>
      </c>
      <c r="E580" s="220">
        <v>1213.5999999999999</v>
      </c>
      <c r="F580" s="220">
        <v>103.9</v>
      </c>
      <c r="G580" s="220">
        <v>5.6</v>
      </c>
      <c r="H580" s="220"/>
      <c r="I580" s="220"/>
      <c r="J580" s="220"/>
      <c r="K580" s="220"/>
      <c r="L580" s="220"/>
    </row>
    <row r="581" spans="1:12" x14ac:dyDescent="0.2">
      <c r="A581" s="221"/>
      <c r="B581" s="222" t="s">
        <v>1706</v>
      </c>
      <c r="C581" s="223">
        <v>1223</v>
      </c>
      <c r="D581" s="223" t="s">
        <v>1707</v>
      </c>
      <c r="E581" s="223">
        <v>1223</v>
      </c>
      <c r="F581" s="223">
        <v>104.4</v>
      </c>
      <c r="G581" s="223">
        <v>9.4</v>
      </c>
      <c r="H581" s="223"/>
      <c r="I581" s="223"/>
      <c r="J581" s="223"/>
      <c r="K581" s="223"/>
      <c r="L581" s="223"/>
    </row>
    <row r="582" spans="1:12" x14ac:dyDescent="0.2">
      <c r="A582" s="218"/>
      <c r="B582" s="224" t="s">
        <v>1708</v>
      </c>
      <c r="C582" s="220">
        <v>1223.4000000000001</v>
      </c>
      <c r="D582" s="220" t="s">
        <v>1707</v>
      </c>
      <c r="E582" s="220">
        <v>1223.4000000000001</v>
      </c>
      <c r="F582" s="220">
        <v>104.4</v>
      </c>
      <c r="G582" s="220">
        <v>0.4</v>
      </c>
      <c r="H582" s="220"/>
      <c r="I582" s="220"/>
      <c r="J582" s="220"/>
      <c r="K582" s="220"/>
      <c r="L582" s="220"/>
    </row>
    <row r="583" spans="1:12" ht="66.75" customHeight="1" x14ac:dyDescent="0.2">
      <c r="A583" s="228"/>
      <c r="B583" s="229" t="s">
        <v>1709</v>
      </c>
      <c r="C583" s="230">
        <v>1223.5</v>
      </c>
      <c r="D583" s="223" t="s">
        <v>1707</v>
      </c>
      <c r="E583" s="230">
        <v>1223.5</v>
      </c>
      <c r="F583" s="230">
        <v>104.4</v>
      </c>
      <c r="G583" s="230">
        <v>0.1</v>
      </c>
      <c r="H583" s="230">
        <v>72.8</v>
      </c>
      <c r="I583" s="230">
        <v>3.5</v>
      </c>
      <c r="J583" s="230">
        <v>20.5</v>
      </c>
      <c r="K583" s="230">
        <v>2.2999999999999998</v>
      </c>
      <c r="L583" s="230"/>
    </row>
    <row r="584" spans="1:12" x14ac:dyDescent="0.2">
      <c r="A584" s="228"/>
      <c r="B584" s="229"/>
      <c r="C584" s="230"/>
      <c r="D584" s="223" t="s">
        <v>1707</v>
      </c>
      <c r="E584" s="230"/>
      <c r="F584" s="230"/>
      <c r="G584" s="230"/>
      <c r="H584" s="230"/>
      <c r="I584" s="230"/>
      <c r="J584" s="230"/>
      <c r="K584" s="230"/>
      <c r="L584" s="230"/>
    </row>
    <row r="585" spans="1:12" x14ac:dyDescent="0.2">
      <c r="A585" s="218"/>
      <c r="B585" s="224" t="s">
        <v>1710</v>
      </c>
      <c r="C585" s="220">
        <v>1228.8</v>
      </c>
      <c r="D585" s="220" t="s">
        <v>1707</v>
      </c>
      <c r="E585" s="220">
        <v>1228.8</v>
      </c>
      <c r="F585" s="220">
        <v>104.9</v>
      </c>
      <c r="G585" s="220">
        <v>5.3</v>
      </c>
      <c r="H585" s="220"/>
      <c r="I585" s="220"/>
      <c r="J585" s="220"/>
      <c r="K585" s="220"/>
      <c r="L585" s="220"/>
    </row>
    <row r="586" spans="1:12" x14ac:dyDescent="0.2">
      <c r="A586" s="221"/>
      <c r="B586" s="222" t="s">
        <v>153</v>
      </c>
      <c r="C586" s="223">
        <v>1228.9000000000001</v>
      </c>
      <c r="D586" s="223" t="s">
        <v>1707</v>
      </c>
      <c r="E586" s="223">
        <v>1228.9000000000001</v>
      </c>
      <c r="F586" s="223">
        <v>104.9</v>
      </c>
      <c r="G586" s="223">
        <v>0.1</v>
      </c>
      <c r="H586" s="223"/>
      <c r="I586" s="223"/>
      <c r="J586" s="223"/>
      <c r="K586" s="223"/>
      <c r="L586" s="223"/>
    </row>
    <row r="587" spans="1:12" x14ac:dyDescent="0.2">
      <c r="A587" s="218"/>
      <c r="B587" s="224" t="s">
        <v>154</v>
      </c>
      <c r="C587" s="220">
        <v>1238</v>
      </c>
      <c r="D587" s="220" t="s">
        <v>1711</v>
      </c>
      <c r="E587" s="220">
        <v>1238</v>
      </c>
      <c r="F587" s="220">
        <v>105.3</v>
      </c>
      <c r="G587" s="220">
        <v>9.1999999999999993</v>
      </c>
      <c r="H587" s="220"/>
      <c r="I587" s="220"/>
      <c r="J587" s="220"/>
      <c r="K587" s="220"/>
      <c r="L587" s="220"/>
    </row>
    <row r="588" spans="1:12" x14ac:dyDescent="0.2">
      <c r="A588" s="221"/>
      <c r="B588" s="222" t="s">
        <v>1712</v>
      </c>
      <c r="C588" s="223">
        <v>1238.0999999999999</v>
      </c>
      <c r="D588" s="223" t="s">
        <v>1711</v>
      </c>
      <c r="E588" s="223">
        <v>1238.0999999999999</v>
      </c>
      <c r="F588" s="223">
        <v>105.3</v>
      </c>
      <c r="G588" s="223">
        <v>0</v>
      </c>
      <c r="H588" s="223"/>
      <c r="I588" s="223"/>
      <c r="J588" s="223"/>
      <c r="K588" s="223"/>
      <c r="L588" s="223"/>
    </row>
    <row r="589" spans="1:12" x14ac:dyDescent="0.2">
      <c r="A589" s="218"/>
      <c r="B589" s="224" t="s">
        <v>1713</v>
      </c>
      <c r="C589" s="220">
        <v>1245.7</v>
      </c>
      <c r="D589" s="220" t="s">
        <v>1711</v>
      </c>
      <c r="E589" s="220">
        <v>1245.7</v>
      </c>
      <c r="F589" s="220">
        <v>105.7</v>
      </c>
      <c r="G589" s="220">
        <v>7.6</v>
      </c>
      <c r="H589" s="220"/>
      <c r="I589" s="220"/>
      <c r="J589" s="220"/>
      <c r="K589" s="220"/>
      <c r="L589" s="220"/>
    </row>
    <row r="590" spans="1:12" ht="22.5" x14ac:dyDescent="0.2">
      <c r="A590" s="221"/>
      <c r="B590" s="222" t="s">
        <v>1714</v>
      </c>
      <c r="C590" s="223">
        <v>1247.7</v>
      </c>
      <c r="D590" s="223" t="s">
        <v>1711</v>
      </c>
      <c r="E590" s="223">
        <v>1247.7</v>
      </c>
      <c r="F590" s="223">
        <v>105.8</v>
      </c>
      <c r="G590" s="223">
        <v>2</v>
      </c>
      <c r="H590" s="223"/>
      <c r="I590" s="223"/>
      <c r="J590" s="223"/>
      <c r="K590" s="223"/>
      <c r="L590" s="223"/>
    </row>
    <row r="591" spans="1:12" x14ac:dyDescent="0.2">
      <c r="A591" s="218"/>
      <c r="B591" s="224" t="s">
        <v>1715</v>
      </c>
      <c r="C591" s="220">
        <v>1249.9000000000001</v>
      </c>
      <c r="D591" s="220" t="s">
        <v>1711</v>
      </c>
      <c r="E591" s="220">
        <v>1249.9000000000001</v>
      </c>
      <c r="F591" s="220">
        <v>105.9</v>
      </c>
      <c r="G591" s="220">
        <v>2.2000000000000002</v>
      </c>
      <c r="H591" s="220"/>
      <c r="I591" s="220"/>
      <c r="J591" s="220"/>
      <c r="K591" s="220"/>
      <c r="L591" s="220"/>
    </row>
    <row r="592" spans="1:12" x14ac:dyDescent="0.2">
      <c r="A592" s="221"/>
      <c r="B592" s="222" t="s">
        <v>1716</v>
      </c>
      <c r="C592" s="223">
        <v>1249.9000000000001</v>
      </c>
      <c r="D592" s="223" t="s">
        <v>1711</v>
      </c>
      <c r="E592" s="223">
        <v>1249.9000000000001</v>
      </c>
      <c r="F592" s="223">
        <v>105.9</v>
      </c>
      <c r="G592" s="223">
        <v>0</v>
      </c>
      <c r="H592" s="223"/>
      <c r="I592" s="223"/>
      <c r="J592" s="223"/>
      <c r="K592" s="223"/>
      <c r="L592" s="223"/>
    </row>
    <row r="593" spans="1:12" ht="22.5" x14ac:dyDescent="0.2">
      <c r="A593" s="218"/>
      <c r="B593" s="224" t="s">
        <v>1717</v>
      </c>
      <c r="C593" s="220">
        <v>1254.8</v>
      </c>
      <c r="D593" s="220" t="s">
        <v>1718</v>
      </c>
      <c r="E593" s="220">
        <v>1254.8</v>
      </c>
      <c r="F593" s="220">
        <v>106.1</v>
      </c>
      <c r="G593" s="220">
        <v>4.8</v>
      </c>
      <c r="H593" s="220"/>
      <c r="I593" s="220"/>
      <c r="J593" s="220"/>
      <c r="K593" s="220"/>
      <c r="L593" s="220"/>
    </row>
    <row r="594" spans="1:12" ht="22.5" x14ac:dyDescent="0.2">
      <c r="A594" s="221"/>
      <c r="B594" s="222" t="s">
        <v>1719</v>
      </c>
      <c r="C594" s="223">
        <v>1254.8</v>
      </c>
      <c r="D594" s="223" t="s">
        <v>1718</v>
      </c>
      <c r="E594" s="223">
        <v>1254.8</v>
      </c>
      <c r="F594" s="223">
        <v>106.1</v>
      </c>
      <c r="G594" s="223">
        <v>0</v>
      </c>
      <c r="H594" s="223"/>
      <c r="I594" s="223"/>
      <c r="J594" s="223"/>
      <c r="K594" s="223"/>
      <c r="L594" s="223"/>
    </row>
    <row r="595" spans="1:12" x14ac:dyDescent="0.2">
      <c r="A595" s="218"/>
      <c r="B595" s="224" t="s">
        <v>155</v>
      </c>
      <c r="C595" s="220">
        <v>1255.8</v>
      </c>
      <c r="D595" s="220" t="s">
        <v>1718</v>
      </c>
      <c r="E595" s="220">
        <v>1255.8</v>
      </c>
      <c r="F595" s="220">
        <v>106.2</v>
      </c>
      <c r="G595" s="220">
        <v>1</v>
      </c>
      <c r="H595" s="220"/>
      <c r="I595" s="220"/>
      <c r="J595" s="220"/>
      <c r="K595" s="220"/>
      <c r="L595" s="220"/>
    </row>
    <row r="596" spans="1:12" ht="22.5" x14ac:dyDescent="0.2">
      <c r="A596" s="221"/>
      <c r="B596" s="222" t="s">
        <v>1720</v>
      </c>
      <c r="C596" s="223">
        <v>1258.2</v>
      </c>
      <c r="D596" s="223" t="s">
        <v>1718</v>
      </c>
      <c r="E596" s="223">
        <v>1258.2</v>
      </c>
      <c r="F596" s="223">
        <v>106.3</v>
      </c>
      <c r="G596" s="223">
        <v>2.4</v>
      </c>
      <c r="H596" s="223"/>
      <c r="I596" s="223"/>
      <c r="J596" s="223"/>
      <c r="K596" s="223"/>
      <c r="L596" s="223"/>
    </row>
    <row r="597" spans="1:12" x14ac:dyDescent="0.2">
      <c r="A597" s="218"/>
      <c r="B597" s="224" t="s">
        <v>1721</v>
      </c>
      <c r="C597" s="220">
        <v>1260.7</v>
      </c>
      <c r="D597" s="220" t="s">
        <v>1718</v>
      </c>
      <c r="E597" s="220">
        <v>1260.7</v>
      </c>
      <c r="F597" s="220">
        <v>106.4</v>
      </c>
      <c r="G597" s="220">
        <v>2.5</v>
      </c>
      <c r="H597" s="220"/>
      <c r="I597" s="220"/>
      <c r="J597" s="220"/>
      <c r="K597" s="220"/>
      <c r="L597" s="220"/>
    </row>
    <row r="598" spans="1:12" x14ac:dyDescent="0.2">
      <c r="A598" s="221"/>
      <c r="B598" s="222" t="s">
        <v>1721</v>
      </c>
      <c r="C598" s="223">
        <v>1260.7</v>
      </c>
      <c r="D598" s="223" t="s">
        <v>1718</v>
      </c>
      <c r="E598" s="223">
        <v>1260.7</v>
      </c>
      <c r="F598" s="223">
        <v>106.4</v>
      </c>
      <c r="G598" s="223">
        <v>0</v>
      </c>
      <c r="H598" s="223"/>
      <c r="I598" s="223"/>
      <c r="J598" s="223"/>
      <c r="K598" s="223"/>
      <c r="L598" s="223"/>
    </row>
    <row r="599" spans="1:12" ht="22.5" x14ac:dyDescent="0.2">
      <c r="A599" s="218"/>
      <c r="B599" s="224" t="s">
        <v>156</v>
      </c>
      <c r="C599" s="220">
        <v>1262.5999999999999</v>
      </c>
      <c r="D599" s="220" t="s">
        <v>1718</v>
      </c>
      <c r="E599" s="220">
        <v>1262.5999999999999</v>
      </c>
      <c r="F599" s="220">
        <v>106.5</v>
      </c>
      <c r="G599" s="220">
        <v>2</v>
      </c>
      <c r="H599" s="220"/>
      <c r="I599" s="220"/>
      <c r="J599" s="220"/>
      <c r="K599" s="220"/>
      <c r="L599" s="220"/>
    </row>
    <row r="600" spans="1:12" x14ac:dyDescent="0.2">
      <c r="A600" s="221"/>
      <c r="B600" s="222" t="s">
        <v>1722</v>
      </c>
      <c r="C600" s="223">
        <v>1263.2</v>
      </c>
      <c r="D600" s="223" t="s">
        <v>1718</v>
      </c>
      <c r="E600" s="223">
        <v>1263.2</v>
      </c>
      <c r="F600" s="223">
        <v>106.5</v>
      </c>
      <c r="G600" s="223">
        <v>0.6</v>
      </c>
      <c r="H600" s="223"/>
      <c r="I600" s="223"/>
      <c r="J600" s="223"/>
      <c r="K600" s="223"/>
      <c r="L600" s="223"/>
    </row>
    <row r="601" spans="1:12" x14ac:dyDescent="0.2">
      <c r="A601" s="218"/>
      <c r="B601" s="224" t="s">
        <v>1723</v>
      </c>
      <c r="C601" s="220">
        <v>1263.2</v>
      </c>
      <c r="D601" s="220" t="s">
        <v>1718</v>
      </c>
      <c r="E601" s="220">
        <v>1263.2</v>
      </c>
      <c r="F601" s="220">
        <v>106.5</v>
      </c>
      <c r="G601" s="220">
        <v>0</v>
      </c>
      <c r="H601" s="220"/>
      <c r="I601" s="220"/>
      <c r="J601" s="220"/>
      <c r="K601" s="220"/>
      <c r="L601" s="220"/>
    </row>
    <row r="602" spans="1:12" x14ac:dyDescent="0.2">
      <c r="A602" s="221"/>
      <c r="B602" s="222" t="s">
        <v>1724</v>
      </c>
      <c r="C602" s="223">
        <v>1263.5999999999999</v>
      </c>
      <c r="D602" s="223" t="s">
        <v>1718</v>
      </c>
      <c r="E602" s="223">
        <v>1263.5999999999999</v>
      </c>
      <c r="F602" s="223">
        <v>106.6</v>
      </c>
      <c r="G602" s="223">
        <v>0.4</v>
      </c>
      <c r="H602" s="223"/>
      <c r="I602" s="223"/>
      <c r="J602" s="223"/>
      <c r="K602" s="223"/>
      <c r="L602" s="223"/>
    </row>
    <row r="603" spans="1:12" x14ac:dyDescent="0.2">
      <c r="A603" s="218"/>
      <c r="B603" s="224" t="s">
        <v>1725</v>
      </c>
      <c r="C603" s="220">
        <v>1263.5999999999999</v>
      </c>
      <c r="D603" s="220" t="s">
        <v>1718</v>
      </c>
      <c r="E603" s="220">
        <v>1263.5999999999999</v>
      </c>
      <c r="F603" s="220">
        <v>106.6</v>
      </c>
      <c r="G603" s="220">
        <v>0</v>
      </c>
      <c r="H603" s="220"/>
      <c r="I603" s="220"/>
      <c r="J603" s="220"/>
      <c r="K603" s="220"/>
      <c r="L603" s="220"/>
    </row>
    <row r="604" spans="1:12" x14ac:dyDescent="0.2">
      <c r="A604" s="221"/>
      <c r="B604" s="222" t="s">
        <v>1726</v>
      </c>
      <c r="C604" s="223">
        <v>1263.7</v>
      </c>
      <c r="D604" s="223" t="s">
        <v>1718</v>
      </c>
      <c r="E604" s="223">
        <v>1263.7</v>
      </c>
      <c r="F604" s="223">
        <v>106.6</v>
      </c>
      <c r="G604" s="223">
        <v>0.1</v>
      </c>
      <c r="H604" s="223"/>
      <c r="I604" s="223"/>
      <c r="J604" s="223"/>
      <c r="K604" s="223"/>
      <c r="L604" s="223"/>
    </row>
    <row r="605" spans="1:12" ht="22.5" x14ac:dyDescent="0.2">
      <c r="A605" s="218"/>
      <c r="B605" s="224" t="s">
        <v>1727</v>
      </c>
      <c r="C605" s="220">
        <v>1268.5</v>
      </c>
      <c r="D605" s="220" t="s">
        <v>1718</v>
      </c>
      <c r="E605" s="220">
        <v>1268.5</v>
      </c>
      <c r="F605" s="220">
        <v>106.8</v>
      </c>
      <c r="G605" s="220">
        <v>4.8</v>
      </c>
      <c r="H605" s="220"/>
      <c r="I605" s="220"/>
      <c r="J605" s="220"/>
      <c r="K605" s="220"/>
      <c r="L605" s="220"/>
    </row>
    <row r="606" spans="1:12" x14ac:dyDescent="0.2">
      <c r="A606" s="221"/>
      <c r="B606" s="222" t="s">
        <v>1728</v>
      </c>
      <c r="C606" s="223">
        <v>1268.5999999999999</v>
      </c>
      <c r="D606" s="223" t="s">
        <v>1718</v>
      </c>
      <c r="E606" s="223">
        <v>1268.5</v>
      </c>
      <c r="F606" s="223">
        <v>106.8</v>
      </c>
      <c r="G606" s="223">
        <v>0</v>
      </c>
      <c r="H606" s="223"/>
      <c r="I606" s="223"/>
      <c r="J606" s="223"/>
      <c r="K606" s="223"/>
      <c r="L606" s="223"/>
    </row>
    <row r="607" spans="1:12" x14ac:dyDescent="0.2">
      <c r="A607" s="218"/>
      <c r="B607" s="224" t="s">
        <v>1729</v>
      </c>
      <c r="C607" s="220">
        <v>1275.9000000000001</v>
      </c>
      <c r="D607" s="220" t="s">
        <v>1730</v>
      </c>
      <c r="E607" s="220">
        <v>1275.9000000000001</v>
      </c>
      <c r="F607" s="220">
        <v>107.1</v>
      </c>
      <c r="G607" s="220">
        <v>7.3</v>
      </c>
      <c r="H607" s="220"/>
      <c r="I607" s="220"/>
      <c r="J607" s="220"/>
      <c r="K607" s="220"/>
      <c r="L607" s="220"/>
    </row>
    <row r="608" spans="1:12" x14ac:dyDescent="0.2">
      <c r="A608" s="221"/>
      <c r="B608" s="222" t="s">
        <v>157</v>
      </c>
      <c r="C608" s="223">
        <v>1279.3</v>
      </c>
      <c r="D608" s="223" t="s">
        <v>1730</v>
      </c>
      <c r="E608" s="223">
        <v>1279.3</v>
      </c>
      <c r="F608" s="223">
        <v>107.3</v>
      </c>
      <c r="G608" s="223">
        <v>3.4</v>
      </c>
      <c r="H608" s="223"/>
      <c r="I608" s="223"/>
      <c r="J608" s="223"/>
      <c r="K608" s="223"/>
      <c r="L608" s="223"/>
    </row>
    <row r="609" spans="1:12" x14ac:dyDescent="0.2">
      <c r="A609" s="218"/>
      <c r="B609" s="224" t="s">
        <v>1731</v>
      </c>
      <c r="C609" s="220">
        <v>1283.9000000000001</v>
      </c>
      <c r="D609" s="220" t="s">
        <v>1730</v>
      </c>
      <c r="E609" s="220">
        <v>1283.9000000000001</v>
      </c>
      <c r="F609" s="220">
        <v>107.5</v>
      </c>
      <c r="G609" s="220">
        <v>4.5</v>
      </c>
      <c r="H609" s="220"/>
      <c r="I609" s="220"/>
      <c r="J609" s="220"/>
      <c r="K609" s="220"/>
      <c r="L609" s="220"/>
    </row>
    <row r="610" spans="1:12" x14ac:dyDescent="0.2">
      <c r="A610" s="221"/>
      <c r="B610" s="222" t="s">
        <v>1732</v>
      </c>
      <c r="C610" s="223">
        <v>1284</v>
      </c>
      <c r="D610" s="223" t="s">
        <v>1730</v>
      </c>
      <c r="E610" s="223">
        <v>1284</v>
      </c>
      <c r="F610" s="223">
        <v>107.5</v>
      </c>
      <c r="G610" s="223">
        <v>0.1</v>
      </c>
      <c r="H610" s="223"/>
      <c r="I610" s="223"/>
      <c r="J610" s="223"/>
      <c r="K610" s="223"/>
      <c r="L610" s="223"/>
    </row>
    <row r="611" spans="1:12" x14ac:dyDescent="0.2">
      <c r="A611" s="218"/>
      <c r="B611" s="224" t="s">
        <v>1733</v>
      </c>
      <c r="C611" s="220">
        <v>1284</v>
      </c>
      <c r="D611" s="220" t="s">
        <v>1730</v>
      </c>
      <c r="E611" s="220">
        <v>1284</v>
      </c>
      <c r="F611" s="220">
        <v>107.5</v>
      </c>
      <c r="G611" s="220">
        <v>0</v>
      </c>
      <c r="H611" s="220"/>
      <c r="I611" s="220"/>
      <c r="J611" s="220"/>
      <c r="K611" s="220"/>
      <c r="L611" s="220"/>
    </row>
    <row r="612" spans="1:12" x14ac:dyDescent="0.2">
      <c r="A612" s="221"/>
      <c r="B612" s="222" t="s">
        <v>1734</v>
      </c>
      <c r="C612" s="223">
        <v>1292.5</v>
      </c>
      <c r="D612" s="223" t="s">
        <v>1730</v>
      </c>
      <c r="E612" s="223">
        <v>1292.5</v>
      </c>
      <c r="F612" s="223">
        <v>108</v>
      </c>
      <c r="G612" s="223">
        <v>8.6</v>
      </c>
      <c r="H612" s="223"/>
      <c r="I612" s="223"/>
      <c r="J612" s="223"/>
      <c r="K612" s="223"/>
      <c r="L612" s="223"/>
    </row>
    <row r="613" spans="1:12" x14ac:dyDescent="0.2">
      <c r="A613" s="218"/>
      <c r="B613" s="224" t="s">
        <v>1735</v>
      </c>
      <c r="C613" s="220">
        <v>1292.5999999999999</v>
      </c>
      <c r="D613" s="220" t="s">
        <v>1730</v>
      </c>
      <c r="E613" s="220">
        <v>1292.5999999999999</v>
      </c>
      <c r="F613" s="220">
        <v>108</v>
      </c>
      <c r="G613" s="220">
        <v>0</v>
      </c>
      <c r="H613" s="220"/>
      <c r="I613" s="220"/>
      <c r="J613" s="220"/>
      <c r="K613" s="220"/>
      <c r="L613" s="220"/>
    </row>
    <row r="614" spans="1:12" x14ac:dyDescent="0.2">
      <c r="A614" s="221"/>
      <c r="B614" s="222" t="s">
        <v>158</v>
      </c>
      <c r="C614" s="223">
        <v>1293.0999999999999</v>
      </c>
      <c r="D614" s="223" t="s">
        <v>1730</v>
      </c>
      <c r="E614" s="223">
        <v>1293.0999999999999</v>
      </c>
      <c r="F614" s="223">
        <v>108</v>
      </c>
      <c r="G614" s="223">
        <v>0.6</v>
      </c>
      <c r="H614" s="223"/>
      <c r="I614" s="223"/>
      <c r="J614" s="223"/>
      <c r="K614" s="223"/>
      <c r="L614" s="223"/>
    </row>
    <row r="615" spans="1:12" ht="22.5" x14ac:dyDescent="0.2">
      <c r="A615" s="218"/>
      <c r="B615" s="224" t="s">
        <v>1736</v>
      </c>
      <c r="C615" s="220">
        <v>1299.3</v>
      </c>
      <c r="D615" s="220" t="s">
        <v>1737</v>
      </c>
      <c r="E615" s="220">
        <v>1299.3</v>
      </c>
      <c r="F615" s="220">
        <v>108.3</v>
      </c>
      <c r="G615" s="220">
        <v>6.1</v>
      </c>
      <c r="H615" s="220"/>
      <c r="I615" s="220"/>
      <c r="J615" s="220"/>
      <c r="K615" s="220"/>
      <c r="L615" s="220"/>
    </row>
    <row r="616" spans="1:12" x14ac:dyDescent="0.2">
      <c r="A616" s="221"/>
      <c r="B616" s="222" t="s">
        <v>1414</v>
      </c>
      <c r="C616" s="223">
        <v>1299.5</v>
      </c>
      <c r="D616" s="223" t="s">
        <v>1737</v>
      </c>
      <c r="E616" s="223">
        <v>1299.5</v>
      </c>
      <c r="F616" s="223">
        <v>108.3</v>
      </c>
      <c r="G616" s="223">
        <v>0.2</v>
      </c>
      <c r="H616" s="223"/>
      <c r="I616" s="223"/>
      <c r="J616" s="223"/>
      <c r="K616" s="223"/>
      <c r="L616" s="223"/>
    </row>
    <row r="617" spans="1:12" ht="54" customHeight="1" x14ac:dyDescent="0.2">
      <c r="A617" s="231"/>
      <c r="B617" s="232" t="s">
        <v>1738</v>
      </c>
      <c r="C617" s="233">
        <v>1299.5</v>
      </c>
      <c r="D617" s="220" t="s">
        <v>1737</v>
      </c>
      <c r="E617" s="233">
        <v>1299.5</v>
      </c>
      <c r="F617" s="233">
        <v>108.3</v>
      </c>
      <c r="G617" s="233">
        <v>0</v>
      </c>
      <c r="H617" s="233">
        <v>76</v>
      </c>
      <c r="I617" s="233">
        <v>3.7</v>
      </c>
      <c r="J617" s="233">
        <v>20.7</v>
      </c>
      <c r="K617" s="233">
        <v>2.2000000000000002</v>
      </c>
      <c r="L617" s="233"/>
    </row>
    <row r="618" spans="1:12" x14ac:dyDescent="0.2">
      <c r="A618" s="231"/>
      <c r="B618" s="232"/>
      <c r="C618" s="233"/>
      <c r="D618" s="220" t="s">
        <v>1737</v>
      </c>
      <c r="E618" s="233"/>
      <c r="F618" s="233"/>
      <c r="G618" s="233"/>
      <c r="H618" s="233"/>
      <c r="I618" s="233"/>
      <c r="J618" s="233"/>
      <c r="K618" s="233"/>
      <c r="L618" s="233"/>
    </row>
    <row r="619" spans="1:12" x14ac:dyDescent="0.2">
      <c r="A619" s="221"/>
      <c r="B619" s="222" t="s">
        <v>1739</v>
      </c>
      <c r="C619" s="223">
        <v>1300.8</v>
      </c>
      <c r="D619" s="223" t="s">
        <v>1737</v>
      </c>
      <c r="E619" s="223">
        <v>1300.8</v>
      </c>
      <c r="F619" s="223">
        <v>108.9</v>
      </c>
      <c r="G619" s="223">
        <v>1.3</v>
      </c>
      <c r="H619" s="223"/>
      <c r="I619" s="223"/>
      <c r="J619" s="223"/>
      <c r="K619" s="223"/>
      <c r="L619" s="223"/>
    </row>
    <row r="620" spans="1:12" x14ac:dyDescent="0.2">
      <c r="A620" s="218"/>
      <c r="B620" s="224" t="s">
        <v>1740</v>
      </c>
      <c r="C620" s="220">
        <v>1301</v>
      </c>
      <c r="D620" s="220" t="s">
        <v>1737</v>
      </c>
      <c r="E620" s="220">
        <v>1301</v>
      </c>
      <c r="F620" s="220">
        <v>108.9</v>
      </c>
      <c r="G620" s="220">
        <v>0.2</v>
      </c>
      <c r="H620" s="220"/>
      <c r="I620" s="220"/>
      <c r="J620" s="220"/>
      <c r="K620" s="220"/>
      <c r="L620" s="220"/>
    </row>
    <row r="621" spans="1:12" x14ac:dyDescent="0.2">
      <c r="A621" s="221"/>
      <c r="B621" s="222" t="s">
        <v>1740</v>
      </c>
      <c r="C621" s="223">
        <v>1301</v>
      </c>
      <c r="D621" s="223" t="s">
        <v>1737</v>
      </c>
      <c r="E621" s="223">
        <v>1301</v>
      </c>
      <c r="F621" s="223">
        <v>108.9</v>
      </c>
      <c r="G621" s="223">
        <v>0</v>
      </c>
      <c r="H621" s="223"/>
      <c r="I621" s="223"/>
      <c r="J621" s="223"/>
      <c r="K621" s="223"/>
      <c r="L621" s="223"/>
    </row>
    <row r="622" spans="1:12" x14ac:dyDescent="0.2">
      <c r="A622" s="218"/>
      <c r="B622" s="224" t="s">
        <v>1741</v>
      </c>
      <c r="C622" s="220">
        <v>1301</v>
      </c>
      <c r="D622" s="220" t="s">
        <v>1737</v>
      </c>
      <c r="E622" s="220">
        <v>1301</v>
      </c>
      <c r="F622" s="220">
        <v>108.9</v>
      </c>
      <c r="G622" s="220">
        <v>0</v>
      </c>
      <c r="H622" s="220"/>
      <c r="I622" s="220"/>
      <c r="J622" s="220"/>
      <c r="K622" s="220"/>
      <c r="L622" s="220"/>
    </row>
    <row r="623" spans="1:12" ht="22.5" x14ac:dyDescent="0.2">
      <c r="A623" s="221"/>
      <c r="B623" s="222" t="s">
        <v>1742</v>
      </c>
      <c r="C623" s="223">
        <v>1301.0999999999999</v>
      </c>
      <c r="D623" s="223" t="s">
        <v>1737</v>
      </c>
      <c r="E623" s="223">
        <v>1301.0999999999999</v>
      </c>
      <c r="F623" s="223">
        <v>108.9</v>
      </c>
      <c r="G623" s="223">
        <v>0.1</v>
      </c>
      <c r="H623" s="223"/>
      <c r="I623" s="223"/>
      <c r="J623" s="223"/>
      <c r="K623" s="223"/>
      <c r="L623" s="223"/>
    </row>
    <row r="624" spans="1:12" ht="22.5" x14ac:dyDescent="0.2">
      <c r="A624" s="218"/>
      <c r="B624" s="224" t="s">
        <v>1743</v>
      </c>
      <c r="C624" s="220">
        <v>1310.0999999999999</v>
      </c>
      <c r="D624" s="220" t="s">
        <v>1744</v>
      </c>
      <c r="E624" s="220">
        <v>1310.0999999999999</v>
      </c>
      <c r="F624" s="220">
        <v>109.3</v>
      </c>
      <c r="G624" s="220">
        <v>8.9</v>
      </c>
      <c r="H624" s="220"/>
      <c r="I624" s="220"/>
      <c r="J624" s="220"/>
      <c r="K624" s="220"/>
      <c r="L624" s="220"/>
    </row>
    <row r="625" spans="1:12" x14ac:dyDescent="0.2">
      <c r="A625" s="221"/>
      <c r="B625" s="222" t="s">
        <v>1745</v>
      </c>
      <c r="C625" s="223">
        <v>1313.3</v>
      </c>
      <c r="D625" s="223" t="s">
        <v>1744</v>
      </c>
      <c r="E625" s="223">
        <v>1313.3</v>
      </c>
      <c r="F625" s="223">
        <v>109.5</v>
      </c>
      <c r="G625" s="223">
        <v>3.2</v>
      </c>
      <c r="H625" s="223"/>
      <c r="I625" s="223"/>
      <c r="J625" s="223"/>
      <c r="K625" s="223"/>
      <c r="L625" s="223"/>
    </row>
    <row r="626" spans="1:12" x14ac:dyDescent="0.2">
      <c r="A626" s="218"/>
      <c r="B626" s="224" t="s">
        <v>1746</v>
      </c>
      <c r="C626" s="220">
        <v>1313.4</v>
      </c>
      <c r="D626" s="220" t="s">
        <v>1744</v>
      </c>
      <c r="E626" s="220">
        <v>1313.4</v>
      </c>
      <c r="F626" s="220">
        <v>109.5</v>
      </c>
      <c r="G626" s="220">
        <v>0.1</v>
      </c>
      <c r="H626" s="220"/>
      <c r="I626" s="220"/>
      <c r="J626" s="220"/>
      <c r="K626" s="220"/>
      <c r="L626" s="220"/>
    </row>
    <row r="627" spans="1:12" ht="22.5" x14ac:dyDescent="0.2">
      <c r="A627" s="221"/>
      <c r="B627" s="222" t="s">
        <v>1747</v>
      </c>
      <c r="C627" s="223">
        <v>1317.1</v>
      </c>
      <c r="D627" s="223" t="s">
        <v>1744</v>
      </c>
      <c r="E627" s="223">
        <v>1317.1</v>
      </c>
      <c r="F627" s="223">
        <v>109.7</v>
      </c>
      <c r="G627" s="223">
        <v>3.7</v>
      </c>
      <c r="H627" s="223"/>
      <c r="I627" s="223"/>
      <c r="J627" s="223"/>
      <c r="K627" s="223"/>
      <c r="L627" s="223"/>
    </row>
    <row r="628" spans="1:12" x14ac:dyDescent="0.2">
      <c r="A628" s="218"/>
      <c r="B628" s="224" t="s">
        <v>1748</v>
      </c>
      <c r="C628" s="220">
        <v>1317.2</v>
      </c>
      <c r="D628" s="220" t="s">
        <v>1744</v>
      </c>
      <c r="E628" s="220">
        <v>1317.1</v>
      </c>
      <c r="F628" s="220">
        <v>109.7</v>
      </c>
      <c r="G628" s="220">
        <v>0</v>
      </c>
      <c r="H628" s="220"/>
      <c r="I628" s="220"/>
      <c r="J628" s="220"/>
      <c r="K628" s="220"/>
      <c r="L628" s="220"/>
    </row>
    <row r="629" spans="1:12" ht="22.5" x14ac:dyDescent="0.2">
      <c r="A629" s="221"/>
      <c r="B629" s="222" t="s">
        <v>1747</v>
      </c>
      <c r="C629" s="223">
        <v>1317.2</v>
      </c>
      <c r="D629" s="223" t="s">
        <v>1744</v>
      </c>
      <c r="E629" s="223">
        <v>1317.2</v>
      </c>
      <c r="F629" s="223">
        <v>109.7</v>
      </c>
      <c r="G629" s="223">
        <v>0</v>
      </c>
      <c r="H629" s="223"/>
      <c r="I629" s="223"/>
      <c r="J629" s="223"/>
      <c r="K629" s="223"/>
      <c r="L629" s="223"/>
    </row>
    <row r="630" spans="1:12" x14ac:dyDescent="0.2">
      <c r="A630" s="218"/>
      <c r="B630" s="224" t="s">
        <v>159</v>
      </c>
      <c r="C630" s="220">
        <v>1324.1</v>
      </c>
      <c r="D630" s="220" t="s">
        <v>1749</v>
      </c>
      <c r="E630" s="220">
        <v>1324</v>
      </c>
      <c r="F630" s="220">
        <v>110</v>
      </c>
      <c r="G630" s="220">
        <v>6.9</v>
      </c>
      <c r="H630" s="220"/>
      <c r="I630" s="220"/>
      <c r="J630" s="220"/>
      <c r="K630" s="220"/>
      <c r="L630" s="220"/>
    </row>
    <row r="631" spans="1:12" x14ac:dyDescent="0.2">
      <c r="A631" s="221"/>
      <c r="B631" s="222" t="s">
        <v>1750</v>
      </c>
      <c r="C631" s="223">
        <v>1327.5</v>
      </c>
      <c r="D631" s="223" t="s">
        <v>1749</v>
      </c>
      <c r="E631" s="223">
        <v>1327.5</v>
      </c>
      <c r="F631" s="223">
        <v>110.2</v>
      </c>
      <c r="G631" s="223">
        <v>3.5</v>
      </c>
      <c r="H631" s="223"/>
      <c r="I631" s="223"/>
      <c r="J631" s="223"/>
      <c r="K631" s="223"/>
      <c r="L631" s="223"/>
    </row>
    <row r="632" spans="1:12" x14ac:dyDescent="0.2">
      <c r="A632" s="218"/>
      <c r="B632" s="224" t="s">
        <v>1751</v>
      </c>
      <c r="C632" s="220">
        <v>1327.6</v>
      </c>
      <c r="D632" s="220" t="s">
        <v>1749</v>
      </c>
      <c r="E632" s="220">
        <v>1327.5</v>
      </c>
      <c r="F632" s="220">
        <v>110.2</v>
      </c>
      <c r="G632" s="220">
        <v>0</v>
      </c>
      <c r="H632" s="220"/>
      <c r="I632" s="220"/>
      <c r="J632" s="220"/>
      <c r="K632" s="220"/>
      <c r="L632" s="220"/>
    </row>
    <row r="633" spans="1:12" x14ac:dyDescent="0.2">
      <c r="A633" s="221"/>
      <c r="B633" s="222" t="s">
        <v>1752</v>
      </c>
      <c r="C633" s="223">
        <v>1327.6</v>
      </c>
      <c r="D633" s="223" t="s">
        <v>1749</v>
      </c>
      <c r="E633" s="223">
        <v>1327.6</v>
      </c>
      <c r="F633" s="223">
        <v>110.2</v>
      </c>
      <c r="G633" s="223">
        <v>0</v>
      </c>
      <c r="H633" s="223"/>
      <c r="I633" s="223"/>
      <c r="J633" s="223"/>
      <c r="K633" s="223"/>
      <c r="L633" s="223"/>
    </row>
    <row r="634" spans="1:12" x14ac:dyDescent="0.2">
      <c r="A634" s="218"/>
      <c r="B634" s="224" t="s">
        <v>1753</v>
      </c>
      <c r="C634" s="220">
        <v>1327.9</v>
      </c>
      <c r="D634" s="220" t="s">
        <v>1749</v>
      </c>
      <c r="E634" s="220">
        <v>1327.9</v>
      </c>
      <c r="F634" s="220">
        <v>110.2</v>
      </c>
      <c r="G634" s="220">
        <v>0.3</v>
      </c>
      <c r="H634" s="220"/>
      <c r="I634" s="220"/>
      <c r="J634" s="220"/>
      <c r="K634" s="220"/>
      <c r="L634" s="220"/>
    </row>
    <row r="635" spans="1:12" x14ac:dyDescent="0.2">
      <c r="A635" s="221"/>
      <c r="B635" s="222" t="s">
        <v>160</v>
      </c>
      <c r="C635" s="223">
        <v>1330.7</v>
      </c>
      <c r="D635" s="223" t="s">
        <v>1749</v>
      </c>
      <c r="E635" s="223">
        <v>1330.7</v>
      </c>
      <c r="F635" s="223">
        <v>110.3</v>
      </c>
      <c r="G635" s="223">
        <v>2.8</v>
      </c>
      <c r="H635" s="223"/>
      <c r="I635" s="223"/>
      <c r="J635" s="223"/>
      <c r="K635" s="223"/>
      <c r="L635" s="223"/>
    </row>
    <row r="636" spans="1:12" ht="22.5" x14ac:dyDescent="0.2">
      <c r="A636" s="218"/>
      <c r="B636" s="224" t="s">
        <v>1754</v>
      </c>
      <c r="C636" s="220">
        <v>1333</v>
      </c>
      <c r="D636" s="220" t="s">
        <v>1749</v>
      </c>
      <c r="E636" s="220">
        <v>1333</v>
      </c>
      <c r="F636" s="220">
        <v>110.5</v>
      </c>
      <c r="G636" s="220">
        <v>2.2999999999999998</v>
      </c>
      <c r="H636" s="220"/>
      <c r="I636" s="220"/>
      <c r="J636" s="220"/>
      <c r="K636" s="220"/>
      <c r="L636" s="220"/>
    </row>
    <row r="637" spans="1:12" ht="22.5" x14ac:dyDescent="0.2">
      <c r="A637" s="221"/>
      <c r="B637" s="222" t="s">
        <v>1755</v>
      </c>
      <c r="C637" s="223">
        <v>1333.2</v>
      </c>
      <c r="D637" s="223" t="s">
        <v>1749</v>
      </c>
      <c r="E637" s="223">
        <v>1333.2</v>
      </c>
      <c r="F637" s="223">
        <v>110.5</v>
      </c>
      <c r="G637" s="223">
        <v>0.2</v>
      </c>
      <c r="H637" s="223"/>
      <c r="I637" s="223"/>
      <c r="J637" s="223"/>
      <c r="K637" s="223"/>
      <c r="L637" s="223"/>
    </row>
    <row r="638" spans="1:12" x14ac:dyDescent="0.2">
      <c r="A638" s="218"/>
      <c r="B638" s="224" t="s">
        <v>1756</v>
      </c>
      <c r="C638" s="220">
        <v>1336.4</v>
      </c>
      <c r="D638" s="220" t="s">
        <v>1749</v>
      </c>
      <c r="E638" s="220">
        <v>1336.3</v>
      </c>
      <c r="F638" s="220">
        <v>110.6</v>
      </c>
      <c r="G638" s="220">
        <v>3.1</v>
      </c>
      <c r="H638" s="220"/>
      <c r="I638" s="220"/>
      <c r="J638" s="220"/>
      <c r="K638" s="220"/>
      <c r="L638" s="220"/>
    </row>
    <row r="639" spans="1:12" x14ac:dyDescent="0.2">
      <c r="A639" s="221"/>
      <c r="B639" s="222" t="s">
        <v>1371</v>
      </c>
      <c r="C639" s="223">
        <v>1336.5</v>
      </c>
      <c r="D639" s="223" t="s">
        <v>1749</v>
      </c>
      <c r="E639" s="223">
        <v>1336.5</v>
      </c>
      <c r="F639" s="223">
        <v>110.6</v>
      </c>
      <c r="G639" s="223">
        <v>0.2</v>
      </c>
      <c r="H639" s="223"/>
      <c r="I639" s="223"/>
      <c r="J639" s="223"/>
      <c r="K639" s="223"/>
      <c r="L639" s="223"/>
    </row>
    <row r="640" spans="1:12" x14ac:dyDescent="0.2">
      <c r="A640" s="218"/>
      <c r="B640" s="224" t="s">
        <v>1757</v>
      </c>
      <c r="C640" s="220">
        <v>1336.5</v>
      </c>
      <c r="D640" s="220" t="s">
        <v>1749</v>
      </c>
      <c r="E640" s="220">
        <v>1336.5</v>
      </c>
      <c r="F640" s="220">
        <v>110.6</v>
      </c>
      <c r="G640" s="220">
        <v>0</v>
      </c>
      <c r="H640" s="220"/>
      <c r="I640" s="220"/>
      <c r="J640" s="220"/>
      <c r="K640" s="220"/>
      <c r="L640" s="220"/>
    </row>
    <row r="641" spans="1:12" x14ac:dyDescent="0.2">
      <c r="A641" s="221"/>
      <c r="B641" s="222" t="s">
        <v>162</v>
      </c>
      <c r="C641" s="223">
        <v>1339.4</v>
      </c>
      <c r="D641" s="223" t="s">
        <v>1749</v>
      </c>
      <c r="E641" s="223">
        <v>1339.4</v>
      </c>
      <c r="F641" s="223">
        <v>110.8</v>
      </c>
      <c r="G641" s="223">
        <v>2.9</v>
      </c>
      <c r="H641" s="223"/>
      <c r="I641" s="223"/>
      <c r="J641" s="223"/>
      <c r="K641" s="223"/>
      <c r="L641" s="223"/>
    </row>
    <row r="642" spans="1:12" ht="22.5" x14ac:dyDescent="0.2">
      <c r="A642" s="218"/>
      <c r="B642" s="224" t="s">
        <v>1758</v>
      </c>
      <c r="C642" s="220">
        <v>1341.7</v>
      </c>
      <c r="D642" s="220" t="s">
        <v>1749</v>
      </c>
      <c r="E642" s="220">
        <v>1341.7</v>
      </c>
      <c r="F642" s="220">
        <v>110.9</v>
      </c>
      <c r="G642" s="220">
        <v>2.2999999999999998</v>
      </c>
      <c r="H642" s="220"/>
      <c r="I642" s="220"/>
      <c r="J642" s="220"/>
      <c r="K642" s="220"/>
      <c r="L642" s="220"/>
    </row>
    <row r="643" spans="1:12" x14ac:dyDescent="0.2">
      <c r="A643" s="221"/>
      <c r="B643" s="222" t="s">
        <v>1759</v>
      </c>
      <c r="C643" s="223">
        <v>1341.8</v>
      </c>
      <c r="D643" s="223" t="s">
        <v>1749</v>
      </c>
      <c r="E643" s="223">
        <v>1341.8</v>
      </c>
      <c r="F643" s="223">
        <v>110.9</v>
      </c>
      <c r="G643" s="223">
        <v>0.1</v>
      </c>
      <c r="H643" s="223"/>
      <c r="I643" s="223"/>
      <c r="J643" s="223"/>
      <c r="K643" s="223"/>
      <c r="L643" s="223"/>
    </row>
    <row r="644" spans="1:12" x14ac:dyDescent="0.2">
      <c r="A644" s="218"/>
      <c r="B644" s="224" t="s">
        <v>163</v>
      </c>
      <c r="C644" s="220">
        <v>1343.3</v>
      </c>
      <c r="D644" s="220" t="s">
        <v>1749</v>
      </c>
      <c r="E644" s="220">
        <v>1343.3</v>
      </c>
      <c r="F644" s="220">
        <v>111</v>
      </c>
      <c r="G644" s="220">
        <v>1.5</v>
      </c>
      <c r="H644" s="220"/>
      <c r="I644" s="220"/>
      <c r="J644" s="220"/>
      <c r="K644" s="220"/>
      <c r="L644" s="220"/>
    </row>
    <row r="645" spans="1:12" x14ac:dyDescent="0.2">
      <c r="A645" s="221"/>
      <c r="B645" s="222" t="s">
        <v>1760</v>
      </c>
      <c r="C645" s="223">
        <v>1344.7</v>
      </c>
      <c r="D645" s="223" t="s">
        <v>1761</v>
      </c>
      <c r="E645" s="223">
        <v>1344.7</v>
      </c>
      <c r="F645" s="223">
        <v>111</v>
      </c>
      <c r="G645" s="223">
        <v>1.4</v>
      </c>
      <c r="H645" s="223"/>
      <c r="I645" s="223"/>
      <c r="J645" s="223"/>
      <c r="K645" s="223"/>
      <c r="L645" s="223"/>
    </row>
    <row r="646" spans="1:12" x14ac:dyDescent="0.2">
      <c r="A646" s="218"/>
      <c r="B646" s="224" t="s">
        <v>1762</v>
      </c>
      <c r="C646" s="220">
        <v>1344.7</v>
      </c>
      <c r="D646" s="220" t="s">
        <v>1761</v>
      </c>
      <c r="E646" s="220">
        <v>1344.7</v>
      </c>
      <c r="F646" s="220">
        <v>111</v>
      </c>
      <c r="G646" s="220">
        <v>0</v>
      </c>
      <c r="H646" s="220"/>
      <c r="I646" s="220"/>
      <c r="J646" s="220"/>
      <c r="K646" s="220"/>
      <c r="L646" s="220"/>
    </row>
    <row r="647" spans="1:12" x14ac:dyDescent="0.2">
      <c r="A647" s="221"/>
      <c r="B647" s="222" t="s">
        <v>1763</v>
      </c>
      <c r="C647" s="223">
        <v>1349.2</v>
      </c>
      <c r="D647" s="223" t="s">
        <v>1761</v>
      </c>
      <c r="E647" s="223">
        <v>1349.2</v>
      </c>
      <c r="F647" s="223">
        <v>111.3</v>
      </c>
      <c r="G647" s="223">
        <v>4.5</v>
      </c>
      <c r="H647" s="223"/>
      <c r="I647" s="223"/>
      <c r="J647" s="223"/>
      <c r="K647" s="223"/>
      <c r="L647" s="223"/>
    </row>
    <row r="648" spans="1:12" x14ac:dyDescent="0.2">
      <c r="A648" s="218"/>
      <c r="B648" s="224" t="s">
        <v>1764</v>
      </c>
      <c r="C648" s="220">
        <v>1349.6</v>
      </c>
      <c r="D648" s="220" t="s">
        <v>1761</v>
      </c>
      <c r="E648" s="220">
        <v>1349.6</v>
      </c>
      <c r="F648" s="220">
        <v>111.3</v>
      </c>
      <c r="G648" s="220">
        <v>0.4</v>
      </c>
      <c r="H648" s="220"/>
      <c r="I648" s="220"/>
      <c r="J648" s="220"/>
      <c r="K648" s="220"/>
      <c r="L648" s="220"/>
    </row>
    <row r="649" spans="1:12" x14ac:dyDescent="0.2">
      <c r="A649" s="221"/>
      <c r="B649" s="222" t="s">
        <v>1765</v>
      </c>
      <c r="C649" s="223">
        <v>1349.6</v>
      </c>
      <c r="D649" s="223" t="s">
        <v>1761</v>
      </c>
      <c r="E649" s="223">
        <v>1349.6</v>
      </c>
      <c r="F649" s="223">
        <v>111.3</v>
      </c>
      <c r="G649" s="223">
        <v>0</v>
      </c>
      <c r="H649" s="223"/>
      <c r="I649" s="223"/>
      <c r="J649" s="223"/>
      <c r="K649" s="223"/>
      <c r="L649" s="223"/>
    </row>
    <row r="650" spans="1:12" ht="22.5" x14ac:dyDescent="0.2">
      <c r="A650" s="218"/>
      <c r="B650" s="224" t="s">
        <v>1766</v>
      </c>
      <c r="C650" s="220">
        <v>1349.9</v>
      </c>
      <c r="D650" s="220" t="s">
        <v>1761</v>
      </c>
      <c r="E650" s="220">
        <v>1349.9</v>
      </c>
      <c r="F650" s="220">
        <v>111.3</v>
      </c>
      <c r="G650" s="220">
        <v>0.3</v>
      </c>
      <c r="H650" s="220"/>
      <c r="I650" s="220"/>
      <c r="J650" s="220"/>
      <c r="K650" s="220"/>
      <c r="L650" s="220"/>
    </row>
    <row r="651" spans="1:12" x14ac:dyDescent="0.2">
      <c r="A651" s="221"/>
      <c r="B651" s="222" t="s">
        <v>1767</v>
      </c>
      <c r="C651" s="223">
        <v>1350.6</v>
      </c>
      <c r="D651" s="223" t="s">
        <v>1761</v>
      </c>
      <c r="E651" s="223">
        <v>1350.6</v>
      </c>
      <c r="F651" s="223">
        <v>111.3</v>
      </c>
      <c r="G651" s="223">
        <v>0.7</v>
      </c>
      <c r="H651" s="223"/>
      <c r="I651" s="223"/>
      <c r="J651" s="223"/>
      <c r="K651" s="223"/>
      <c r="L651" s="223"/>
    </row>
    <row r="652" spans="1:12" x14ac:dyDescent="0.2">
      <c r="A652" s="218"/>
      <c r="B652" s="224" t="s">
        <v>1768</v>
      </c>
      <c r="C652" s="220">
        <v>1351.6</v>
      </c>
      <c r="D652" s="220" t="s">
        <v>1761</v>
      </c>
      <c r="E652" s="220">
        <v>1351.6</v>
      </c>
      <c r="F652" s="220">
        <v>111.4</v>
      </c>
      <c r="G652" s="220">
        <v>1</v>
      </c>
      <c r="H652" s="220"/>
      <c r="I652" s="220"/>
      <c r="J652" s="220"/>
      <c r="K652" s="220"/>
      <c r="L652" s="220"/>
    </row>
    <row r="653" spans="1:12" x14ac:dyDescent="0.2">
      <c r="A653" s="221"/>
      <c r="B653" s="222" t="s">
        <v>1769</v>
      </c>
      <c r="C653" s="223">
        <v>1355.3</v>
      </c>
      <c r="D653" s="223" t="s">
        <v>1761</v>
      </c>
      <c r="E653" s="223">
        <v>1355.3</v>
      </c>
      <c r="F653" s="223">
        <v>111.6</v>
      </c>
      <c r="G653" s="223">
        <v>3.6</v>
      </c>
      <c r="H653" s="223"/>
      <c r="I653" s="223"/>
      <c r="J653" s="223"/>
      <c r="K653" s="223"/>
      <c r="L653" s="223"/>
    </row>
    <row r="654" spans="1:12" x14ac:dyDescent="0.2">
      <c r="A654" s="218"/>
      <c r="B654" s="224" t="s">
        <v>164</v>
      </c>
      <c r="C654" s="220">
        <v>1355.8</v>
      </c>
      <c r="D654" s="220" t="s">
        <v>1761</v>
      </c>
      <c r="E654" s="220">
        <v>1355.8</v>
      </c>
      <c r="F654" s="220">
        <v>111.6</v>
      </c>
      <c r="G654" s="220">
        <v>0.5</v>
      </c>
      <c r="H654" s="220"/>
      <c r="I654" s="220"/>
      <c r="J654" s="220"/>
      <c r="K654" s="220"/>
      <c r="L654" s="220"/>
    </row>
    <row r="655" spans="1:12" x14ac:dyDescent="0.2">
      <c r="A655" s="221"/>
      <c r="B655" s="222" t="s">
        <v>1770</v>
      </c>
      <c r="C655" s="223">
        <v>1357.8</v>
      </c>
      <c r="D655" s="223" t="s">
        <v>1761</v>
      </c>
      <c r="E655" s="223">
        <v>1357.8</v>
      </c>
      <c r="F655" s="223">
        <v>111.7</v>
      </c>
      <c r="G655" s="223">
        <v>2</v>
      </c>
      <c r="H655" s="223"/>
      <c r="I655" s="223"/>
      <c r="J655" s="223"/>
      <c r="K655" s="223"/>
      <c r="L655" s="223"/>
    </row>
    <row r="656" spans="1:12" x14ac:dyDescent="0.2">
      <c r="A656" s="218"/>
      <c r="B656" s="224" t="s">
        <v>1771</v>
      </c>
      <c r="C656" s="220">
        <v>1358.4</v>
      </c>
      <c r="D656" s="220" t="s">
        <v>1761</v>
      </c>
      <c r="E656" s="220">
        <v>1358.4</v>
      </c>
      <c r="F656" s="220">
        <v>111.7</v>
      </c>
      <c r="G656" s="220">
        <v>0.6</v>
      </c>
      <c r="H656" s="220"/>
      <c r="I656" s="220"/>
      <c r="J656" s="220"/>
      <c r="K656" s="220"/>
      <c r="L656" s="220"/>
    </row>
    <row r="657" spans="1:12" x14ac:dyDescent="0.2">
      <c r="A657" s="221"/>
      <c r="B657" s="222" t="s">
        <v>1772</v>
      </c>
      <c r="C657" s="223">
        <v>1358.4</v>
      </c>
      <c r="D657" s="223" t="s">
        <v>1761</v>
      </c>
      <c r="E657" s="223">
        <v>1358.4</v>
      </c>
      <c r="F657" s="223">
        <v>111.7</v>
      </c>
      <c r="G657" s="223">
        <v>0</v>
      </c>
      <c r="H657" s="223"/>
      <c r="I657" s="223"/>
      <c r="J657" s="223"/>
      <c r="K657" s="223"/>
      <c r="L657" s="223"/>
    </row>
    <row r="658" spans="1:12" ht="22.5" x14ac:dyDescent="0.2">
      <c r="A658" s="218"/>
      <c r="B658" s="224" t="s">
        <v>1773</v>
      </c>
      <c r="C658" s="220">
        <v>1359.9</v>
      </c>
      <c r="D658" s="220" t="s">
        <v>1761</v>
      </c>
      <c r="E658" s="220">
        <v>1359.9</v>
      </c>
      <c r="F658" s="220">
        <v>111.8</v>
      </c>
      <c r="G658" s="220">
        <v>1.5</v>
      </c>
      <c r="H658" s="220"/>
      <c r="I658" s="220"/>
      <c r="J658" s="220"/>
      <c r="K658" s="220"/>
      <c r="L658" s="220"/>
    </row>
    <row r="659" spans="1:12" x14ac:dyDescent="0.2">
      <c r="A659" s="221"/>
      <c r="B659" s="222" t="s">
        <v>1774</v>
      </c>
      <c r="C659" s="223">
        <v>1361.4</v>
      </c>
      <c r="D659" s="223" t="s">
        <v>1761</v>
      </c>
      <c r="E659" s="223">
        <v>1361.4</v>
      </c>
      <c r="F659" s="223">
        <v>111.9</v>
      </c>
      <c r="G659" s="223">
        <v>1.5</v>
      </c>
      <c r="H659" s="223"/>
      <c r="I659" s="223"/>
      <c r="J659" s="223"/>
      <c r="K659" s="223"/>
      <c r="L659" s="223"/>
    </row>
    <row r="660" spans="1:12" ht="92.25" customHeight="1" x14ac:dyDescent="0.2">
      <c r="A660" s="231"/>
      <c r="B660" s="232" t="s">
        <v>1775</v>
      </c>
      <c r="C660" s="233">
        <v>1362.3</v>
      </c>
      <c r="D660" s="220" t="s">
        <v>1761</v>
      </c>
      <c r="E660" s="233">
        <v>1362.3</v>
      </c>
      <c r="F660" s="233">
        <v>111.9</v>
      </c>
      <c r="G660" s="233">
        <v>0.9</v>
      </c>
      <c r="H660" s="233">
        <v>62.7</v>
      </c>
      <c r="I660" s="233">
        <v>3.1</v>
      </c>
      <c r="J660" s="233">
        <v>20.100000000000001</v>
      </c>
      <c r="K660" s="233">
        <v>2.6</v>
      </c>
      <c r="L660" s="233"/>
    </row>
    <row r="661" spans="1:12" x14ac:dyDescent="0.2">
      <c r="A661" s="231"/>
      <c r="B661" s="232"/>
      <c r="C661" s="233"/>
      <c r="D661" s="220" t="s">
        <v>1776</v>
      </c>
      <c r="E661" s="233"/>
      <c r="F661" s="233"/>
      <c r="G661" s="233"/>
      <c r="H661" s="233"/>
      <c r="I661" s="233"/>
      <c r="J661" s="233"/>
      <c r="K661" s="233"/>
      <c r="L661" s="233"/>
    </row>
    <row r="662" spans="1:12" x14ac:dyDescent="0.2">
      <c r="A662" s="221"/>
      <c r="B662" s="222" t="s">
        <v>1777</v>
      </c>
      <c r="C662" s="223">
        <v>1365.3</v>
      </c>
      <c r="D662" s="223" t="s">
        <v>1776</v>
      </c>
      <c r="E662" s="223">
        <v>1365.3</v>
      </c>
      <c r="F662" s="223">
        <v>112.6</v>
      </c>
      <c r="G662" s="223">
        <v>3</v>
      </c>
      <c r="H662" s="223"/>
      <c r="I662" s="223"/>
      <c r="J662" s="223"/>
      <c r="K662" s="223"/>
      <c r="L662" s="223"/>
    </row>
    <row r="663" spans="1:12" x14ac:dyDescent="0.2">
      <c r="A663" s="218"/>
      <c r="B663" s="224" t="s">
        <v>165</v>
      </c>
      <c r="C663" s="220">
        <v>1367.3</v>
      </c>
      <c r="D663" s="220" t="s">
        <v>1776</v>
      </c>
      <c r="E663" s="220">
        <v>1367.3</v>
      </c>
      <c r="F663" s="220">
        <v>112.7</v>
      </c>
      <c r="G663" s="220">
        <v>2</v>
      </c>
      <c r="H663" s="220"/>
      <c r="I663" s="220"/>
      <c r="J663" s="220"/>
      <c r="K663" s="220"/>
      <c r="L663" s="220"/>
    </row>
    <row r="664" spans="1:12" x14ac:dyDescent="0.2">
      <c r="A664" s="221"/>
      <c r="B664" s="222" t="s">
        <v>1778</v>
      </c>
      <c r="C664" s="223">
        <v>1367.8</v>
      </c>
      <c r="D664" s="223" t="s">
        <v>1776</v>
      </c>
      <c r="E664" s="223">
        <v>1367.8</v>
      </c>
      <c r="F664" s="223">
        <v>112.7</v>
      </c>
      <c r="G664" s="223">
        <v>0.5</v>
      </c>
      <c r="H664" s="223"/>
      <c r="I664" s="223"/>
      <c r="J664" s="223"/>
      <c r="K664" s="223"/>
      <c r="L664" s="223"/>
    </row>
    <row r="665" spans="1:12" ht="22.5" x14ac:dyDescent="0.2">
      <c r="A665" s="218"/>
      <c r="B665" s="224" t="s">
        <v>1779</v>
      </c>
      <c r="C665" s="220">
        <v>1369.1</v>
      </c>
      <c r="D665" s="220" t="s">
        <v>1776</v>
      </c>
      <c r="E665" s="220">
        <v>1369.1</v>
      </c>
      <c r="F665" s="220">
        <v>112.8</v>
      </c>
      <c r="G665" s="220">
        <v>1.4</v>
      </c>
      <c r="H665" s="220"/>
      <c r="I665" s="220"/>
      <c r="J665" s="220"/>
      <c r="K665" s="220"/>
      <c r="L665" s="220"/>
    </row>
    <row r="666" spans="1:12" x14ac:dyDescent="0.2">
      <c r="A666" s="221"/>
      <c r="B666" s="222" t="s">
        <v>1780</v>
      </c>
      <c r="C666" s="223">
        <v>1377</v>
      </c>
      <c r="D666" s="223" t="s">
        <v>1781</v>
      </c>
      <c r="E666" s="223">
        <v>1377</v>
      </c>
      <c r="F666" s="223">
        <v>113.2</v>
      </c>
      <c r="G666" s="223">
        <v>7.9</v>
      </c>
      <c r="H666" s="223"/>
      <c r="I666" s="223"/>
      <c r="J666" s="223"/>
      <c r="K666" s="223"/>
      <c r="L666" s="223"/>
    </row>
    <row r="667" spans="1:12" ht="33.75" x14ac:dyDescent="0.2">
      <c r="A667" s="218"/>
      <c r="B667" s="224" t="s">
        <v>1782</v>
      </c>
      <c r="C667" s="220">
        <v>1377.1</v>
      </c>
      <c r="D667" s="220" t="s">
        <v>1781</v>
      </c>
      <c r="E667" s="220">
        <v>1377.1</v>
      </c>
      <c r="F667" s="220">
        <v>113.2</v>
      </c>
      <c r="G667" s="220">
        <v>0.1</v>
      </c>
      <c r="H667" s="220"/>
      <c r="I667" s="220"/>
      <c r="J667" s="220"/>
      <c r="K667" s="220"/>
      <c r="L667" s="220"/>
    </row>
    <row r="668" spans="1:12" x14ac:dyDescent="0.2">
      <c r="A668" s="221"/>
      <c r="B668" s="222" t="s">
        <v>166</v>
      </c>
      <c r="C668" s="223">
        <v>1379.2</v>
      </c>
      <c r="D668" s="223" t="s">
        <v>1781</v>
      </c>
      <c r="E668" s="223">
        <v>1379.2</v>
      </c>
      <c r="F668" s="223">
        <v>113.3</v>
      </c>
      <c r="G668" s="223">
        <v>2.1</v>
      </c>
      <c r="H668" s="223"/>
      <c r="I668" s="223"/>
      <c r="J668" s="223"/>
      <c r="K668" s="223"/>
      <c r="L668" s="223"/>
    </row>
    <row r="669" spans="1:12" x14ac:dyDescent="0.2">
      <c r="A669" s="218"/>
      <c r="B669" s="224" t="s">
        <v>1783</v>
      </c>
      <c r="C669" s="220">
        <v>1380.6</v>
      </c>
      <c r="D669" s="220" t="s">
        <v>1781</v>
      </c>
      <c r="E669" s="220">
        <v>1380.6</v>
      </c>
      <c r="F669" s="220">
        <v>113.4</v>
      </c>
      <c r="G669" s="220">
        <v>1.4</v>
      </c>
      <c r="H669" s="220"/>
      <c r="I669" s="220"/>
      <c r="J669" s="220"/>
      <c r="K669" s="220"/>
      <c r="L669" s="220"/>
    </row>
    <row r="670" spans="1:12" x14ac:dyDescent="0.2">
      <c r="A670" s="221"/>
      <c r="B670" s="222" t="s">
        <v>1784</v>
      </c>
      <c r="C670" s="223">
        <v>1380.6</v>
      </c>
      <c r="D670" s="223" t="s">
        <v>1781</v>
      </c>
      <c r="E670" s="223">
        <v>1380.6</v>
      </c>
      <c r="F670" s="223">
        <v>113.4</v>
      </c>
      <c r="G670" s="223">
        <v>0</v>
      </c>
      <c r="H670" s="223"/>
      <c r="I670" s="223"/>
      <c r="J670" s="223"/>
      <c r="K670" s="223"/>
      <c r="L670" s="223"/>
    </row>
    <row r="671" spans="1:12" x14ac:dyDescent="0.2">
      <c r="A671" s="218"/>
      <c r="B671" s="224" t="s">
        <v>1785</v>
      </c>
      <c r="C671" s="220">
        <v>1384</v>
      </c>
      <c r="D671" s="220" t="s">
        <v>1781</v>
      </c>
      <c r="E671" s="220">
        <v>1384</v>
      </c>
      <c r="F671" s="220">
        <v>113.6</v>
      </c>
      <c r="G671" s="220">
        <v>3.4</v>
      </c>
      <c r="H671" s="220"/>
      <c r="I671" s="220"/>
      <c r="J671" s="220"/>
      <c r="K671" s="220"/>
      <c r="L671" s="220"/>
    </row>
    <row r="672" spans="1:12" x14ac:dyDescent="0.2">
      <c r="A672" s="221"/>
      <c r="B672" s="222" t="s">
        <v>1786</v>
      </c>
      <c r="C672" s="223">
        <v>1384</v>
      </c>
      <c r="D672" s="223" t="s">
        <v>1781</v>
      </c>
      <c r="E672" s="223">
        <v>1384</v>
      </c>
      <c r="F672" s="223">
        <v>113.6</v>
      </c>
      <c r="G672" s="223">
        <v>0</v>
      </c>
      <c r="H672" s="223"/>
      <c r="I672" s="223"/>
      <c r="J672" s="223"/>
      <c r="K672" s="223"/>
      <c r="L672" s="223"/>
    </row>
    <row r="673" spans="1:12" x14ac:dyDescent="0.2">
      <c r="A673" s="218"/>
      <c r="B673" s="224" t="s">
        <v>1787</v>
      </c>
      <c r="C673" s="220">
        <v>1385.6</v>
      </c>
      <c r="D673" s="220" t="s">
        <v>1781</v>
      </c>
      <c r="E673" s="220">
        <v>1385.6</v>
      </c>
      <c r="F673" s="220">
        <v>113.7</v>
      </c>
      <c r="G673" s="220">
        <v>1.6</v>
      </c>
      <c r="H673" s="220"/>
      <c r="I673" s="220"/>
      <c r="J673" s="220"/>
      <c r="K673" s="220"/>
      <c r="L673" s="220"/>
    </row>
    <row r="674" spans="1:12" x14ac:dyDescent="0.2">
      <c r="A674" s="221"/>
      <c r="B674" s="222" t="s">
        <v>1788</v>
      </c>
      <c r="C674" s="223">
        <v>1386.9</v>
      </c>
      <c r="D674" s="223" t="s">
        <v>1781</v>
      </c>
      <c r="E674" s="223">
        <v>1386.9</v>
      </c>
      <c r="F674" s="223">
        <v>113.8</v>
      </c>
      <c r="G674" s="223">
        <v>1.3</v>
      </c>
      <c r="H674" s="223"/>
      <c r="I674" s="223"/>
      <c r="J674" s="223"/>
      <c r="K674" s="223"/>
      <c r="L674" s="223"/>
    </row>
    <row r="675" spans="1:12" x14ac:dyDescent="0.2">
      <c r="A675" s="218"/>
      <c r="B675" s="224" t="s">
        <v>1789</v>
      </c>
      <c r="C675" s="220">
        <v>1387</v>
      </c>
      <c r="D675" s="220" t="s">
        <v>1781</v>
      </c>
      <c r="E675" s="220">
        <v>1387</v>
      </c>
      <c r="F675" s="220">
        <v>113.8</v>
      </c>
      <c r="G675" s="220">
        <v>0.1</v>
      </c>
      <c r="H675" s="220"/>
      <c r="I675" s="220"/>
      <c r="J675" s="220"/>
      <c r="K675" s="220"/>
      <c r="L675" s="220"/>
    </row>
    <row r="676" spans="1:12" x14ac:dyDescent="0.2">
      <c r="A676" s="221"/>
      <c r="B676" s="222" t="s">
        <v>1790</v>
      </c>
      <c r="C676" s="223">
        <v>1388.7</v>
      </c>
      <c r="D676" s="223" t="s">
        <v>1781</v>
      </c>
      <c r="E676" s="223">
        <v>1388.7</v>
      </c>
      <c r="F676" s="223">
        <v>113.9</v>
      </c>
      <c r="G676" s="223">
        <v>1.7</v>
      </c>
      <c r="H676" s="223"/>
      <c r="I676" s="223"/>
      <c r="J676" s="223"/>
      <c r="K676" s="223"/>
      <c r="L676" s="223"/>
    </row>
    <row r="677" spans="1:12" x14ac:dyDescent="0.2">
      <c r="A677" s="218"/>
      <c r="B677" s="224" t="s">
        <v>1791</v>
      </c>
      <c r="C677" s="220">
        <v>1388.9</v>
      </c>
      <c r="D677" s="220" t="s">
        <v>1781</v>
      </c>
      <c r="E677" s="220">
        <v>1388.9</v>
      </c>
      <c r="F677" s="220">
        <v>113.9</v>
      </c>
      <c r="G677" s="220">
        <v>0.2</v>
      </c>
      <c r="H677" s="220"/>
      <c r="I677" s="220"/>
      <c r="J677" s="220"/>
      <c r="K677" s="220"/>
      <c r="L677" s="220"/>
    </row>
    <row r="678" spans="1:12" x14ac:dyDescent="0.2">
      <c r="A678" s="221"/>
      <c r="B678" s="222" t="s">
        <v>1792</v>
      </c>
      <c r="C678" s="223">
        <v>1388.9</v>
      </c>
      <c r="D678" s="223" t="s">
        <v>1781</v>
      </c>
      <c r="E678" s="223">
        <v>1388.9</v>
      </c>
      <c r="F678" s="223">
        <v>113.9</v>
      </c>
      <c r="G678" s="223">
        <v>0.1</v>
      </c>
      <c r="H678" s="223"/>
      <c r="I678" s="223"/>
      <c r="J678" s="223"/>
      <c r="K678" s="223"/>
      <c r="L678" s="223"/>
    </row>
    <row r="679" spans="1:12" x14ac:dyDescent="0.2">
      <c r="A679" s="218"/>
      <c r="B679" s="224" t="s">
        <v>1793</v>
      </c>
      <c r="C679" s="220">
        <v>1389</v>
      </c>
      <c r="D679" s="220" t="s">
        <v>1781</v>
      </c>
      <c r="E679" s="220">
        <v>1389</v>
      </c>
      <c r="F679" s="220">
        <v>113.9</v>
      </c>
      <c r="G679" s="220">
        <v>0.1</v>
      </c>
      <c r="H679" s="220"/>
      <c r="I679" s="220"/>
      <c r="J679" s="220"/>
      <c r="K679" s="220"/>
      <c r="L679" s="220"/>
    </row>
    <row r="680" spans="1:12" x14ac:dyDescent="0.2">
      <c r="A680" s="221"/>
      <c r="B680" s="222" t="s">
        <v>167</v>
      </c>
      <c r="C680" s="223">
        <v>1393</v>
      </c>
      <c r="D680" s="223" t="s">
        <v>1794</v>
      </c>
      <c r="E680" s="223">
        <v>1393</v>
      </c>
      <c r="F680" s="223">
        <v>114.1</v>
      </c>
      <c r="G680" s="223">
        <v>3.9</v>
      </c>
      <c r="H680" s="223"/>
      <c r="I680" s="223"/>
      <c r="J680" s="223"/>
      <c r="K680" s="223"/>
      <c r="L680" s="223"/>
    </row>
    <row r="681" spans="1:12" ht="22.5" x14ac:dyDescent="0.2">
      <c r="A681" s="218"/>
      <c r="B681" s="224" t="s">
        <v>168</v>
      </c>
      <c r="C681" s="220">
        <v>1398.3</v>
      </c>
      <c r="D681" s="220" t="s">
        <v>1794</v>
      </c>
      <c r="E681" s="220">
        <v>1398.3</v>
      </c>
      <c r="F681" s="220">
        <v>114.4</v>
      </c>
      <c r="G681" s="220">
        <v>5.3</v>
      </c>
      <c r="H681" s="220"/>
      <c r="I681" s="220"/>
      <c r="J681" s="220"/>
      <c r="K681" s="220"/>
      <c r="L681" s="220"/>
    </row>
    <row r="682" spans="1:12" x14ac:dyDescent="0.2">
      <c r="A682" s="221"/>
      <c r="B682" s="222" t="s">
        <v>169</v>
      </c>
      <c r="C682" s="223">
        <v>1401.3</v>
      </c>
      <c r="D682" s="223" t="s">
        <v>1794</v>
      </c>
      <c r="E682" s="223">
        <v>1401.3</v>
      </c>
      <c r="F682" s="223">
        <v>114.6</v>
      </c>
      <c r="G682" s="223">
        <v>3</v>
      </c>
      <c r="H682" s="223"/>
      <c r="I682" s="223"/>
      <c r="J682" s="223"/>
      <c r="K682" s="223"/>
      <c r="L682" s="223"/>
    </row>
    <row r="683" spans="1:12" x14ac:dyDescent="0.2">
      <c r="A683" s="218"/>
      <c r="B683" s="224" t="s">
        <v>1795</v>
      </c>
      <c r="C683" s="220">
        <v>1405.3</v>
      </c>
      <c r="D683" s="220" t="s">
        <v>1794</v>
      </c>
      <c r="E683" s="220">
        <v>1405.3</v>
      </c>
      <c r="F683" s="220">
        <v>114.8</v>
      </c>
      <c r="G683" s="220">
        <v>4</v>
      </c>
      <c r="H683" s="220"/>
      <c r="I683" s="220"/>
      <c r="J683" s="220"/>
      <c r="K683" s="220"/>
      <c r="L683" s="220"/>
    </row>
    <row r="684" spans="1:12" x14ac:dyDescent="0.2">
      <c r="A684" s="221"/>
      <c r="B684" s="222" t="s">
        <v>1796</v>
      </c>
      <c r="C684" s="223">
        <v>1407.4</v>
      </c>
      <c r="D684" s="223" t="s">
        <v>1794</v>
      </c>
      <c r="E684" s="223">
        <v>1407.4</v>
      </c>
      <c r="F684" s="223">
        <v>114.9</v>
      </c>
      <c r="G684" s="223">
        <v>2.1</v>
      </c>
      <c r="H684" s="223"/>
      <c r="I684" s="223"/>
      <c r="J684" s="223"/>
      <c r="K684" s="223"/>
      <c r="L684" s="223"/>
    </row>
    <row r="685" spans="1:12" x14ac:dyDescent="0.2">
      <c r="A685" s="218"/>
      <c r="B685" s="224" t="s">
        <v>1797</v>
      </c>
      <c r="C685" s="220">
        <v>1407.8</v>
      </c>
      <c r="D685" s="220" t="s">
        <v>1794</v>
      </c>
      <c r="E685" s="220">
        <v>1407.8</v>
      </c>
      <c r="F685" s="220">
        <v>115</v>
      </c>
      <c r="G685" s="220">
        <v>0.4</v>
      </c>
      <c r="H685" s="220"/>
      <c r="I685" s="220"/>
      <c r="J685" s="220"/>
      <c r="K685" s="220"/>
      <c r="L685" s="220"/>
    </row>
    <row r="686" spans="1:12" ht="66.75" customHeight="1" x14ac:dyDescent="0.2">
      <c r="A686" s="228"/>
      <c r="B686" s="229" t="s">
        <v>1798</v>
      </c>
      <c r="C686" s="230">
        <v>1408.3</v>
      </c>
      <c r="D686" s="223" t="s">
        <v>1794</v>
      </c>
      <c r="E686" s="230">
        <v>1408.3</v>
      </c>
      <c r="F686" s="230">
        <v>115</v>
      </c>
      <c r="G686" s="230">
        <v>0.5</v>
      </c>
      <c r="H686" s="230">
        <v>46.1</v>
      </c>
      <c r="I686" s="230">
        <v>2.6</v>
      </c>
      <c r="J686" s="230">
        <v>17.899999999999999</v>
      </c>
      <c r="K686" s="230">
        <v>3.9</v>
      </c>
      <c r="L686" s="230"/>
    </row>
    <row r="687" spans="1:12" x14ac:dyDescent="0.2">
      <c r="A687" s="228"/>
      <c r="B687" s="229"/>
      <c r="C687" s="230"/>
      <c r="D687" s="223" t="s">
        <v>1799</v>
      </c>
      <c r="E687" s="230"/>
      <c r="F687" s="230"/>
      <c r="G687" s="230"/>
      <c r="H687" s="230"/>
      <c r="I687" s="230"/>
      <c r="J687" s="230"/>
      <c r="K687" s="230"/>
      <c r="L687" s="230"/>
    </row>
    <row r="688" spans="1:12" x14ac:dyDescent="0.2">
      <c r="A688" s="218"/>
      <c r="B688" s="224" t="s">
        <v>1796</v>
      </c>
      <c r="C688" s="220">
        <v>1408.4</v>
      </c>
      <c r="D688" s="220" t="s">
        <v>1799</v>
      </c>
      <c r="E688" s="220">
        <v>1408.3</v>
      </c>
      <c r="F688" s="220">
        <v>115.5</v>
      </c>
      <c r="G688" s="220">
        <v>0</v>
      </c>
      <c r="H688" s="220"/>
      <c r="I688" s="220"/>
      <c r="J688" s="220"/>
      <c r="K688" s="220"/>
      <c r="L688" s="220"/>
    </row>
    <row r="689" spans="1:12" x14ac:dyDescent="0.2">
      <c r="A689" s="221"/>
      <c r="B689" s="222" t="s">
        <v>1800</v>
      </c>
      <c r="C689" s="223">
        <v>1408.4</v>
      </c>
      <c r="D689" s="223" t="s">
        <v>1799</v>
      </c>
      <c r="E689" s="223">
        <v>1408.4</v>
      </c>
      <c r="F689" s="223">
        <v>115.5</v>
      </c>
      <c r="G689" s="223">
        <v>0.1</v>
      </c>
      <c r="H689" s="223"/>
      <c r="I689" s="223"/>
      <c r="J689" s="223"/>
      <c r="K689" s="223"/>
      <c r="L689" s="223"/>
    </row>
    <row r="690" spans="1:12" x14ac:dyDescent="0.2">
      <c r="A690" s="218"/>
      <c r="B690" s="224" t="s">
        <v>1801</v>
      </c>
      <c r="C690" s="220">
        <v>1410.3</v>
      </c>
      <c r="D690" s="220" t="s">
        <v>1799</v>
      </c>
      <c r="E690" s="220">
        <v>1410.3</v>
      </c>
      <c r="F690" s="220">
        <v>115.6</v>
      </c>
      <c r="G690" s="220">
        <v>1.8</v>
      </c>
      <c r="H690" s="220"/>
      <c r="I690" s="220"/>
      <c r="J690" s="220"/>
      <c r="K690" s="220"/>
      <c r="L690" s="220"/>
    </row>
    <row r="691" spans="1:12" x14ac:dyDescent="0.2">
      <c r="A691" s="221"/>
      <c r="B691" s="222" t="s">
        <v>1802</v>
      </c>
      <c r="C691" s="223">
        <v>1413.6</v>
      </c>
      <c r="D691" s="223" t="s">
        <v>1799</v>
      </c>
      <c r="E691" s="223">
        <v>1413.6</v>
      </c>
      <c r="F691" s="223">
        <v>115.8</v>
      </c>
      <c r="G691" s="223">
        <v>3.3</v>
      </c>
      <c r="H691" s="223"/>
      <c r="I691" s="223"/>
      <c r="J691" s="223"/>
      <c r="K691" s="223"/>
      <c r="L691" s="223"/>
    </row>
    <row r="692" spans="1:12" x14ac:dyDescent="0.2">
      <c r="A692" s="218"/>
      <c r="B692" s="224" t="s">
        <v>1803</v>
      </c>
      <c r="C692" s="220">
        <v>1413.6</v>
      </c>
      <c r="D692" s="220" t="s">
        <v>1799</v>
      </c>
      <c r="E692" s="220">
        <v>1413.6</v>
      </c>
      <c r="F692" s="220">
        <v>115.8</v>
      </c>
      <c r="G692" s="220">
        <v>0</v>
      </c>
      <c r="H692" s="220"/>
      <c r="I692" s="220"/>
      <c r="J692" s="220"/>
      <c r="K692" s="220"/>
      <c r="L692" s="220"/>
    </row>
    <row r="693" spans="1:12" x14ac:dyDescent="0.2">
      <c r="A693" s="221"/>
      <c r="B693" s="222" t="s">
        <v>1804</v>
      </c>
      <c r="C693" s="223">
        <v>1419.5</v>
      </c>
      <c r="D693" s="223" t="s">
        <v>1805</v>
      </c>
      <c r="E693" s="223">
        <v>1419.5</v>
      </c>
      <c r="F693" s="223">
        <v>116.1</v>
      </c>
      <c r="G693" s="223">
        <v>5.9</v>
      </c>
      <c r="H693" s="223"/>
      <c r="I693" s="223"/>
      <c r="J693" s="223"/>
      <c r="K693" s="223"/>
      <c r="L693" s="223"/>
    </row>
    <row r="694" spans="1:12" x14ac:dyDescent="0.2">
      <c r="A694" s="218"/>
      <c r="B694" s="224" t="s">
        <v>1806</v>
      </c>
      <c r="C694" s="220">
        <v>1422.1</v>
      </c>
      <c r="D694" s="220" t="s">
        <v>1805</v>
      </c>
      <c r="E694" s="220">
        <v>1422.1</v>
      </c>
      <c r="F694" s="220">
        <v>116.2</v>
      </c>
      <c r="G694" s="220">
        <v>2.6</v>
      </c>
      <c r="H694" s="220"/>
      <c r="I694" s="220"/>
      <c r="J694" s="220"/>
      <c r="K694" s="220"/>
      <c r="L694" s="220"/>
    </row>
    <row r="695" spans="1:12" x14ac:dyDescent="0.2">
      <c r="A695" s="221"/>
      <c r="B695" s="222" t="s">
        <v>1807</v>
      </c>
      <c r="C695" s="223">
        <v>1425.8</v>
      </c>
      <c r="D695" s="223" t="s">
        <v>1805</v>
      </c>
      <c r="E695" s="223">
        <v>1425.8</v>
      </c>
      <c r="F695" s="223">
        <v>116.4</v>
      </c>
      <c r="G695" s="223">
        <v>3.7</v>
      </c>
      <c r="H695" s="223"/>
      <c r="I695" s="223"/>
      <c r="J695" s="223"/>
      <c r="K695" s="223"/>
      <c r="L695" s="223"/>
    </row>
    <row r="696" spans="1:12" x14ac:dyDescent="0.2">
      <c r="A696" s="218"/>
      <c r="B696" s="224" t="s">
        <v>1808</v>
      </c>
      <c r="C696" s="220">
        <v>1425.8</v>
      </c>
      <c r="D696" s="220" t="s">
        <v>1805</v>
      </c>
      <c r="E696" s="220">
        <v>1425.8</v>
      </c>
      <c r="F696" s="220">
        <v>116.4</v>
      </c>
      <c r="G696" s="220">
        <v>0</v>
      </c>
      <c r="H696" s="220"/>
      <c r="I696" s="220"/>
      <c r="J696" s="220"/>
      <c r="K696" s="220"/>
      <c r="L696" s="220"/>
    </row>
    <row r="697" spans="1:12" x14ac:dyDescent="0.2">
      <c r="A697" s="221"/>
      <c r="B697" s="222" t="s">
        <v>1809</v>
      </c>
      <c r="C697" s="223">
        <v>1430.2</v>
      </c>
      <c r="D697" s="223" t="s">
        <v>1805</v>
      </c>
      <c r="E697" s="223">
        <v>1430.2</v>
      </c>
      <c r="F697" s="223">
        <v>116.7</v>
      </c>
      <c r="G697" s="223">
        <v>4.4000000000000004</v>
      </c>
      <c r="H697" s="223"/>
      <c r="I697" s="223"/>
      <c r="J697" s="223"/>
      <c r="K697" s="223"/>
      <c r="L697" s="223"/>
    </row>
    <row r="698" spans="1:12" x14ac:dyDescent="0.2">
      <c r="A698" s="218"/>
      <c r="B698" s="224" t="s">
        <v>170</v>
      </c>
      <c r="C698" s="220">
        <v>1432.5</v>
      </c>
      <c r="D698" s="220" t="s">
        <v>1805</v>
      </c>
      <c r="E698" s="220">
        <v>1432.5</v>
      </c>
      <c r="F698" s="220">
        <v>116.8</v>
      </c>
      <c r="G698" s="220">
        <v>2.2999999999999998</v>
      </c>
      <c r="H698" s="220"/>
      <c r="I698" s="220"/>
      <c r="J698" s="220"/>
      <c r="K698" s="220"/>
      <c r="L698" s="220"/>
    </row>
    <row r="699" spans="1:12" x14ac:dyDescent="0.2">
      <c r="A699" s="221"/>
      <c r="B699" s="222" t="s">
        <v>1810</v>
      </c>
      <c r="C699" s="223">
        <v>1436</v>
      </c>
      <c r="D699" s="223" t="s">
        <v>1811</v>
      </c>
      <c r="E699" s="223">
        <v>1436</v>
      </c>
      <c r="F699" s="223">
        <v>117</v>
      </c>
      <c r="G699" s="223">
        <v>3.5</v>
      </c>
      <c r="H699" s="223"/>
      <c r="I699" s="223"/>
      <c r="J699" s="223"/>
      <c r="K699" s="223"/>
      <c r="L699" s="223"/>
    </row>
    <row r="700" spans="1:12" x14ac:dyDescent="0.2">
      <c r="A700" s="218"/>
      <c r="B700" s="224" t="s">
        <v>1812</v>
      </c>
      <c r="C700" s="220">
        <v>1437.7</v>
      </c>
      <c r="D700" s="220" t="s">
        <v>1811</v>
      </c>
      <c r="E700" s="220">
        <v>1437.7</v>
      </c>
      <c r="F700" s="220">
        <v>117.1</v>
      </c>
      <c r="G700" s="220">
        <v>1.7</v>
      </c>
      <c r="H700" s="220"/>
      <c r="I700" s="220"/>
      <c r="J700" s="220"/>
      <c r="K700" s="220"/>
      <c r="L700" s="220"/>
    </row>
    <row r="701" spans="1:12" ht="22.5" x14ac:dyDescent="0.2">
      <c r="A701" s="221"/>
      <c r="B701" s="222" t="s">
        <v>1813</v>
      </c>
      <c r="C701" s="223">
        <v>1437.7</v>
      </c>
      <c r="D701" s="223" t="s">
        <v>1811</v>
      </c>
      <c r="E701" s="223">
        <v>1437.7</v>
      </c>
      <c r="F701" s="223">
        <v>117.1</v>
      </c>
      <c r="G701" s="223">
        <v>0</v>
      </c>
      <c r="H701" s="223"/>
      <c r="I701" s="223"/>
      <c r="J701" s="223"/>
      <c r="K701" s="223"/>
      <c r="L701" s="223"/>
    </row>
    <row r="702" spans="1:12" ht="22.5" x14ac:dyDescent="0.2">
      <c r="A702" s="218"/>
      <c r="B702" s="224" t="s">
        <v>1814</v>
      </c>
      <c r="C702" s="220">
        <v>1438.7</v>
      </c>
      <c r="D702" s="220" t="s">
        <v>1811</v>
      </c>
      <c r="E702" s="220">
        <v>1438.7</v>
      </c>
      <c r="F702" s="220">
        <v>117.1</v>
      </c>
      <c r="G702" s="220">
        <v>1</v>
      </c>
      <c r="H702" s="220"/>
      <c r="I702" s="220"/>
      <c r="J702" s="220"/>
      <c r="K702" s="220"/>
      <c r="L702" s="220"/>
    </row>
    <row r="703" spans="1:12" x14ac:dyDescent="0.2">
      <c r="A703" s="221"/>
      <c r="B703" s="222" t="s">
        <v>1815</v>
      </c>
      <c r="C703" s="223">
        <v>1439</v>
      </c>
      <c r="D703" s="223" t="s">
        <v>1811</v>
      </c>
      <c r="E703" s="223">
        <v>1439</v>
      </c>
      <c r="F703" s="223">
        <v>117.2</v>
      </c>
      <c r="G703" s="223">
        <v>0.3</v>
      </c>
      <c r="H703" s="223"/>
      <c r="I703" s="223"/>
      <c r="J703" s="223"/>
      <c r="K703" s="223"/>
      <c r="L703" s="223"/>
    </row>
    <row r="704" spans="1:12" x14ac:dyDescent="0.2">
      <c r="A704" s="218"/>
      <c r="B704" s="224" t="s">
        <v>1815</v>
      </c>
      <c r="C704" s="220">
        <v>1439</v>
      </c>
      <c r="D704" s="220" t="s">
        <v>1811</v>
      </c>
      <c r="E704" s="220">
        <v>1439</v>
      </c>
      <c r="F704" s="220">
        <v>117.2</v>
      </c>
      <c r="G704" s="220">
        <v>0</v>
      </c>
      <c r="H704" s="220"/>
      <c r="I704" s="220"/>
      <c r="J704" s="220"/>
      <c r="K704" s="220"/>
      <c r="L704" s="220"/>
    </row>
    <row r="705" spans="1:12" x14ac:dyDescent="0.2">
      <c r="A705" s="221"/>
      <c r="B705" s="222" t="s">
        <v>1084</v>
      </c>
      <c r="C705" s="223">
        <v>1441.3</v>
      </c>
      <c r="D705" s="223" t="s">
        <v>1811</v>
      </c>
      <c r="E705" s="223">
        <v>1441.3</v>
      </c>
      <c r="F705" s="223">
        <v>117.3</v>
      </c>
      <c r="G705" s="223">
        <v>2.2999999999999998</v>
      </c>
      <c r="H705" s="223"/>
      <c r="I705" s="223"/>
      <c r="J705" s="223"/>
      <c r="K705" s="223"/>
      <c r="L705" s="223"/>
    </row>
    <row r="706" spans="1:12" x14ac:dyDescent="0.2">
      <c r="A706" s="218"/>
      <c r="B706" s="224" t="s">
        <v>1816</v>
      </c>
      <c r="C706" s="220">
        <v>1442.4</v>
      </c>
      <c r="D706" s="220" t="s">
        <v>1811</v>
      </c>
      <c r="E706" s="220">
        <v>1442.4</v>
      </c>
      <c r="F706" s="220">
        <v>117.4</v>
      </c>
      <c r="G706" s="220">
        <v>1.2</v>
      </c>
      <c r="H706" s="220"/>
      <c r="I706" s="220"/>
      <c r="J706" s="220"/>
      <c r="K706" s="220"/>
      <c r="L706" s="220"/>
    </row>
    <row r="707" spans="1:12" x14ac:dyDescent="0.2">
      <c r="A707" s="221"/>
      <c r="B707" s="222" t="s">
        <v>1817</v>
      </c>
      <c r="C707" s="223">
        <v>1444.3</v>
      </c>
      <c r="D707" s="223" t="s">
        <v>1811</v>
      </c>
      <c r="E707" s="223">
        <v>1444.3</v>
      </c>
      <c r="F707" s="223">
        <v>117.5</v>
      </c>
      <c r="G707" s="223">
        <v>1.9</v>
      </c>
      <c r="H707" s="223"/>
      <c r="I707" s="223"/>
      <c r="J707" s="223"/>
      <c r="K707" s="223"/>
      <c r="L707" s="223"/>
    </row>
    <row r="708" spans="1:12" ht="22.5" x14ac:dyDescent="0.2">
      <c r="A708" s="218"/>
      <c r="B708" s="224" t="s">
        <v>1818</v>
      </c>
      <c r="C708" s="220">
        <v>1444.5</v>
      </c>
      <c r="D708" s="220" t="s">
        <v>1811</v>
      </c>
      <c r="E708" s="220">
        <v>1444.5</v>
      </c>
      <c r="F708" s="220">
        <v>117.5</v>
      </c>
      <c r="G708" s="220">
        <v>0.3</v>
      </c>
      <c r="H708" s="220"/>
      <c r="I708" s="220"/>
      <c r="J708" s="220"/>
      <c r="K708" s="220"/>
      <c r="L708" s="220"/>
    </row>
    <row r="709" spans="1:12" ht="22.5" x14ac:dyDescent="0.2">
      <c r="A709" s="221"/>
      <c r="B709" s="222" t="s">
        <v>1819</v>
      </c>
      <c r="C709" s="223">
        <v>1444.6</v>
      </c>
      <c r="D709" s="223" t="s">
        <v>1811</v>
      </c>
      <c r="E709" s="223">
        <v>1444.6</v>
      </c>
      <c r="F709" s="223">
        <v>117.5</v>
      </c>
      <c r="G709" s="223">
        <v>0</v>
      </c>
      <c r="H709" s="223"/>
      <c r="I709" s="223"/>
      <c r="J709" s="223"/>
      <c r="K709" s="223"/>
      <c r="L709" s="223"/>
    </row>
    <row r="710" spans="1:12" x14ac:dyDescent="0.2">
      <c r="A710" s="218"/>
      <c r="B710" s="224" t="s">
        <v>1820</v>
      </c>
      <c r="C710" s="220">
        <v>1444.7</v>
      </c>
      <c r="D710" s="220" t="s">
        <v>1811</v>
      </c>
      <c r="E710" s="220">
        <v>1444.7</v>
      </c>
      <c r="F710" s="220">
        <v>117.5</v>
      </c>
      <c r="G710" s="220">
        <v>0.1</v>
      </c>
      <c r="H710" s="220"/>
      <c r="I710" s="220"/>
      <c r="J710" s="220"/>
      <c r="K710" s="220"/>
      <c r="L710" s="220"/>
    </row>
    <row r="711" spans="1:12" x14ac:dyDescent="0.2">
      <c r="A711" s="221"/>
      <c r="B711" s="222" t="s">
        <v>171</v>
      </c>
      <c r="C711" s="223">
        <v>1448.7</v>
      </c>
      <c r="D711" s="223" t="s">
        <v>1811</v>
      </c>
      <c r="E711" s="223">
        <v>1448.7</v>
      </c>
      <c r="F711" s="223">
        <v>117.7</v>
      </c>
      <c r="G711" s="223">
        <v>4.0999999999999996</v>
      </c>
      <c r="H711" s="223"/>
      <c r="I711" s="223"/>
      <c r="J711" s="223"/>
      <c r="K711" s="223"/>
      <c r="L711" s="223"/>
    </row>
    <row r="712" spans="1:12" x14ac:dyDescent="0.2">
      <c r="A712" s="218"/>
      <c r="B712" s="224" t="s">
        <v>1821</v>
      </c>
      <c r="C712" s="220">
        <v>1449.2</v>
      </c>
      <c r="D712" s="220" t="s">
        <v>1811</v>
      </c>
      <c r="E712" s="220">
        <v>1449.2</v>
      </c>
      <c r="F712" s="220">
        <v>117.7</v>
      </c>
      <c r="G712" s="220">
        <v>0.5</v>
      </c>
      <c r="H712" s="220"/>
      <c r="I712" s="220"/>
      <c r="J712" s="220"/>
      <c r="K712" s="220"/>
      <c r="L712" s="220"/>
    </row>
    <row r="713" spans="1:12" x14ac:dyDescent="0.2">
      <c r="A713" s="221"/>
      <c r="B713" s="222" t="s">
        <v>1822</v>
      </c>
      <c r="C713" s="223">
        <v>1449.3</v>
      </c>
      <c r="D713" s="223" t="s">
        <v>1811</v>
      </c>
      <c r="E713" s="223">
        <v>1449.3</v>
      </c>
      <c r="F713" s="223">
        <v>117.7</v>
      </c>
      <c r="G713" s="223">
        <v>0</v>
      </c>
      <c r="H713" s="223"/>
      <c r="I713" s="223"/>
      <c r="J713" s="223"/>
      <c r="K713" s="223"/>
      <c r="L713" s="223"/>
    </row>
    <row r="714" spans="1:12" x14ac:dyDescent="0.2">
      <c r="A714" s="218"/>
      <c r="B714" s="224" t="s">
        <v>1823</v>
      </c>
      <c r="C714" s="220">
        <v>1451.6</v>
      </c>
      <c r="D714" s="220" t="s">
        <v>1811</v>
      </c>
      <c r="E714" s="220">
        <v>1451.6</v>
      </c>
      <c r="F714" s="220">
        <v>117.9</v>
      </c>
      <c r="G714" s="220">
        <v>2.4</v>
      </c>
      <c r="H714" s="220"/>
      <c r="I714" s="220"/>
      <c r="J714" s="220"/>
      <c r="K714" s="220"/>
      <c r="L714" s="220"/>
    </row>
    <row r="715" spans="1:12" x14ac:dyDescent="0.2">
      <c r="A715" s="221"/>
      <c r="B715" s="222" t="s">
        <v>1824</v>
      </c>
      <c r="C715" s="223">
        <v>1451.7</v>
      </c>
      <c r="D715" s="223" t="s">
        <v>1811</v>
      </c>
      <c r="E715" s="223">
        <v>1451.7</v>
      </c>
      <c r="F715" s="223">
        <v>117.9</v>
      </c>
      <c r="G715" s="223">
        <v>0.1</v>
      </c>
      <c r="H715" s="223"/>
      <c r="I715" s="223"/>
      <c r="J715" s="223"/>
      <c r="K715" s="223"/>
      <c r="L715" s="223"/>
    </row>
    <row r="716" spans="1:12" x14ac:dyDescent="0.2">
      <c r="A716" s="218"/>
      <c r="B716" s="224" t="s">
        <v>172</v>
      </c>
      <c r="C716" s="220">
        <v>1457.4</v>
      </c>
      <c r="D716" s="220" t="s">
        <v>1825</v>
      </c>
      <c r="E716" s="220">
        <v>1457.4</v>
      </c>
      <c r="F716" s="220">
        <v>118.2</v>
      </c>
      <c r="G716" s="220">
        <v>5.7</v>
      </c>
      <c r="H716" s="220"/>
      <c r="I716" s="220"/>
      <c r="J716" s="220"/>
      <c r="K716" s="220"/>
      <c r="L716" s="220"/>
    </row>
    <row r="717" spans="1:12" x14ac:dyDescent="0.2">
      <c r="A717" s="221"/>
      <c r="B717" s="222" t="s">
        <v>1826</v>
      </c>
      <c r="C717" s="223">
        <v>1457.6</v>
      </c>
      <c r="D717" s="223" t="s">
        <v>1825</v>
      </c>
      <c r="E717" s="223">
        <v>1457.6</v>
      </c>
      <c r="F717" s="223">
        <v>118.2</v>
      </c>
      <c r="G717" s="223">
        <v>0.2</v>
      </c>
      <c r="H717" s="223"/>
      <c r="I717" s="223"/>
      <c r="J717" s="223"/>
      <c r="K717" s="223"/>
      <c r="L717" s="223"/>
    </row>
    <row r="718" spans="1:12" x14ac:dyDescent="0.2">
      <c r="A718" s="218"/>
      <c r="B718" s="224" t="s">
        <v>1827</v>
      </c>
      <c r="C718" s="220">
        <v>1458.7</v>
      </c>
      <c r="D718" s="220" t="s">
        <v>1825</v>
      </c>
      <c r="E718" s="220">
        <v>1458.7</v>
      </c>
      <c r="F718" s="220">
        <v>118.3</v>
      </c>
      <c r="G718" s="220">
        <v>1</v>
      </c>
      <c r="H718" s="220"/>
      <c r="I718" s="220"/>
      <c r="J718" s="220"/>
      <c r="K718" s="220"/>
      <c r="L718" s="220"/>
    </row>
    <row r="719" spans="1:12" x14ac:dyDescent="0.2">
      <c r="A719" s="221"/>
      <c r="B719" s="222" t="s">
        <v>1828</v>
      </c>
      <c r="C719" s="223">
        <v>1459</v>
      </c>
      <c r="D719" s="223" t="s">
        <v>1825</v>
      </c>
      <c r="E719" s="223">
        <v>1459</v>
      </c>
      <c r="F719" s="223">
        <v>118.3</v>
      </c>
      <c r="G719" s="223">
        <v>0.3</v>
      </c>
      <c r="H719" s="223"/>
      <c r="I719" s="223"/>
      <c r="J719" s="223"/>
      <c r="K719" s="223"/>
      <c r="L719" s="223"/>
    </row>
    <row r="720" spans="1:12" x14ac:dyDescent="0.2">
      <c r="A720" s="218"/>
      <c r="B720" s="224" t="s">
        <v>1824</v>
      </c>
      <c r="C720" s="220">
        <v>1459.3</v>
      </c>
      <c r="D720" s="220" t="s">
        <v>1825</v>
      </c>
      <c r="E720" s="220">
        <v>1459.3</v>
      </c>
      <c r="F720" s="220">
        <v>118.3</v>
      </c>
      <c r="G720" s="220">
        <v>0.3</v>
      </c>
      <c r="H720" s="220"/>
      <c r="I720" s="220"/>
      <c r="J720" s="220"/>
      <c r="K720" s="220"/>
      <c r="L720" s="220"/>
    </row>
    <row r="721" spans="1:12" x14ac:dyDescent="0.2">
      <c r="A721" s="221"/>
      <c r="B721" s="222" t="s">
        <v>1829</v>
      </c>
      <c r="C721" s="223">
        <v>1459.3</v>
      </c>
      <c r="D721" s="223" t="s">
        <v>1825</v>
      </c>
      <c r="E721" s="223">
        <v>1459.3</v>
      </c>
      <c r="F721" s="223">
        <v>118.3</v>
      </c>
      <c r="G721" s="223">
        <v>0</v>
      </c>
      <c r="H721" s="223"/>
      <c r="I721" s="223"/>
      <c r="J721" s="223"/>
      <c r="K721" s="223"/>
      <c r="L721" s="223"/>
    </row>
    <row r="722" spans="1:12" x14ac:dyDescent="0.2">
      <c r="A722" s="218"/>
      <c r="B722" s="224" t="s">
        <v>173</v>
      </c>
      <c r="C722" s="220">
        <v>1461.5</v>
      </c>
      <c r="D722" s="220" t="s">
        <v>1825</v>
      </c>
      <c r="E722" s="220">
        <v>1461.5</v>
      </c>
      <c r="F722" s="220">
        <v>118.4</v>
      </c>
      <c r="G722" s="220">
        <v>2.2000000000000002</v>
      </c>
      <c r="H722" s="220"/>
      <c r="I722" s="220"/>
      <c r="J722" s="220"/>
      <c r="K722" s="220"/>
      <c r="L722" s="220"/>
    </row>
    <row r="723" spans="1:12" ht="22.5" x14ac:dyDescent="0.2">
      <c r="A723" s="221"/>
      <c r="B723" s="222" t="s">
        <v>1227</v>
      </c>
      <c r="C723" s="223">
        <v>1462.7</v>
      </c>
      <c r="D723" s="223" t="s">
        <v>1825</v>
      </c>
      <c r="E723" s="223">
        <v>1462.7</v>
      </c>
      <c r="F723" s="223">
        <v>118.5</v>
      </c>
      <c r="G723" s="223">
        <v>1.2</v>
      </c>
      <c r="H723" s="223"/>
      <c r="I723" s="223"/>
      <c r="J723" s="223"/>
      <c r="K723" s="223"/>
      <c r="L723" s="223"/>
    </row>
    <row r="724" spans="1:12" x14ac:dyDescent="0.2">
      <c r="A724" s="218"/>
      <c r="B724" s="224" t="s">
        <v>1830</v>
      </c>
      <c r="C724" s="220">
        <v>1462.9</v>
      </c>
      <c r="D724" s="220" t="s">
        <v>1825</v>
      </c>
      <c r="E724" s="220">
        <v>1462.9</v>
      </c>
      <c r="F724" s="220">
        <v>118.5</v>
      </c>
      <c r="G724" s="220">
        <v>0.1</v>
      </c>
      <c r="H724" s="220"/>
      <c r="I724" s="220"/>
      <c r="J724" s="220"/>
      <c r="K724" s="220"/>
      <c r="L724" s="220"/>
    </row>
    <row r="725" spans="1:12" x14ac:dyDescent="0.2">
      <c r="A725" s="221"/>
      <c r="B725" s="222" t="s">
        <v>1831</v>
      </c>
      <c r="C725" s="223">
        <v>1463.1</v>
      </c>
      <c r="D725" s="223" t="s">
        <v>1825</v>
      </c>
      <c r="E725" s="223">
        <v>1463.1</v>
      </c>
      <c r="F725" s="223">
        <v>118.5</v>
      </c>
      <c r="G725" s="223">
        <v>0.3</v>
      </c>
      <c r="H725" s="223"/>
      <c r="I725" s="223"/>
      <c r="J725" s="223"/>
      <c r="K725" s="223"/>
      <c r="L725" s="223"/>
    </row>
    <row r="726" spans="1:12" x14ac:dyDescent="0.2">
      <c r="A726" s="218"/>
      <c r="B726" s="224" t="s">
        <v>1832</v>
      </c>
      <c r="C726" s="220">
        <v>1469.9</v>
      </c>
      <c r="D726" s="220" t="s">
        <v>1825</v>
      </c>
      <c r="E726" s="220">
        <v>1469.9</v>
      </c>
      <c r="F726" s="220">
        <v>118.9</v>
      </c>
      <c r="G726" s="220">
        <v>6.8</v>
      </c>
      <c r="H726" s="220"/>
      <c r="I726" s="220"/>
      <c r="J726" s="220"/>
      <c r="K726" s="220"/>
      <c r="L726" s="220"/>
    </row>
    <row r="727" spans="1:12" ht="28.5" customHeight="1" x14ac:dyDescent="0.2">
      <c r="A727" s="228"/>
      <c r="B727" s="229" t="s">
        <v>1833</v>
      </c>
      <c r="C727" s="230">
        <v>1470.2</v>
      </c>
      <c r="D727" s="223" t="s">
        <v>1825</v>
      </c>
      <c r="E727" s="230">
        <v>1470.2</v>
      </c>
      <c r="F727" s="230">
        <v>118.9</v>
      </c>
      <c r="G727" s="230">
        <v>0.3</v>
      </c>
      <c r="H727" s="230">
        <v>61.9</v>
      </c>
      <c r="I727" s="230">
        <v>3.4</v>
      </c>
      <c r="J727" s="230">
        <v>18.2</v>
      </c>
      <c r="K727" s="230">
        <v>3.7</v>
      </c>
      <c r="L727" s="230"/>
    </row>
    <row r="728" spans="1:12" x14ac:dyDescent="0.2">
      <c r="A728" s="228"/>
      <c r="B728" s="229"/>
      <c r="C728" s="230"/>
      <c r="D728" s="223" t="s">
        <v>1834</v>
      </c>
      <c r="E728" s="230"/>
      <c r="F728" s="230"/>
      <c r="G728" s="230"/>
      <c r="H728" s="230"/>
      <c r="I728" s="230"/>
      <c r="J728" s="230"/>
      <c r="K728" s="230"/>
      <c r="L728" s="230"/>
    </row>
    <row r="729" spans="1:12" x14ac:dyDescent="0.2">
      <c r="A729" s="218"/>
      <c r="B729" s="224" t="s">
        <v>1835</v>
      </c>
      <c r="C729" s="220">
        <v>1470.3</v>
      </c>
      <c r="D729" s="220" t="s">
        <v>1834</v>
      </c>
      <c r="E729" s="220">
        <v>1470.3</v>
      </c>
      <c r="F729" s="220">
        <v>119.4</v>
      </c>
      <c r="G729" s="220">
        <v>0.1</v>
      </c>
      <c r="H729" s="220"/>
      <c r="I729" s="220"/>
      <c r="J729" s="220"/>
      <c r="K729" s="220"/>
      <c r="L729" s="220"/>
    </row>
    <row r="730" spans="1:12" x14ac:dyDescent="0.2">
      <c r="A730" s="221"/>
      <c r="B730" s="222" t="s">
        <v>1836</v>
      </c>
      <c r="C730" s="223">
        <v>1470.3</v>
      </c>
      <c r="D730" s="223" t="s">
        <v>1834</v>
      </c>
      <c r="E730" s="223">
        <v>1470.3</v>
      </c>
      <c r="F730" s="223">
        <v>119.4</v>
      </c>
      <c r="G730" s="223">
        <v>0</v>
      </c>
      <c r="H730" s="223"/>
      <c r="I730" s="223"/>
      <c r="J730" s="223"/>
      <c r="K730" s="223"/>
      <c r="L730" s="223"/>
    </row>
    <row r="731" spans="1:12" x14ac:dyDescent="0.2">
      <c r="A731" s="218"/>
      <c r="B731" s="224" t="s">
        <v>1837</v>
      </c>
      <c r="C731" s="220">
        <v>1475.1</v>
      </c>
      <c r="D731" s="220" t="s">
        <v>1834</v>
      </c>
      <c r="E731" s="220">
        <v>1475.1</v>
      </c>
      <c r="F731" s="220">
        <v>119.7</v>
      </c>
      <c r="G731" s="220">
        <v>4.8</v>
      </c>
      <c r="H731" s="220"/>
      <c r="I731" s="220"/>
      <c r="J731" s="220"/>
      <c r="K731" s="220"/>
      <c r="L731" s="220"/>
    </row>
    <row r="732" spans="1:12" x14ac:dyDescent="0.2">
      <c r="A732" s="221"/>
      <c r="B732" s="222" t="s">
        <v>1838</v>
      </c>
      <c r="C732" s="223">
        <v>1476.1</v>
      </c>
      <c r="D732" s="223" t="s">
        <v>1834</v>
      </c>
      <c r="E732" s="223">
        <v>1476.1</v>
      </c>
      <c r="F732" s="223">
        <v>119.7</v>
      </c>
      <c r="G732" s="223">
        <v>1</v>
      </c>
      <c r="H732" s="223"/>
      <c r="I732" s="223"/>
      <c r="J732" s="223"/>
      <c r="K732" s="223"/>
      <c r="L732" s="223"/>
    </row>
    <row r="733" spans="1:12" ht="22.5" x14ac:dyDescent="0.2">
      <c r="A733" s="218"/>
      <c r="B733" s="224" t="s">
        <v>175</v>
      </c>
      <c r="C733" s="220">
        <v>1477.5</v>
      </c>
      <c r="D733" s="220" t="s">
        <v>1834</v>
      </c>
      <c r="E733" s="220">
        <v>1477.5</v>
      </c>
      <c r="F733" s="220">
        <v>119.8</v>
      </c>
      <c r="G733" s="220">
        <v>1.5</v>
      </c>
      <c r="H733" s="220"/>
      <c r="I733" s="220"/>
      <c r="J733" s="220"/>
      <c r="K733" s="220"/>
      <c r="L733" s="220"/>
    </row>
    <row r="734" spans="1:12" ht="22.5" x14ac:dyDescent="0.2">
      <c r="A734" s="221"/>
      <c r="B734" s="222" t="s">
        <v>1227</v>
      </c>
      <c r="C734" s="223">
        <v>1481.6</v>
      </c>
      <c r="D734" s="223" t="s">
        <v>1839</v>
      </c>
      <c r="E734" s="223">
        <v>1481.6</v>
      </c>
      <c r="F734" s="223">
        <v>120</v>
      </c>
      <c r="G734" s="223">
        <v>4.0999999999999996</v>
      </c>
      <c r="H734" s="223"/>
      <c r="I734" s="223"/>
      <c r="J734" s="223"/>
      <c r="K734" s="223"/>
      <c r="L734" s="223"/>
    </row>
    <row r="735" spans="1:12" ht="22.5" x14ac:dyDescent="0.2">
      <c r="A735" s="218"/>
      <c r="B735" s="224" t="s">
        <v>1840</v>
      </c>
      <c r="C735" s="220">
        <v>1481.7</v>
      </c>
      <c r="D735" s="220" t="s">
        <v>1839</v>
      </c>
      <c r="E735" s="220">
        <v>1481.7</v>
      </c>
      <c r="F735" s="220">
        <v>120</v>
      </c>
      <c r="G735" s="220">
        <v>0.1</v>
      </c>
      <c r="H735" s="220"/>
      <c r="I735" s="220"/>
      <c r="J735" s="220"/>
      <c r="K735" s="220"/>
      <c r="L735" s="220"/>
    </row>
    <row r="736" spans="1:12" ht="22.5" x14ac:dyDescent="0.2">
      <c r="A736" s="221"/>
      <c r="B736" s="222" t="s">
        <v>1227</v>
      </c>
      <c r="C736" s="223">
        <v>1482.3</v>
      </c>
      <c r="D736" s="223" t="s">
        <v>1839</v>
      </c>
      <c r="E736" s="223">
        <v>1482.3</v>
      </c>
      <c r="F736" s="223">
        <v>120.1</v>
      </c>
      <c r="G736" s="223">
        <v>0.7</v>
      </c>
      <c r="H736" s="223"/>
      <c r="I736" s="223"/>
      <c r="J736" s="223"/>
      <c r="K736" s="223"/>
      <c r="L736" s="223"/>
    </row>
    <row r="737" spans="1:12" x14ac:dyDescent="0.2">
      <c r="A737" s="218"/>
      <c r="B737" s="224" t="s">
        <v>1841</v>
      </c>
      <c r="C737" s="220">
        <v>1486.6</v>
      </c>
      <c r="D737" s="220" t="s">
        <v>1839</v>
      </c>
      <c r="E737" s="220">
        <v>1486.6</v>
      </c>
      <c r="F737" s="220">
        <v>120.3</v>
      </c>
      <c r="G737" s="220">
        <v>4.3</v>
      </c>
      <c r="H737" s="220"/>
      <c r="I737" s="220"/>
      <c r="J737" s="220"/>
      <c r="K737" s="220"/>
      <c r="L737" s="220"/>
    </row>
    <row r="738" spans="1:12" x14ac:dyDescent="0.2">
      <c r="A738" s="221"/>
      <c r="B738" s="222" t="s">
        <v>1842</v>
      </c>
      <c r="C738" s="223">
        <v>1486.6</v>
      </c>
      <c r="D738" s="223" t="s">
        <v>1839</v>
      </c>
      <c r="E738" s="223">
        <v>1486.6</v>
      </c>
      <c r="F738" s="223">
        <v>120.3</v>
      </c>
      <c r="G738" s="223">
        <v>0</v>
      </c>
      <c r="H738" s="223"/>
      <c r="I738" s="223"/>
      <c r="J738" s="223"/>
      <c r="K738" s="223"/>
      <c r="L738" s="223"/>
    </row>
    <row r="739" spans="1:12" x14ac:dyDescent="0.2">
      <c r="A739" s="218"/>
      <c r="B739" s="224" t="s">
        <v>176</v>
      </c>
      <c r="C739" s="220">
        <v>1487.7</v>
      </c>
      <c r="D739" s="220" t="s">
        <v>1839</v>
      </c>
      <c r="E739" s="220">
        <v>1487.7</v>
      </c>
      <c r="F739" s="220">
        <v>120.4</v>
      </c>
      <c r="G739" s="220">
        <v>1.1000000000000001</v>
      </c>
      <c r="H739" s="220"/>
      <c r="I739" s="220"/>
      <c r="J739" s="220"/>
      <c r="K739" s="220"/>
      <c r="L739" s="220"/>
    </row>
    <row r="740" spans="1:12" x14ac:dyDescent="0.2">
      <c r="A740" s="221"/>
      <c r="B740" s="222" t="s">
        <v>1843</v>
      </c>
      <c r="C740" s="223">
        <v>1493.7</v>
      </c>
      <c r="D740" s="223" t="s">
        <v>1839</v>
      </c>
      <c r="E740" s="223">
        <v>1493.7</v>
      </c>
      <c r="F740" s="223">
        <v>120.7</v>
      </c>
      <c r="G740" s="223">
        <v>6</v>
      </c>
      <c r="H740" s="223"/>
      <c r="I740" s="223"/>
      <c r="J740" s="223"/>
      <c r="K740" s="223"/>
      <c r="L740" s="223"/>
    </row>
    <row r="741" spans="1:12" x14ac:dyDescent="0.2">
      <c r="A741" s="218"/>
      <c r="B741" s="224" t="s">
        <v>1844</v>
      </c>
      <c r="C741" s="220">
        <v>1493.7</v>
      </c>
      <c r="D741" s="220" t="s">
        <v>1839</v>
      </c>
      <c r="E741" s="220">
        <v>1493.7</v>
      </c>
      <c r="F741" s="220">
        <v>120.7</v>
      </c>
      <c r="G741" s="220">
        <v>0</v>
      </c>
      <c r="H741" s="220"/>
      <c r="I741" s="220"/>
      <c r="J741" s="220"/>
      <c r="K741" s="220"/>
      <c r="L741" s="220"/>
    </row>
    <row r="742" spans="1:12" x14ac:dyDescent="0.2">
      <c r="A742" s="221"/>
      <c r="B742" s="222" t="s">
        <v>1844</v>
      </c>
      <c r="C742" s="223">
        <v>1494.1</v>
      </c>
      <c r="D742" s="223" t="s">
        <v>1839</v>
      </c>
      <c r="E742" s="223">
        <v>1494.1</v>
      </c>
      <c r="F742" s="223">
        <v>120.7</v>
      </c>
      <c r="G742" s="223">
        <v>0.4</v>
      </c>
      <c r="H742" s="223"/>
      <c r="I742" s="223"/>
      <c r="J742" s="223"/>
      <c r="K742" s="223"/>
      <c r="L742" s="223"/>
    </row>
    <row r="743" spans="1:12" x14ac:dyDescent="0.2">
      <c r="A743" s="218"/>
      <c r="B743" s="224" t="s">
        <v>1845</v>
      </c>
      <c r="C743" s="220">
        <v>1495.3</v>
      </c>
      <c r="D743" s="220" t="s">
        <v>1839</v>
      </c>
      <c r="E743" s="220">
        <v>1495.3</v>
      </c>
      <c r="F743" s="220">
        <v>120.8</v>
      </c>
      <c r="G743" s="220">
        <v>1.2</v>
      </c>
      <c r="H743" s="220"/>
      <c r="I743" s="220"/>
      <c r="J743" s="220"/>
      <c r="K743" s="220"/>
      <c r="L743" s="220"/>
    </row>
    <row r="744" spans="1:12" ht="22.5" x14ac:dyDescent="0.2">
      <c r="A744" s="221"/>
      <c r="B744" s="222" t="s">
        <v>1846</v>
      </c>
      <c r="C744" s="223">
        <v>1496.2</v>
      </c>
      <c r="D744" s="223" t="s">
        <v>1839</v>
      </c>
      <c r="E744" s="223">
        <v>1496.2</v>
      </c>
      <c r="F744" s="223">
        <v>120.9</v>
      </c>
      <c r="G744" s="223">
        <v>0.9</v>
      </c>
      <c r="H744" s="223"/>
      <c r="I744" s="223"/>
      <c r="J744" s="223"/>
      <c r="K744" s="223"/>
      <c r="L744" s="223"/>
    </row>
    <row r="745" spans="1:12" ht="22.5" x14ac:dyDescent="0.2">
      <c r="A745" s="218"/>
      <c r="B745" s="224" t="s">
        <v>1847</v>
      </c>
      <c r="C745" s="220">
        <v>1496.7</v>
      </c>
      <c r="D745" s="220" t="s">
        <v>1839</v>
      </c>
      <c r="E745" s="220">
        <v>1496.7</v>
      </c>
      <c r="F745" s="220">
        <v>120.9</v>
      </c>
      <c r="G745" s="220">
        <v>0.6</v>
      </c>
      <c r="H745" s="220"/>
      <c r="I745" s="220"/>
      <c r="J745" s="220"/>
      <c r="K745" s="220"/>
      <c r="L745" s="220"/>
    </row>
    <row r="746" spans="1:12" ht="22.5" x14ac:dyDescent="0.2">
      <c r="A746" s="221"/>
      <c r="B746" s="222" t="s">
        <v>1848</v>
      </c>
      <c r="C746" s="223">
        <v>1497</v>
      </c>
      <c r="D746" s="223" t="s">
        <v>1839</v>
      </c>
      <c r="E746" s="223">
        <v>1497</v>
      </c>
      <c r="F746" s="223">
        <v>120.9</v>
      </c>
      <c r="G746" s="223">
        <v>0.3</v>
      </c>
      <c r="H746" s="223"/>
      <c r="I746" s="223"/>
      <c r="J746" s="223"/>
      <c r="K746" s="223"/>
      <c r="L746" s="223"/>
    </row>
    <row r="747" spans="1:12" x14ac:dyDescent="0.2">
      <c r="A747" s="218"/>
      <c r="B747" s="224" t="s">
        <v>177</v>
      </c>
      <c r="C747" s="220">
        <v>1500</v>
      </c>
      <c r="D747" s="220" t="s">
        <v>1849</v>
      </c>
      <c r="E747" s="220">
        <v>1500</v>
      </c>
      <c r="F747" s="220">
        <v>121.1</v>
      </c>
      <c r="G747" s="220">
        <v>3</v>
      </c>
      <c r="H747" s="220"/>
      <c r="I747" s="220"/>
      <c r="J747" s="220"/>
      <c r="K747" s="220"/>
      <c r="L747" s="220"/>
    </row>
    <row r="748" spans="1:12" x14ac:dyDescent="0.2">
      <c r="A748" s="221"/>
      <c r="B748" s="222" t="s">
        <v>1850</v>
      </c>
      <c r="C748" s="223">
        <v>1503</v>
      </c>
      <c r="D748" s="223" t="s">
        <v>1849</v>
      </c>
      <c r="E748" s="223">
        <v>1503</v>
      </c>
      <c r="F748" s="223">
        <v>121.3</v>
      </c>
      <c r="G748" s="223">
        <v>3</v>
      </c>
      <c r="H748" s="223"/>
      <c r="I748" s="223"/>
      <c r="J748" s="223"/>
      <c r="K748" s="223"/>
      <c r="L748" s="223"/>
    </row>
    <row r="749" spans="1:12" ht="41.25" customHeight="1" x14ac:dyDescent="0.2">
      <c r="A749" s="231"/>
      <c r="B749" s="232" t="s">
        <v>1851</v>
      </c>
      <c r="C749" s="233">
        <v>1503.2</v>
      </c>
      <c r="D749" s="220" t="s">
        <v>1849</v>
      </c>
      <c r="E749" s="233">
        <v>1503.2</v>
      </c>
      <c r="F749" s="233">
        <v>121.3</v>
      </c>
      <c r="G749" s="233">
        <v>0.2</v>
      </c>
      <c r="H749" s="233">
        <v>32.9</v>
      </c>
      <c r="I749" s="233">
        <v>1.9</v>
      </c>
      <c r="J749" s="233">
        <v>17.600000000000001</v>
      </c>
      <c r="K749" s="233">
        <v>4.0999999999999996</v>
      </c>
      <c r="L749" s="233"/>
    </row>
    <row r="750" spans="1:12" x14ac:dyDescent="0.2">
      <c r="A750" s="231"/>
      <c r="B750" s="232"/>
      <c r="C750" s="233"/>
      <c r="D750" s="220" t="s">
        <v>1849</v>
      </c>
      <c r="E750" s="233"/>
      <c r="F750" s="233"/>
      <c r="G750" s="233"/>
      <c r="H750" s="233"/>
      <c r="I750" s="233"/>
      <c r="J750" s="233"/>
      <c r="K750" s="233"/>
      <c r="L750" s="233"/>
    </row>
    <row r="751" spans="1:12" x14ac:dyDescent="0.2">
      <c r="A751" s="221"/>
      <c r="B751" s="222" t="s">
        <v>1852</v>
      </c>
      <c r="C751" s="223">
        <v>1503.9</v>
      </c>
      <c r="D751" s="223" t="s">
        <v>1849</v>
      </c>
      <c r="E751" s="223">
        <v>1503.9</v>
      </c>
      <c r="F751" s="223">
        <v>121.8</v>
      </c>
      <c r="G751" s="223">
        <v>0.7</v>
      </c>
      <c r="H751" s="223"/>
      <c r="I751" s="223"/>
      <c r="J751" s="223"/>
      <c r="K751" s="223"/>
      <c r="L751" s="223"/>
    </row>
    <row r="752" spans="1:12" x14ac:dyDescent="0.2">
      <c r="A752" s="218"/>
      <c r="B752" s="224" t="s">
        <v>1853</v>
      </c>
      <c r="C752" s="220">
        <v>1503.9</v>
      </c>
      <c r="D752" s="220" t="s">
        <v>1849</v>
      </c>
      <c r="E752" s="220">
        <v>1503.9</v>
      </c>
      <c r="F752" s="220">
        <v>121.8</v>
      </c>
      <c r="G752" s="220">
        <v>0.1</v>
      </c>
      <c r="H752" s="220"/>
      <c r="I752" s="220"/>
      <c r="J752" s="220"/>
      <c r="K752" s="220"/>
      <c r="L752" s="220"/>
    </row>
    <row r="753" spans="1:12" ht="22.5" x14ac:dyDescent="0.2">
      <c r="A753" s="221"/>
      <c r="B753" s="222" t="s">
        <v>1854</v>
      </c>
      <c r="C753" s="223">
        <v>1504.7</v>
      </c>
      <c r="D753" s="223" t="s">
        <v>1849</v>
      </c>
      <c r="E753" s="223">
        <v>1504.7</v>
      </c>
      <c r="F753" s="223">
        <v>121.8</v>
      </c>
      <c r="G753" s="223">
        <v>0.7</v>
      </c>
      <c r="H753" s="223"/>
      <c r="I753" s="223"/>
      <c r="J753" s="223"/>
      <c r="K753" s="223"/>
      <c r="L753" s="223"/>
    </row>
    <row r="754" spans="1:12" x14ac:dyDescent="0.2">
      <c r="A754" s="218"/>
      <c r="B754" s="224" t="s">
        <v>178</v>
      </c>
      <c r="C754" s="220">
        <v>1507</v>
      </c>
      <c r="D754" s="220" t="s">
        <v>1849</v>
      </c>
      <c r="E754" s="220">
        <v>1507</v>
      </c>
      <c r="F754" s="220">
        <v>122</v>
      </c>
      <c r="G754" s="220">
        <v>2.2999999999999998</v>
      </c>
      <c r="H754" s="220"/>
      <c r="I754" s="220"/>
      <c r="J754" s="220"/>
      <c r="K754" s="220"/>
      <c r="L754" s="220"/>
    </row>
    <row r="755" spans="1:12" x14ac:dyDescent="0.2">
      <c r="A755" s="221"/>
      <c r="B755" s="222" t="s">
        <v>1855</v>
      </c>
      <c r="C755" s="223">
        <v>1508.1</v>
      </c>
      <c r="D755" s="223" t="s">
        <v>1856</v>
      </c>
      <c r="E755" s="223">
        <v>1508.1</v>
      </c>
      <c r="F755" s="223">
        <v>122</v>
      </c>
      <c r="G755" s="223">
        <v>1.1000000000000001</v>
      </c>
      <c r="H755" s="223"/>
      <c r="I755" s="223"/>
      <c r="J755" s="223"/>
      <c r="K755" s="223"/>
      <c r="L755" s="223"/>
    </row>
    <row r="756" spans="1:12" x14ac:dyDescent="0.2">
      <c r="A756" s="218"/>
      <c r="B756" s="224" t="s">
        <v>1857</v>
      </c>
      <c r="C756" s="220">
        <v>1515.7</v>
      </c>
      <c r="D756" s="220" t="s">
        <v>1856</v>
      </c>
      <c r="E756" s="220">
        <v>1515.7</v>
      </c>
      <c r="F756" s="220">
        <v>122.5</v>
      </c>
      <c r="G756" s="220">
        <v>7.6</v>
      </c>
      <c r="H756" s="220"/>
      <c r="I756" s="220"/>
      <c r="J756" s="220"/>
      <c r="K756" s="220"/>
      <c r="L756" s="220"/>
    </row>
    <row r="757" spans="1:12" ht="22.5" x14ac:dyDescent="0.2">
      <c r="A757" s="221"/>
      <c r="B757" s="222" t="s">
        <v>1858</v>
      </c>
      <c r="C757" s="223">
        <v>1516.1</v>
      </c>
      <c r="D757" s="223" t="s">
        <v>1856</v>
      </c>
      <c r="E757" s="223">
        <v>1516.1</v>
      </c>
      <c r="F757" s="223">
        <v>122.5</v>
      </c>
      <c r="G757" s="223">
        <v>0.4</v>
      </c>
      <c r="H757" s="223"/>
      <c r="I757" s="223"/>
      <c r="J757" s="223"/>
      <c r="K757" s="223"/>
      <c r="L757" s="223"/>
    </row>
    <row r="758" spans="1:12" x14ac:dyDescent="0.2">
      <c r="A758" s="218"/>
      <c r="B758" s="224" t="s">
        <v>1859</v>
      </c>
      <c r="C758" s="220">
        <v>1516.6</v>
      </c>
      <c r="D758" s="220" t="s">
        <v>1856</v>
      </c>
      <c r="E758" s="220">
        <v>1516.6</v>
      </c>
      <c r="F758" s="220">
        <v>122.5</v>
      </c>
      <c r="G758" s="220">
        <v>0.4</v>
      </c>
      <c r="H758" s="220"/>
      <c r="I758" s="220"/>
      <c r="J758" s="220"/>
      <c r="K758" s="220"/>
      <c r="L758" s="220"/>
    </row>
    <row r="759" spans="1:12" x14ac:dyDescent="0.2">
      <c r="A759" s="221"/>
      <c r="B759" s="222" t="s">
        <v>180</v>
      </c>
      <c r="C759" s="223">
        <v>1516.7</v>
      </c>
      <c r="D759" s="223" t="s">
        <v>1856</v>
      </c>
      <c r="E759" s="223">
        <v>1516.7</v>
      </c>
      <c r="F759" s="223">
        <v>122.5</v>
      </c>
      <c r="G759" s="223">
        <v>0.1</v>
      </c>
      <c r="H759" s="223"/>
      <c r="I759" s="223"/>
      <c r="J759" s="223"/>
      <c r="K759" s="223"/>
      <c r="L759" s="223"/>
    </row>
    <row r="760" spans="1:12" x14ac:dyDescent="0.2">
      <c r="A760" s="218"/>
      <c r="B760" s="224" t="s">
        <v>1860</v>
      </c>
      <c r="C760" s="220">
        <v>1520.1</v>
      </c>
      <c r="D760" s="220" t="s">
        <v>1856</v>
      </c>
      <c r="E760" s="220">
        <v>1520.1</v>
      </c>
      <c r="F760" s="220">
        <v>122.7</v>
      </c>
      <c r="G760" s="220">
        <v>3.4</v>
      </c>
      <c r="H760" s="220"/>
      <c r="I760" s="220"/>
      <c r="J760" s="220"/>
      <c r="K760" s="220"/>
      <c r="L760" s="220"/>
    </row>
    <row r="761" spans="1:12" ht="22.5" x14ac:dyDescent="0.2">
      <c r="A761" s="221"/>
      <c r="B761" s="222" t="s">
        <v>1861</v>
      </c>
      <c r="C761" s="223">
        <v>1520.9</v>
      </c>
      <c r="D761" s="223" t="s">
        <v>1856</v>
      </c>
      <c r="E761" s="223">
        <v>1520.9</v>
      </c>
      <c r="F761" s="223">
        <v>122.8</v>
      </c>
      <c r="G761" s="223">
        <v>0.9</v>
      </c>
      <c r="H761" s="223"/>
      <c r="I761" s="223"/>
      <c r="J761" s="223"/>
      <c r="K761" s="223"/>
      <c r="L761" s="223"/>
    </row>
    <row r="762" spans="1:12" x14ac:dyDescent="0.2">
      <c r="A762" s="218"/>
      <c r="B762" s="224" t="s">
        <v>1862</v>
      </c>
      <c r="C762" s="220">
        <v>1522.8</v>
      </c>
      <c r="D762" s="220" t="s">
        <v>1856</v>
      </c>
      <c r="E762" s="220">
        <v>1522.8</v>
      </c>
      <c r="F762" s="220">
        <v>122.9</v>
      </c>
      <c r="G762" s="220">
        <v>1.9</v>
      </c>
      <c r="H762" s="220"/>
      <c r="I762" s="220"/>
      <c r="J762" s="220"/>
      <c r="K762" s="220"/>
      <c r="L762" s="220"/>
    </row>
    <row r="763" spans="1:12" ht="22.5" x14ac:dyDescent="0.2">
      <c r="A763" s="221"/>
      <c r="B763" s="222" t="s">
        <v>1863</v>
      </c>
      <c r="C763" s="223">
        <v>1524.6</v>
      </c>
      <c r="D763" s="223" t="s">
        <v>1864</v>
      </c>
      <c r="E763" s="223">
        <v>1524.6</v>
      </c>
      <c r="F763" s="223">
        <v>123</v>
      </c>
      <c r="G763" s="223">
        <v>1.9</v>
      </c>
      <c r="H763" s="223"/>
      <c r="I763" s="223"/>
      <c r="J763" s="223"/>
      <c r="K763" s="223"/>
      <c r="L763" s="223"/>
    </row>
    <row r="764" spans="1:12" ht="33.75" x14ac:dyDescent="0.2">
      <c r="A764" s="218"/>
      <c r="B764" s="224" t="s">
        <v>1865</v>
      </c>
      <c r="C764" s="220">
        <v>1525.5</v>
      </c>
      <c r="D764" s="220" t="s">
        <v>1864</v>
      </c>
      <c r="E764" s="220">
        <v>1525.5</v>
      </c>
      <c r="F764" s="220">
        <v>123.1</v>
      </c>
      <c r="G764" s="220">
        <v>0.9</v>
      </c>
      <c r="H764" s="220"/>
      <c r="I764" s="220"/>
      <c r="J764" s="220"/>
      <c r="K764" s="220"/>
      <c r="L764" s="220"/>
    </row>
    <row r="765" spans="1:12" x14ac:dyDescent="0.2">
      <c r="A765" s="221"/>
      <c r="B765" s="222" t="s">
        <v>1866</v>
      </c>
      <c r="C765" s="223">
        <v>1525.5</v>
      </c>
      <c r="D765" s="223" t="s">
        <v>1864</v>
      </c>
      <c r="E765" s="223">
        <v>1525.5</v>
      </c>
      <c r="F765" s="223">
        <v>123.1</v>
      </c>
      <c r="G765" s="223">
        <v>0</v>
      </c>
      <c r="H765" s="223"/>
      <c r="I765" s="223"/>
      <c r="J765" s="223"/>
      <c r="K765" s="223"/>
      <c r="L765" s="223"/>
    </row>
    <row r="766" spans="1:12" x14ac:dyDescent="0.2">
      <c r="A766" s="218"/>
      <c r="B766" s="224" t="s">
        <v>1867</v>
      </c>
      <c r="C766" s="220">
        <v>1527.5</v>
      </c>
      <c r="D766" s="220" t="s">
        <v>1864</v>
      </c>
      <c r="E766" s="220">
        <v>1527.5</v>
      </c>
      <c r="F766" s="220">
        <v>123.2</v>
      </c>
      <c r="G766" s="220">
        <v>1.9</v>
      </c>
      <c r="H766" s="220"/>
      <c r="I766" s="220"/>
      <c r="J766" s="220"/>
      <c r="K766" s="220"/>
      <c r="L766" s="220"/>
    </row>
    <row r="767" spans="1:12" x14ac:dyDescent="0.2">
      <c r="A767" s="221"/>
      <c r="B767" s="222" t="s">
        <v>181</v>
      </c>
      <c r="C767" s="223">
        <v>1531.1</v>
      </c>
      <c r="D767" s="223" t="s">
        <v>1864</v>
      </c>
      <c r="E767" s="223">
        <v>1531.1</v>
      </c>
      <c r="F767" s="223">
        <v>123.4</v>
      </c>
      <c r="G767" s="223">
        <v>3.6</v>
      </c>
      <c r="H767" s="223"/>
      <c r="I767" s="223"/>
      <c r="J767" s="223"/>
      <c r="K767" s="223"/>
      <c r="L767" s="223"/>
    </row>
    <row r="768" spans="1:12" x14ac:dyDescent="0.2">
      <c r="A768" s="218"/>
      <c r="B768" s="224" t="s">
        <v>1868</v>
      </c>
      <c r="C768" s="220">
        <v>1532.2</v>
      </c>
      <c r="D768" s="220" t="s">
        <v>1864</v>
      </c>
      <c r="E768" s="220">
        <v>1532.2</v>
      </c>
      <c r="F768" s="220">
        <v>123.4</v>
      </c>
      <c r="G768" s="220">
        <v>1.1000000000000001</v>
      </c>
      <c r="H768" s="220"/>
      <c r="I768" s="220"/>
      <c r="J768" s="220"/>
      <c r="K768" s="220"/>
      <c r="L768" s="220"/>
    </row>
    <row r="769" spans="1:12" ht="22.5" x14ac:dyDescent="0.2">
      <c r="A769" s="221"/>
      <c r="B769" s="222" t="s">
        <v>1869</v>
      </c>
      <c r="C769" s="223">
        <v>1533</v>
      </c>
      <c r="D769" s="223" t="s">
        <v>1864</v>
      </c>
      <c r="E769" s="223">
        <v>1533</v>
      </c>
      <c r="F769" s="223">
        <v>123.5</v>
      </c>
      <c r="G769" s="223">
        <v>0.8</v>
      </c>
      <c r="H769" s="223"/>
      <c r="I769" s="223"/>
      <c r="J769" s="223"/>
      <c r="K769" s="223"/>
      <c r="L769" s="223"/>
    </row>
    <row r="770" spans="1:12" x14ac:dyDescent="0.2">
      <c r="A770" s="218"/>
      <c r="B770" s="224" t="s">
        <v>1870</v>
      </c>
      <c r="C770" s="220">
        <v>1533.1</v>
      </c>
      <c r="D770" s="220" t="s">
        <v>1864</v>
      </c>
      <c r="E770" s="220">
        <v>1533</v>
      </c>
      <c r="F770" s="220">
        <v>123.5</v>
      </c>
      <c r="G770" s="220">
        <v>0</v>
      </c>
      <c r="H770" s="220"/>
      <c r="I770" s="220"/>
      <c r="J770" s="220"/>
      <c r="K770" s="220"/>
      <c r="L770" s="220"/>
    </row>
    <row r="771" spans="1:12" x14ac:dyDescent="0.2">
      <c r="A771" s="221"/>
      <c r="B771" s="222" t="s">
        <v>1871</v>
      </c>
      <c r="C771" s="223">
        <v>1534.2</v>
      </c>
      <c r="D771" s="223" t="s">
        <v>1864</v>
      </c>
      <c r="E771" s="223">
        <v>1534.2</v>
      </c>
      <c r="F771" s="223">
        <v>123.6</v>
      </c>
      <c r="G771" s="223">
        <v>1.1000000000000001</v>
      </c>
      <c r="H771" s="223"/>
      <c r="I771" s="223"/>
      <c r="J771" s="223"/>
      <c r="K771" s="223"/>
      <c r="L771" s="223"/>
    </row>
    <row r="772" spans="1:12" x14ac:dyDescent="0.2">
      <c r="A772" s="218"/>
      <c r="B772" s="224" t="s">
        <v>1872</v>
      </c>
      <c r="C772" s="220">
        <v>1536.1</v>
      </c>
      <c r="D772" s="220" t="s">
        <v>1864</v>
      </c>
      <c r="E772" s="220">
        <v>1536</v>
      </c>
      <c r="F772" s="220">
        <v>123.7</v>
      </c>
      <c r="G772" s="220">
        <v>1.9</v>
      </c>
      <c r="H772" s="220"/>
      <c r="I772" s="220"/>
      <c r="J772" s="220"/>
      <c r="K772" s="220"/>
      <c r="L772" s="220"/>
    </row>
    <row r="773" spans="1:12" x14ac:dyDescent="0.2">
      <c r="A773" s="221"/>
      <c r="B773" s="222" t="s">
        <v>1873</v>
      </c>
      <c r="C773" s="223">
        <v>1538</v>
      </c>
      <c r="D773" s="223" t="s">
        <v>1864</v>
      </c>
      <c r="E773" s="223">
        <v>1538</v>
      </c>
      <c r="F773" s="223">
        <v>123.8</v>
      </c>
      <c r="G773" s="223">
        <v>1.9</v>
      </c>
      <c r="H773" s="223"/>
      <c r="I773" s="223"/>
      <c r="J773" s="223"/>
      <c r="K773" s="223"/>
      <c r="L773" s="223"/>
    </row>
    <row r="774" spans="1:12" x14ac:dyDescent="0.2">
      <c r="A774" s="218"/>
      <c r="B774" s="224" t="s">
        <v>1874</v>
      </c>
      <c r="C774" s="220">
        <v>1541.7</v>
      </c>
      <c r="D774" s="220" t="s">
        <v>1864</v>
      </c>
      <c r="E774" s="220">
        <v>1541.7</v>
      </c>
      <c r="F774" s="220">
        <v>124</v>
      </c>
      <c r="G774" s="220">
        <v>3.8</v>
      </c>
      <c r="H774" s="220"/>
      <c r="I774" s="220"/>
      <c r="J774" s="220"/>
      <c r="K774" s="220"/>
      <c r="L774" s="220"/>
    </row>
    <row r="775" spans="1:12" x14ac:dyDescent="0.2">
      <c r="A775" s="221"/>
      <c r="B775" s="222" t="s">
        <v>1875</v>
      </c>
      <c r="C775" s="223">
        <v>1543.8</v>
      </c>
      <c r="D775" s="223" t="s">
        <v>1876</v>
      </c>
      <c r="E775" s="223">
        <v>1543.8</v>
      </c>
      <c r="F775" s="223">
        <v>124.1</v>
      </c>
      <c r="G775" s="223">
        <v>2</v>
      </c>
      <c r="H775" s="223"/>
      <c r="I775" s="223"/>
      <c r="J775" s="223"/>
      <c r="K775" s="223"/>
      <c r="L775" s="223"/>
    </row>
    <row r="776" spans="1:12" x14ac:dyDescent="0.2">
      <c r="A776" s="218"/>
      <c r="B776" s="224" t="s">
        <v>1877</v>
      </c>
      <c r="C776" s="220">
        <v>1543.8</v>
      </c>
      <c r="D776" s="220" t="s">
        <v>1876</v>
      </c>
      <c r="E776" s="220">
        <v>1543.8</v>
      </c>
      <c r="F776" s="220">
        <v>124.1</v>
      </c>
      <c r="G776" s="220">
        <v>0</v>
      </c>
      <c r="H776" s="220"/>
      <c r="I776" s="220"/>
      <c r="J776" s="220"/>
      <c r="K776" s="220"/>
      <c r="L776" s="220"/>
    </row>
    <row r="777" spans="1:12" x14ac:dyDescent="0.2">
      <c r="A777" s="221"/>
      <c r="B777" s="222" t="s">
        <v>1878</v>
      </c>
      <c r="C777" s="223">
        <v>1544.8</v>
      </c>
      <c r="D777" s="223" t="s">
        <v>1876</v>
      </c>
      <c r="E777" s="223">
        <v>1544.8</v>
      </c>
      <c r="F777" s="223">
        <v>124.2</v>
      </c>
      <c r="G777" s="223">
        <v>1</v>
      </c>
      <c r="H777" s="223"/>
      <c r="I777" s="223"/>
      <c r="J777" s="223"/>
      <c r="K777" s="223"/>
      <c r="L777" s="223"/>
    </row>
    <row r="778" spans="1:12" x14ac:dyDescent="0.2">
      <c r="A778" s="218"/>
      <c r="B778" s="224" t="s">
        <v>1879</v>
      </c>
      <c r="C778" s="220">
        <v>1546.6</v>
      </c>
      <c r="D778" s="220" t="s">
        <v>1876</v>
      </c>
      <c r="E778" s="220">
        <v>1546.6</v>
      </c>
      <c r="F778" s="220">
        <v>124.3</v>
      </c>
      <c r="G778" s="220">
        <v>1.8</v>
      </c>
      <c r="H778" s="220"/>
      <c r="I778" s="220"/>
      <c r="J778" s="220"/>
      <c r="K778" s="220"/>
      <c r="L778" s="220"/>
    </row>
    <row r="779" spans="1:12" x14ac:dyDescent="0.2">
      <c r="A779" s="221"/>
      <c r="B779" s="222" t="s">
        <v>1880</v>
      </c>
      <c r="C779" s="223">
        <v>1549</v>
      </c>
      <c r="D779" s="223" t="s">
        <v>1876</v>
      </c>
      <c r="E779" s="223">
        <v>1549</v>
      </c>
      <c r="F779" s="223">
        <v>124.4</v>
      </c>
      <c r="G779" s="223">
        <v>2.4</v>
      </c>
      <c r="H779" s="223"/>
      <c r="I779" s="223"/>
      <c r="J779" s="223"/>
      <c r="K779" s="223"/>
      <c r="L779" s="223"/>
    </row>
    <row r="780" spans="1:12" ht="22.5" x14ac:dyDescent="0.2">
      <c r="A780" s="218"/>
      <c r="B780" s="224" t="s">
        <v>1881</v>
      </c>
      <c r="C780" s="220">
        <v>1549.9</v>
      </c>
      <c r="D780" s="220" t="s">
        <v>1876</v>
      </c>
      <c r="E780" s="220">
        <v>1549.9</v>
      </c>
      <c r="F780" s="220">
        <v>124.5</v>
      </c>
      <c r="G780" s="220">
        <v>0.9</v>
      </c>
      <c r="H780" s="220"/>
      <c r="I780" s="220"/>
      <c r="J780" s="220"/>
      <c r="K780" s="220"/>
      <c r="L780" s="220"/>
    </row>
    <row r="781" spans="1:12" x14ac:dyDescent="0.2">
      <c r="A781" s="221"/>
      <c r="B781" s="222" t="s">
        <v>1882</v>
      </c>
      <c r="C781" s="223">
        <v>1553.1</v>
      </c>
      <c r="D781" s="223" t="s">
        <v>1876</v>
      </c>
      <c r="E781" s="223">
        <v>1553.1</v>
      </c>
      <c r="F781" s="223">
        <v>124.6</v>
      </c>
      <c r="G781" s="223">
        <v>3.2</v>
      </c>
      <c r="H781" s="223"/>
      <c r="I781" s="223"/>
      <c r="J781" s="223"/>
      <c r="K781" s="223"/>
      <c r="L781" s="223"/>
    </row>
    <row r="782" spans="1:12" x14ac:dyDescent="0.2">
      <c r="A782" s="218"/>
      <c r="B782" s="224" t="s">
        <v>1882</v>
      </c>
      <c r="C782" s="220">
        <v>1553.2</v>
      </c>
      <c r="D782" s="220" t="s">
        <v>1876</v>
      </c>
      <c r="E782" s="220">
        <v>1553.2</v>
      </c>
      <c r="F782" s="220">
        <v>124.7</v>
      </c>
      <c r="G782" s="220">
        <v>0.1</v>
      </c>
      <c r="H782" s="220"/>
      <c r="I782" s="220"/>
      <c r="J782" s="220"/>
      <c r="K782" s="220"/>
      <c r="L782" s="220"/>
    </row>
    <row r="783" spans="1:12" x14ac:dyDescent="0.2">
      <c r="A783" s="221"/>
      <c r="B783" s="222" t="s">
        <v>1883</v>
      </c>
      <c r="C783" s="223">
        <v>1553.4</v>
      </c>
      <c r="D783" s="223" t="s">
        <v>1876</v>
      </c>
      <c r="E783" s="223">
        <v>1553.4</v>
      </c>
      <c r="F783" s="223">
        <v>124.7</v>
      </c>
      <c r="G783" s="223">
        <v>0.3</v>
      </c>
      <c r="H783" s="223"/>
      <c r="I783" s="223"/>
      <c r="J783" s="223"/>
      <c r="K783" s="223"/>
      <c r="L783" s="223"/>
    </row>
    <row r="784" spans="1:12" x14ac:dyDescent="0.2">
      <c r="A784" s="218"/>
      <c r="B784" s="224" t="s">
        <v>1884</v>
      </c>
      <c r="C784" s="220">
        <v>1553.5</v>
      </c>
      <c r="D784" s="220" t="s">
        <v>1876</v>
      </c>
      <c r="E784" s="220">
        <v>1553.5</v>
      </c>
      <c r="F784" s="220">
        <v>124.7</v>
      </c>
      <c r="G784" s="220">
        <v>0</v>
      </c>
      <c r="H784" s="220"/>
      <c r="I784" s="220"/>
      <c r="J784" s="220"/>
      <c r="K784" s="220"/>
      <c r="L784" s="220"/>
    </row>
    <row r="785" spans="1:12" x14ac:dyDescent="0.2">
      <c r="A785" s="221"/>
      <c r="B785" s="222" t="s">
        <v>1885</v>
      </c>
      <c r="C785" s="223">
        <v>1553.5</v>
      </c>
      <c r="D785" s="223" t="s">
        <v>1876</v>
      </c>
      <c r="E785" s="223">
        <v>1553.5</v>
      </c>
      <c r="F785" s="223">
        <v>124.7</v>
      </c>
      <c r="G785" s="223">
        <v>0</v>
      </c>
      <c r="H785" s="223"/>
      <c r="I785" s="223"/>
      <c r="J785" s="223"/>
      <c r="K785" s="223"/>
      <c r="L785" s="223"/>
    </row>
    <row r="786" spans="1:12" ht="22.5" x14ac:dyDescent="0.2">
      <c r="A786" s="218"/>
      <c r="B786" s="224" t="s">
        <v>1886</v>
      </c>
      <c r="C786" s="220">
        <v>1554.3</v>
      </c>
      <c r="D786" s="220" t="s">
        <v>1876</v>
      </c>
      <c r="E786" s="220">
        <v>1554.3</v>
      </c>
      <c r="F786" s="220">
        <v>124.7</v>
      </c>
      <c r="G786" s="220">
        <v>0.9</v>
      </c>
      <c r="H786" s="220"/>
      <c r="I786" s="220"/>
      <c r="J786" s="220"/>
      <c r="K786" s="220"/>
      <c r="L786" s="220"/>
    </row>
    <row r="787" spans="1:12" x14ac:dyDescent="0.2">
      <c r="A787" s="221"/>
      <c r="B787" s="222" t="s">
        <v>1887</v>
      </c>
      <c r="C787" s="223">
        <v>1558.8</v>
      </c>
      <c r="D787" s="223" t="s">
        <v>1876</v>
      </c>
      <c r="E787" s="223">
        <v>1558.8</v>
      </c>
      <c r="F787" s="223">
        <v>125</v>
      </c>
      <c r="G787" s="223">
        <v>4.5</v>
      </c>
      <c r="H787" s="223"/>
      <c r="I787" s="223"/>
      <c r="J787" s="223"/>
      <c r="K787" s="223"/>
      <c r="L787" s="223"/>
    </row>
    <row r="788" spans="1:12" x14ac:dyDescent="0.2">
      <c r="A788" s="218"/>
      <c r="B788" s="224" t="s">
        <v>184</v>
      </c>
      <c r="C788" s="220">
        <v>1560.7</v>
      </c>
      <c r="D788" s="220" t="s">
        <v>1888</v>
      </c>
      <c r="E788" s="220">
        <v>1560.7</v>
      </c>
      <c r="F788" s="220">
        <v>125.1</v>
      </c>
      <c r="G788" s="220">
        <v>1.9</v>
      </c>
      <c r="H788" s="220"/>
      <c r="I788" s="220"/>
      <c r="J788" s="220"/>
      <c r="K788" s="220"/>
      <c r="L788" s="220"/>
    </row>
    <row r="789" spans="1:12" x14ac:dyDescent="0.2">
      <c r="A789" s="221"/>
      <c r="B789" s="222" t="s">
        <v>1889</v>
      </c>
      <c r="C789" s="223">
        <v>1561.3</v>
      </c>
      <c r="D789" s="223" t="s">
        <v>1888</v>
      </c>
      <c r="E789" s="223">
        <v>1561.3</v>
      </c>
      <c r="F789" s="223">
        <v>125.1</v>
      </c>
      <c r="G789" s="223">
        <v>0.6</v>
      </c>
      <c r="H789" s="223"/>
      <c r="I789" s="223"/>
      <c r="J789" s="223"/>
      <c r="K789" s="223"/>
      <c r="L789" s="223"/>
    </row>
    <row r="790" spans="1:12" x14ac:dyDescent="0.2">
      <c r="A790" s="218"/>
      <c r="B790" s="224" t="s">
        <v>1890</v>
      </c>
      <c r="C790" s="220">
        <v>1562.7</v>
      </c>
      <c r="D790" s="220" t="s">
        <v>1888</v>
      </c>
      <c r="E790" s="220">
        <v>1562.7</v>
      </c>
      <c r="F790" s="220">
        <v>125.2</v>
      </c>
      <c r="G790" s="220">
        <v>1.4</v>
      </c>
      <c r="H790" s="220"/>
      <c r="I790" s="220"/>
      <c r="J790" s="220"/>
      <c r="K790" s="220"/>
      <c r="L790" s="220"/>
    </row>
    <row r="791" spans="1:12" x14ac:dyDescent="0.2">
      <c r="A791" s="221"/>
      <c r="B791" s="222" t="s">
        <v>1891</v>
      </c>
      <c r="C791" s="223">
        <v>1565.6</v>
      </c>
      <c r="D791" s="223" t="s">
        <v>1888</v>
      </c>
      <c r="E791" s="223">
        <v>1565.6</v>
      </c>
      <c r="F791" s="223">
        <v>125.4</v>
      </c>
      <c r="G791" s="223">
        <v>2.9</v>
      </c>
      <c r="H791" s="223"/>
      <c r="I791" s="223"/>
      <c r="J791" s="223"/>
      <c r="K791" s="223"/>
      <c r="L791" s="223"/>
    </row>
    <row r="792" spans="1:12" x14ac:dyDescent="0.2">
      <c r="A792" s="218"/>
      <c r="B792" s="224" t="s">
        <v>185</v>
      </c>
      <c r="C792" s="220">
        <v>1569.5</v>
      </c>
      <c r="D792" s="220" t="s">
        <v>1888</v>
      </c>
      <c r="E792" s="220">
        <v>1569.5</v>
      </c>
      <c r="F792" s="220">
        <v>125.6</v>
      </c>
      <c r="G792" s="220">
        <v>3.9</v>
      </c>
      <c r="H792" s="220"/>
      <c r="I792" s="220"/>
      <c r="J792" s="220"/>
      <c r="K792" s="220"/>
      <c r="L792" s="220"/>
    </row>
    <row r="793" spans="1:12" x14ac:dyDescent="0.2">
      <c r="A793" s="221"/>
      <c r="B793" s="222" t="s">
        <v>1892</v>
      </c>
      <c r="C793" s="223">
        <v>1569.8</v>
      </c>
      <c r="D793" s="223" t="s">
        <v>1888</v>
      </c>
      <c r="E793" s="223">
        <v>1569.8</v>
      </c>
      <c r="F793" s="223">
        <v>125.6</v>
      </c>
      <c r="G793" s="223">
        <v>0.3</v>
      </c>
      <c r="H793" s="223"/>
      <c r="I793" s="223"/>
      <c r="J793" s="223"/>
      <c r="K793" s="223"/>
      <c r="L793" s="223"/>
    </row>
    <row r="794" spans="1:12" x14ac:dyDescent="0.2">
      <c r="A794" s="218"/>
      <c r="B794" s="224" t="s">
        <v>1893</v>
      </c>
      <c r="C794" s="220">
        <v>1572.4</v>
      </c>
      <c r="D794" s="220" t="s">
        <v>1888</v>
      </c>
      <c r="E794" s="220">
        <v>1572.4</v>
      </c>
      <c r="F794" s="220">
        <v>125.8</v>
      </c>
      <c r="G794" s="220">
        <v>2.6</v>
      </c>
      <c r="H794" s="220"/>
      <c r="I794" s="220"/>
      <c r="J794" s="220"/>
      <c r="K794" s="220"/>
      <c r="L794" s="220"/>
    </row>
    <row r="795" spans="1:12" x14ac:dyDescent="0.2">
      <c r="A795" s="221"/>
      <c r="B795" s="222" t="s">
        <v>1598</v>
      </c>
      <c r="C795" s="223">
        <v>1572.5</v>
      </c>
      <c r="D795" s="223" t="s">
        <v>1888</v>
      </c>
      <c r="E795" s="223">
        <v>1572.5</v>
      </c>
      <c r="F795" s="223">
        <v>125.8</v>
      </c>
      <c r="G795" s="223">
        <v>0.1</v>
      </c>
      <c r="H795" s="223"/>
      <c r="I795" s="223"/>
      <c r="J795" s="223"/>
      <c r="K795" s="223"/>
      <c r="L795" s="223"/>
    </row>
    <row r="796" spans="1:12" x14ac:dyDescent="0.2">
      <c r="A796" s="218"/>
      <c r="B796" s="224" t="s">
        <v>1894</v>
      </c>
      <c r="C796" s="220">
        <v>1572.5</v>
      </c>
      <c r="D796" s="220" t="s">
        <v>1888</v>
      </c>
      <c r="E796" s="220">
        <v>1572.5</v>
      </c>
      <c r="F796" s="220">
        <v>125.8</v>
      </c>
      <c r="G796" s="220">
        <v>0</v>
      </c>
      <c r="H796" s="220"/>
      <c r="I796" s="220"/>
      <c r="J796" s="220"/>
      <c r="K796" s="220"/>
      <c r="L796" s="220"/>
    </row>
    <row r="797" spans="1:12" x14ac:dyDescent="0.2">
      <c r="A797" s="221"/>
      <c r="B797" s="222" t="s">
        <v>1895</v>
      </c>
      <c r="C797" s="223">
        <v>1573.6</v>
      </c>
      <c r="D797" s="223" t="s">
        <v>1888</v>
      </c>
      <c r="E797" s="223">
        <v>1573.6</v>
      </c>
      <c r="F797" s="223">
        <v>125.8</v>
      </c>
      <c r="G797" s="223">
        <v>1.1000000000000001</v>
      </c>
      <c r="H797" s="223"/>
      <c r="I797" s="223"/>
      <c r="J797" s="223"/>
      <c r="K797" s="223"/>
      <c r="L797" s="223"/>
    </row>
    <row r="798" spans="1:12" x14ac:dyDescent="0.2">
      <c r="A798" s="218"/>
      <c r="B798" s="224" t="s">
        <v>1896</v>
      </c>
      <c r="C798" s="220">
        <v>1581.1</v>
      </c>
      <c r="D798" s="220" t="s">
        <v>1897</v>
      </c>
      <c r="E798" s="220">
        <v>1581.1</v>
      </c>
      <c r="F798" s="220">
        <v>126.3</v>
      </c>
      <c r="G798" s="220">
        <v>7.4</v>
      </c>
      <c r="H798" s="220"/>
      <c r="I798" s="220"/>
      <c r="J798" s="220"/>
      <c r="K798" s="220"/>
      <c r="L798" s="220"/>
    </row>
    <row r="799" spans="1:12" x14ac:dyDescent="0.2">
      <c r="A799" s="221"/>
      <c r="B799" s="222" t="s">
        <v>1893</v>
      </c>
      <c r="C799" s="223">
        <v>1581.6</v>
      </c>
      <c r="D799" s="223" t="s">
        <v>1897</v>
      </c>
      <c r="E799" s="223">
        <v>1581.6</v>
      </c>
      <c r="F799" s="223">
        <v>126.3</v>
      </c>
      <c r="G799" s="223">
        <v>0.5</v>
      </c>
      <c r="H799" s="223"/>
      <c r="I799" s="223"/>
      <c r="J799" s="223"/>
      <c r="K799" s="223"/>
      <c r="L799" s="223"/>
    </row>
    <row r="800" spans="1:12" x14ac:dyDescent="0.2">
      <c r="A800" s="218"/>
      <c r="B800" s="224" t="s">
        <v>1898</v>
      </c>
      <c r="C800" s="220">
        <v>1585.9</v>
      </c>
      <c r="D800" s="220" t="s">
        <v>1897</v>
      </c>
      <c r="E800" s="220">
        <v>1585.9</v>
      </c>
      <c r="F800" s="220">
        <v>126.5</v>
      </c>
      <c r="G800" s="220">
        <v>4.2</v>
      </c>
      <c r="H800" s="220"/>
      <c r="I800" s="220"/>
      <c r="J800" s="220"/>
      <c r="K800" s="220"/>
      <c r="L800" s="220"/>
    </row>
    <row r="801" spans="1:12" ht="22.5" x14ac:dyDescent="0.2">
      <c r="A801" s="221"/>
      <c r="B801" s="222" t="s">
        <v>1899</v>
      </c>
      <c r="C801" s="223">
        <v>1588.1</v>
      </c>
      <c r="D801" s="223" t="s">
        <v>1897</v>
      </c>
      <c r="E801" s="223">
        <v>1588.1</v>
      </c>
      <c r="F801" s="223">
        <v>126.7</v>
      </c>
      <c r="G801" s="223">
        <v>2.2000000000000002</v>
      </c>
      <c r="H801" s="223"/>
      <c r="I801" s="223"/>
      <c r="J801" s="223"/>
      <c r="K801" s="223"/>
      <c r="L801" s="223"/>
    </row>
    <row r="802" spans="1:12" x14ac:dyDescent="0.2">
      <c r="A802" s="218"/>
      <c r="B802" s="224" t="s">
        <v>1900</v>
      </c>
      <c r="C802" s="220">
        <v>1588.3</v>
      </c>
      <c r="D802" s="220" t="s">
        <v>1897</v>
      </c>
      <c r="E802" s="220">
        <v>1588.3</v>
      </c>
      <c r="F802" s="220">
        <v>126.7</v>
      </c>
      <c r="G802" s="220">
        <v>0.3</v>
      </c>
      <c r="H802" s="220"/>
      <c r="I802" s="220"/>
      <c r="J802" s="220"/>
      <c r="K802" s="220"/>
      <c r="L802" s="220"/>
    </row>
    <row r="803" spans="1:12" ht="22.5" x14ac:dyDescent="0.2">
      <c r="A803" s="221"/>
      <c r="B803" s="222" t="s">
        <v>1901</v>
      </c>
      <c r="C803" s="223">
        <v>1588.6</v>
      </c>
      <c r="D803" s="223" t="s">
        <v>1897</v>
      </c>
      <c r="E803" s="223">
        <v>1588.6</v>
      </c>
      <c r="F803" s="223">
        <v>126.7</v>
      </c>
      <c r="G803" s="223">
        <v>0.3</v>
      </c>
      <c r="H803" s="223"/>
      <c r="I803" s="223"/>
      <c r="J803" s="223"/>
      <c r="K803" s="223"/>
      <c r="L803" s="223"/>
    </row>
    <row r="804" spans="1:12" x14ac:dyDescent="0.2">
      <c r="A804" s="218"/>
      <c r="B804" s="224" t="s">
        <v>1902</v>
      </c>
      <c r="C804" s="220">
        <v>1589</v>
      </c>
      <c r="D804" s="220" t="s">
        <v>1897</v>
      </c>
      <c r="E804" s="220">
        <v>1589</v>
      </c>
      <c r="F804" s="220">
        <v>126.7</v>
      </c>
      <c r="G804" s="220">
        <v>0.4</v>
      </c>
      <c r="H804" s="220"/>
      <c r="I804" s="220"/>
      <c r="J804" s="220"/>
      <c r="K804" s="220"/>
      <c r="L804" s="220"/>
    </row>
    <row r="805" spans="1:12" x14ac:dyDescent="0.2">
      <c r="A805" s="221"/>
      <c r="B805" s="222" t="s">
        <v>1903</v>
      </c>
      <c r="C805" s="223">
        <v>1589.2</v>
      </c>
      <c r="D805" s="223" t="s">
        <v>1897</v>
      </c>
      <c r="E805" s="223">
        <v>1589.2</v>
      </c>
      <c r="F805" s="223">
        <v>126.7</v>
      </c>
      <c r="G805" s="223">
        <v>0.2</v>
      </c>
      <c r="H805" s="223"/>
      <c r="I805" s="223"/>
      <c r="J805" s="223"/>
      <c r="K805" s="223"/>
      <c r="L805" s="223"/>
    </row>
    <row r="806" spans="1:12" x14ac:dyDescent="0.2">
      <c r="A806" s="218"/>
      <c r="B806" s="224" t="s">
        <v>1904</v>
      </c>
      <c r="C806" s="220">
        <v>1589.9</v>
      </c>
      <c r="D806" s="220" t="s">
        <v>1897</v>
      </c>
      <c r="E806" s="220">
        <v>1589.9</v>
      </c>
      <c r="F806" s="220">
        <v>126.8</v>
      </c>
      <c r="G806" s="220">
        <v>0.7</v>
      </c>
      <c r="H806" s="220"/>
      <c r="I806" s="220"/>
      <c r="J806" s="220"/>
      <c r="K806" s="220"/>
      <c r="L806" s="220"/>
    </row>
    <row r="807" spans="1:12" x14ac:dyDescent="0.2">
      <c r="A807" s="221"/>
      <c r="B807" s="222" t="s">
        <v>1905</v>
      </c>
      <c r="C807" s="223">
        <v>1592.3</v>
      </c>
      <c r="D807" s="223" t="s">
        <v>1897</v>
      </c>
      <c r="E807" s="223">
        <v>1592.3</v>
      </c>
      <c r="F807" s="223">
        <v>126.9</v>
      </c>
      <c r="G807" s="223">
        <v>2.5</v>
      </c>
      <c r="H807" s="223"/>
      <c r="I807" s="223"/>
      <c r="J807" s="223"/>
      <c r="K807" s="223"/>
      <c r="L807" s="223"/>
    </row>
    <row r="808" spans="1:12" x14ac:dyDescent="0.2">
      <c r="A808" s="218"/>
      <c r="B808" s="224" t="s">
        <v>187</v>
      </c>
      <c r="C808" s="220">
        <v>1592.6</v>
      </c>
      <c r="D808" s="220" t="s">
        <v>1897</v>
      </c>
      <c r="E808" s="220">
        <v>1592.6</v>
      </c>
      <c r="F808" s="220">
        <v>126.9</v>
      </c>
      <c r="G808" s="220">
        <v>0.3</v>
      </c>
      <c r="H808" s="220"/>
      <c r="I808" s="220"/>
      <c r="J808" s="220"/>
      <c r="K808" s="220"/>
      <c r="L808" s="220"/>
    </row>
    <row r="809" spans="1:12" x14ac:dyDescent="0.2">
      <c r="A809" s="221"/>
      <c r="B809" s="222" t="s">
        <v>1906</v>
      </c>
      <c r="C809" s="223">
        <v>1594.4</v>
      </c>
      <c r="D809" s="223" t="s">
        <v>1907</v>
      </c>
      <c r="E809" s="223">
        <v>1594.4</v>
      </c>
      <c r="F809" s="223">
        <v>127</v>
      </c>
      <c r="G809" s="223">
        <v>1.8</v>
      </c>
      <c r="H809" s="223"/>
      <c r="I809" s="223"/>
      <c r="J809" s="223"/>
      <c r="K809" s="223"/>
      <c r="L809" s="223"/>
    </row>
    <row r="810" spans="1:12" ht="79.5" customHeight="1" x14ac:dyDescent="0.2">
      <c r="A810" s="231"/>
      <c r="B810" s="232" t="s">
        <v>1908</v>
      </c>
      <c r="C810" s="233">
        <v>1595.5</v>
      </c>
      <c r="D810" s="220" t="s">
        <v>1907</v>
      </c>
      <c r="E810" s="233">
        <v>1595.4</v>
      </c>
      <c r="F810" s="233">
        <v>127.1</v>
      </c>
      <c r="G810" s="233">
        <v>1</v>
      </c>
      <c r="H810" s="233">
        <v>92.3</v>
      </c>
      <c r="I810" s="233">
        <v>5.3</v>
      </c>
      <c r="J810" s="233">
        <v>17.3</v>
      </c>
      <c r="K810" s="233">
        <v>4.3</v>
      </c>
      <c r="L810" s="233"/>
    </row>
    <row r="811" spans="1:12" x14ac:dyDescent="0.2">
      <c r="A811" s="231"/>
      <c r="B811" s="232"/>
      <c r="C811" s="233"/>
      <c r="D811" s="220" t="s">
        <v>1907</v>
      </c>
      <c r="E811" s="233"/>
      <c r="F811" s="233"/>
      <c r="G811" s="233"/>
      <c r="H811" s="233"/>
      <c r="I811" s="233"/>
      <c r="J811" s="233"/>
      <c r="K811" s="233"/>
      <c r="L811" s="233"/>
    </row>
    <row r="812" spans="1:12" x14ac:dyDescent="0.2">
      <c r="A812" s="221"/>
      <c r="B812" s="222" t="s">
        <v>188</v>
      </c>
      <c r="C812" s="223">
        <v>1602.3</v>
      </c>
      <c r="D812" s="223" t="s">
        <v>1909</v>
      </c>
      <c r="E812" s="223">
        <v>1602.3</v>
      </c>
      <c r="F812" s="223">
        <v>128</v>
      </c>
      <c r="G812" s="223">
        <v>6.8</v>
      </c>
      <c r="H812" s="223"/>
      <c r="I812" s="223"/>
      <c r="J812" s="223"/>
      <c r="K812" s="223"/>
      <c r="L812" s="223"/>
    </row>
    <row r="813" spans="1:12" x14ac:dyDescent="0.2">
      <c r="A813" s="218"/>
      <c r="B813" s="224" t="s">
        <v>1887</v>
      </c>
      <c r="C813" s="220">
        <v>1602.5</v>
      </c>
      <c r="D813" s="220" t="s">
        <v>1909</v>
      </c>
      <c r="E813" s="220">
        <v>1602.5</v>
      </c>
      <c r="F813" s="220">
        <v>128</v>
      </c>
      <c r="G813" s="220">
        <v>0.3</v>
      </c>
      <c r="H813" s="220"/>
      <c r="I813" s="220"/>
      <c r="J813" s="220"/>
      <c r="K813" s="220"/>
      <c r="L813" s="220"/>
    </row>
    <row r="814" spans="1:12" x14ac:dyDescent="0.2">
      <c r="A814" s="221"/>
      <c r="B814" s="222" t="s">
        <v>189</v>
      </c>
      <c r="C814" s="223">
        <v>1609.3</v>
      </c>
      <c r="D814" s="223" t="s">
        <v>1909</v>
      </c>
      <c r="E814" s="223">
        <v>1609.3</v>
      </c>
      <c r="F814" s="223">
        <v>128.5</v>
      </c>
      <c r="G814" s="223">
        <v>6.7</v>
      </c>
      <c r="H814" s="223"/>
      <c r="I814" s="223"/>
      <c r="J814" s="223"/>
      <c r="K814" s="223"/>
      <c r="L814" s="223"/>
    </row>
    <row r="815" spans="1:12" x14ac:dyDescent="0.2">
      <c r="A815" s="218"/>
      <c r="B815" s="224" t="s">
        <v>1910</v>
      </c>
      <c r="C815" s="220">
        <v>1613.4</v>
      </c>
      <c r="D815" s="220" t="s">
        <v>1909</v>
      </c>
      <c r="E815" s="220">
        <v>1613.4</v>
      </c>
      <c r="F815" s="220">
        <v>128.69999999999999</v>
      </c>
      <c r="G815" s="220">
        <v>4.0999999999999996</v>
      </c>
      <c r="H815" s="220"/>
      <c r="I815" s="220"/>
      <c r="J815" s="220"/>
      <c r="K815" s="220"/>
      <c r="L815" s="220"/>
    </row>
    <row r="816" spans="1:12" x14ac:dyDescent="0.2">
      <c r="A816" s="221"/>
      <c r="B816" s="222" t="s">
        <v>1911</v>
      </c>
      <c r="C816" s="223">
        <v>1613.5</v>
      </c>
      <c r="D816" s="223" t="s">
        <v>1909</v>
      </c>
      <c r="E816" s="223">
        <v>1613.5</v>
      </c>
      <c r="F816" s="223">
        <v>128.69999999999999</v>
      </c>
      <c r="G816" s="223">
        <v>0.1</v>
      </c>
      <c r="H816" s="223"/>
      <c r="I816" s="223"/>
      <c r="J816" s="223"/>
      <c r="K816" s="223"/>
      <c r="L816" s="223"/>
    </row>
    <row r="817" spans="1:12" x14ac:dyDescent="0.2">
      <c r="A817" s="218"/>
      <c r="B817" s="224" t="s">
        <v>190</v>
      </c>
      <c r="C817" s="220">
        <v>1614.9</v>
      </c>
      <c r="D817" s="220" t="s">
        <v>1909</v>
      </c>
      <c r="E817" s="220">
        <v>1614.9</v>
      </c>
      <c r="F817" s="220">
        <v>128.80000000000001</v>
      </c>
      <c r="G817" s="220">
        <v>1.4</v>
      </c>
      <c r="H817" s="220"/>
      <c r="I817" s="220"/>
      <c r="J817" s="220"/>
      <c r="K817" s="220"/>
      <c r="L817" s="220"/>
    </row>
    <row r="818" spans="1:12" x14ac:dyDescent="0.2">
      <c r="A818" s="221"/>
      <c r="B818" s="222" t="s">
        <v>191</v>
      </c>
      <c r="C818" s="223">
        <v>1623.2</v>
      </c>
      <c r="D818" s="223" t="s">
        <v>1912</v>
      </c>
      <c r="E818" s="223">
        <v>1623.2</v>
      </c>
      <c r="F818" s="223">
        <v>129.4</v>
      </c>
      <c r="G818" s="223">
        <v>8.3000000000000007</v>
      </c>
      <c r="H818" s="223"/>
      <c r="I818" s="223"/>
      <c r="J818" s="223"/>
      <c r="K818" s="223"/>
      <c r="L818" s="223"/>
    </row>
    <row r="819" spans="1:12" x14ac:dyDescent="0.2">
      <c r="A819" s="218"/>
      <c r="B819" s="224" t="s">
        <v>1913</v>
      </c>
      <c r="C819" s="220">
        <v>1627.2</v>
      </c>
      <c r="D819" s="220" t="s">
        <v>1912</v>
      </c>
      <c r="E819" s="220">
        <v>1627.2</v>
      </c>
      <c r="F819" s="220">
        <v>129.6</v>
      </c>
      <c r="G819" s="220">
        <v>4</v>
      </c>
      <c r="H819" s="220"/>
      <c r="I819" s="220"/>
      <c r="J819" s="220"/>
      <c r="K819" s="220"/>
      <c r="L819" s="220"/>
    </row>
    <row r="820" spans="1:12" x14ac:dyDescent="0.2">
      <c r="A820" s="221"/>
      <c r="B820" s="222" t="s">
        <v>1914</v>
      </c>
      <c r="C820" s="223">
        <v>1627.3</v>
      </c>
      <c r="D820" s="223" t="s">
        <v>1912</v>
      </c>
      <c r="E820" s="223">
        <v>1627.3</v>
      </c>
      <c r="F820" s="223">
        <v>129.6</v>
      </c>
      <c r="G820" s="223">
        <v>0.1</v>
      </c>
      <c r="H820" s="223"/>
      <c r="I820" s="223"/>
      <c r="J820" s="223"/>
      <c r="K820" s="223"/>
      <c r="L820" s="223"/>
    </row>
    <row r="821" spans="1:12" x14ac:dyDescent="0.2">
      <c r="A821" s="218"/>
      <c r="B821" s="224" t="s">
        <v>192</v>
      </c>
      <c r="C821" s="220">
        <v>1631.9</v>
      </c>
      <c r="D821" s="220" t="s">
        <v>1912</v>
      </c>
      <c r="E821" s="220">
        <v>1631.9</v>
      </c>
      <c r="F821" s="220">
        <v>129.9</v>
      </c>
      <c r="G821" s="220">
        <v>4.7</v>
      </c>
      <c r="H821" s="220"/>
      <c r="I821" s="220"/>
      <c r="J821" s="220"/>
      <c r="K821" s="220"/>
      <c r="L821" s="220"/>
    </row>
    <row r="822" spans="1:12" x14ac:dyDescent="0.2">
      <c r="A822" s="221"/>
      <c r="B822" s="222" t="s">
        <v>1915</v>
      </c>
      <c r="C822" s="223">
        <v>1633.6</v>
      </c>
      <c r="D822" s="223" t="s">
        <v>1916</v>
      </c>
      <c r="E822" s="223">
        <v>1633.5</v>
      </c>
      <c r="F822" s="223">
        <v>130</v>
      </c>
      <c r="G822" s="223">
        <v>1.6</v>
      </c>
      <c r="H822" s="223"/>
      <c r="I822" s="223"/>
      <c r="J822" s="223"/>
      <c r="K822" s="223"/>
      <c r="L822" s="223"/>
    </row>
    <row r="823" spans="1:12" x14ac:dyDescent="0.2">
      <c r="A823" s="218"/>
      <c r="B823" s="224" t="s">
        <v>1917</v>
      </c>
      <c r="C823" s="220">
        <v>1635.6</v>
      </c>
      <c r="D823" s="220" t="s">
        <v>1916</v>
      </c>
      <c r="E823" s="220">
        <v>1635.6</v>
      </c>
      <c r="F823" s="220">
        <v>130.1</v>
      </c>
      <c r="G823" s="220">
        <v>2</v>
      </c>
      <c r="H823" s="220"/>
      <c r="I823" s="220"/>
      <c r="J823" s="220"/>
      <c r="K823" s="220"/>
      <c r="L823" s="220"/>
    </row>
    <row r="824" spans="1:12" x14ac:dyDescent="0.2">
      <c r="A824" s="221"/>
      <c r="B824" s="222" t="s">
        <v>1918</v>
      </c>
      <c r="C824" s="223">
        <v>1639.3</v>
      </c>
      <c r="D824" s="223" t="s">
        <v>1916</v>
      </c>
      <c r="E824" s="223">
        <v>1639.3</v>
      </c>
      <c r="F824" s="223">
        <v>130.4</v>
      </c>
      <c r="G824" s="223">
        <v>3.7</v>
      </c>
      <c r="H824" s="223"/>
      <c r="I824" s="223"/>
      <c r="J824" s="223"/>
      <c r="K824" s="223"/>
      <c r="L824" s="223"/>
    </row>
    <row r="825" spans="1:12" x14ac:dyDescent="0.2">
      <c r="A825" s="218"/>
      <c r="B825" s="224" t="s">
        <v>193</v>
      </c>
      <c r="C825" s="220">
        <v>1642.4</v>
      </c>
      <c r="D825" s="220" t="s">
        <v>1916</v>
      </c>
      <c r="E825" s="220">
        <v>1642.4</v>
      </c>
      <c r="F825" s="220">
        <v>130.6</v>
      </c>
      <c r="G825" s="220">
        <v>3.1</v>
      </c>
      <c r="H825" s="220"/>
      <c r="I825" s="220"/>
      <c r="J825" s="220"/>
      <c r="K825" s="220"/>
      <c r="L825" s="220"/>
    </row>
    <row r="826" spans="1:12" x14ac:dyDescent="0.2">
      <c r="A826" s="221"/>
      <c r="B826" s="222" t="s">
        <v>194</v>
      </c>
      <c r="C826" s="223">
        <v>1646.9</v>
      </c>
      <c r="D826" s="223" t="s">
        <v>1916</v>
      </c>
      <c r="E826" s="223">
        <v>1646.9</v>
      </c>
      <c r="F826" s="223">
        <v>130.9</v>
      </c>
      <c r="G826" s="223">
        <v>4.5</v>
      </c>
      <c r="H826" s="223"/>
      <c r="I826" s="223"/>
      <c r="J826" s="223"/>
      <c r="K826" s="223"/>
      <c r="L826" s="223"/>
    </row>
    <row r="827" spans="1:12" ht="54" customHeight="1" x14ac:dyDescent="0.2">
      <c r="A827" s="231"/>
      <c r="B827" s="232" t="s">
        <v>1919</v>
      </c>
      <c r="C827" s="233">
        <v>1648.2</v>
      </c>
      <c r="D827" s="220" t="s">
        <v>1916</v>
      </c>
      <c r="E827" s="233">
        <v>1648.2</v>
      </c>
      <c r="F827" s="233">
        <v>130.9</v>
      </c>
      <c r="G827" s="233">
        <v>1.4</v>
      </c>
      <c r="H827" s="233">
        <v>52.8</v>
      </c>
      <c r="I827" s="233">
        <v>3.3</v>
      </c>
      <c r="J827" s="233">
        <v>15.8</v>
      </c>
      <c r="K827" s="233">
        <v>5.2</v>
      </c>
      <c r="L827" s="233"/>
    </row>
    <row r="828" spans="1:12" x14ac:dyDescent="0.2">
      <c r="A828" s="231"/>
      <c r="B828" s="232"/>
      <c r="C828" s="233"/>
      <c r="D828" s="220" t="s">
        <v>1920</v>
      </c>
      <c r="E828" s="233"/>
      <c r="F828" s="233"/>
      <c r="G828" s="233"/>
      <c r="H828" s="233"/>
      <c r="I828" s="233"/>
      <c r="J828" s="233"/>
      <c r="K828" s="233"/>
      <c r="L828" s="233"/>
    </row>
    <row r="829" spans="1:12" x14ac:dyDescent="0.2">
      <c r="A829" s="221"/>
      <c r="B829" s="222" t="s">
        <v>195</v>
      </c>
      <c r="C829" s="223">
        <v>1650.2</v>
      </c>
      <c r="D829" s="223" t="s">
        <v>1920</v>
      </c>
      <c r="E829" s="223">
        <v>1650.2</v>
      </c>
      <c r="F829" s="223">
        <v>131.6</v>
      </c>
      <c r="G829" s="223">
        <v>2</v>
      </c>
      <c r="H829" s="223"/>
      <c r="I829" s="223"/>
      <c r="J829" s="223"/>
      <c r="K829" s="223"/>
      <c r="L829" s="223"/>
    </row>
    <row r="830" spans="1:12" x14ac:dyDescent="0.2">
      <c r="A830" s="218"/>
      <c r="B830" s="224" t="s">
        <v>1921</v>
      </c>
      <c r="C830" s="220">
        <v>1653</v>
      </c>
      <c r="D830" s="220" t="s">
        <v>1920</v>
      </c>
      <c r="E830" s="220">
        <v>1653</v>
      </c>
      <c r="F830" s="220">
        <v>131.80000000000001</v>
      </c>
      <c r="G830" s="220">
        <v>2.8</v>
      </c>
      <c r="H830" s="220"/>
      <c r="I830" s="220"/>
      <c r="J830" s="220"/>
      <c r="K830" s="220"/>
      <c r="L830" s="220"/>
    </row>
    <row r="831" spans="1:12" x14ac:dyDescent="0.2">
      <c r="A831" s="221"/>
      <c r="B831" s="222" t="s">
        <v>1922</v>
      </c>
      <c r="C831" s="223">
        <v>1653.1</v>
      </c>
      <c r="D831" s="223" t="s">
        <v>1920</v>
      </c>
      <c r="E831" s="223">
        <v>1653.1</v>
      </c>
      <c r="F831" s="223">
        <v>131.80000000000001</v>
      </c>
      <c r="G831" s="223">
        <v>0</v>
      </c>
      <c r="H831" s="223"/>
      <c r="I831" s="223"/>
      <c r="J831" s="223"/>
      <c r="K831" s="223"/>
      <c r="L831" s="223"/>
    </row>
    <row r="832" spans="1:12" x14ac:dyDescent="0.2">
      <c r="A832" s="218"/>
      <c r="B832" s="224" t="s">
        <v>196</v>
      </c>
      <c r="C832" s="220">
        <v>1654.9</v>
      </c>
      <c r="D832" s="220" t="s">
        <v>1920</v>
      </c>
      <c r="E832" s="220">
        <v>1654.9</v>
      </c>
      <c r="F832" s="220">
        <v>131.9</v>
      </c>
      <c r="G832" s="220">
        <v>1.8</v>
      </c>
      <c r="H832" s="220"/>
      <c r="I832" s="220"/>
      <c r="J832" s="220"/>
      <c r="K832" s="220"/>
      <c r="L832" s="220"/>
    </row>
    <row r="833" spans="1:12" x14ac:dyDescent="0.2">
      <c r="A833" s="221"/>
      <c r="B833" s="222" t="s">
        <v>1923</v>
      </c>
      <c r="C833" s="223">
        <v>1658.2</v>
      </c>
      <c r="D833" s="223" t="s">
        <v>1924</v>
      </c>
      <c r="E833" s="223">
        <v>1658.2</v>
      </c>
      <c r="F833" s="223">
        <v>132.1</v>
      </c>
      <c r="G833" s="223">
        <v>3.3</v>
      </c>
      <c r="H833" s="223"/>
      <c r="I833" s="223"/>
      <c r="J833" s="223"/>
      <c r="K833" s="223"/>
      <c r="L833" s="223"/>
    </row>
    <row r="834" spans="1:12" x14ac:dyDescent="0.2">
      <c r="A834" s="218"/>
      <c r="B834" s="224" t="s">
        <v>197</v>
      </c>
      <c r="C834" s="220">
        <v>1662.8</v>
      </c>
      <c r="D834" s="220" t="s">
        <v>1924</v>
      </c>
      <c r="E834" s="220">
        <v>1662.8</v>
      </c>
      <c r="F834" s="220">
        <v>132.4</v>
      </c>
      <c r="G834" s="220">
        <v>4.5999999999999996</v>
      </c>
      <c r="H834" s="220"/>
      <c r="I834" s="220"/>
      <c r="J834" s="220"/>
      <c r="K834" s="220"/>
      <c r="L834" s="220"/>
    </row>
    <row r="835" spans="1:12" x14ac:dyDescent="0.2">
      <c r="A835" s="221"/>
      <c r="B835" s="222" t="s">
        <v>198</v>
      </c>
      <c r="C835" s="223">
        <v>1667.3</v>
      </c>
      <c r="D835" s="223" t="s">
        <v>1924</v>
      </c>
      <c r="E835" s="223">
        <v>1667.3</v>
      </c>
      <c r="F835" s="223">
        <v>132.69999999999999</v>
      </c>
      <c r="G835" s="223">
        <v>4.5999999999999996</v>
      </c>
      <c r="H835" s="223"/>
      <c r="I835" s="223"/>
      <c r="J835" s="223"/>
      <c r="K835" s="223"/>
      <c r="L835" s="223"/>
    </row>
    <row r="836" spans="1:12" x14ac:dyDescent="0.2">
      <c r="A836" s="218"/>
      <c r="B836" s="224" t="s">
        <v>200</v>
      </c>
      <c r="C836" s="220">
        <v>1669.1</v>
      </c>
      <c r="D836" s="220" t="s">
        <v>1924</v>
      </c>
      <c r="E836" s="220">
        <v>1669.1</v>
      </c>
      <c r="F836" s="220">
        <v>132.80000000000001</v>
      </c>
      <c r="G836" s="220">
        <v>1.8</v>
      </c>
      <c r="H836" s="220"/>
      <c r="I836" s="220"/>
      <c r="J836" s="220"/>
      <c r="K836" s="220"/>
      <c r="L836" s="220"/>
    </row>
    <row r="837" spans="1:12" ht="22.5" x14ac:dyDescent="0.2">
      <c r="A837" s="221"/>
      <c r="B837" s="222" t="s">
        <v>1925</v>
      </c>
      <c r="C837" s="223">
        <v>1670.2</v>
      </c>
      <c r="D837" s="223" t="s">
        <v>1924</v>
      </c>
      <c r="E837" s="223">
        <v>1670.2</v>
      </c>
      <c r="F837" s="223">
        <v>132.80000000000001</v>
      </c>
      <c r="G837" s="223">
        <v>1.1000000000000001</v>
      </c>
      <c r="H837" s="223"/>
      <c r="I837" s="223"/>
      <c r="J837" s="223"/>
      <c r="K837" s="223"/>
      <c r="L837" s="223"/>
    </row>
    <row r="838" spans="1:12" ht="22.5" x14ac:dyDescent="0.2">
      <c r="A838" s="218"/>
      <c r="B838" s="224" t="s">
        <v>1926</v>
      </c>
      <c r="C838" s="220">
        <v>1670.3</v>
      </c>
      <c r="D838" s="220" t="s">
        <v>1924</v>
      </c>
      <c r="E838" s="220">
        <v>1670.3</v>
      </c>
      <c r="F838" s="220">
        <v>132.80000000000001</v>
      </c>
      <c r="G838" s="220">
        <v>0.1</v>
      </c>
      <c r="H838" s="220"/>
      <c r="I838" s="220"/>
      <c r="J838" s="220"/>
      <c r="K838" s="220"/>
      <c r="L838" s="220"/>
    </row>
    <row r="839" spans="1:12" x14ac:dyDescent="0.2">
      <c r="A839" s="221"/>
      <c r="B839" s="222" t="s">
        <v>201</v>
      </c>
      <c r="C839" s="223">
        <v>1672.1</v>
      </c>
      <c r="D839" s="223" t="s">
        <v>1924</v>
      </c>
      <c r="E839" s="223">
        <v>1672.1</v>
      </c>
      <c r="F839" s="223">
        <v>133</v>
      </c>
      <c r="G839" s="223">
        <v>1.8</v>
      </c>
      <c r="H839" s="223"/>
      <c r="I839" s="223"/>
      <c r="J839" s="223"/>
      <c r="K839" s="223"/>
      <c r="L839" s="223"/>
    </row>
    <row r="840" spans="1:12" x14ac:dyDescent="0.2">
      <c r="A840" s="218"/>
      <c r="B840" s="224" t="s">
        <v>1927</v>
      </c>
      <c r="C840" s="220">
        <v>1672.7</v>
      </c>
      <c r="D840" s="220" t="s">
        <v>1928</v>
      </c>
      <c r="E840" s="220">
        <v>1672.7</v>
      </c>
      <c r="F840" s="220">
        <v>133</v>
      </c>
      <c r="G840" s="220">
        <v>0.7</v>
      </c>
      <c r="H840" s="220"/>
      <c r="I840" s="220"/>
      <c r="J840" s="220"/>
      <c r="K840" s="220"/>
      <c r="L840" s="220"/>
    </row>
    <row r="841" spans="1:12" x14ac:dyDescent="0.2">
      <c r="A841" s="221"/>
      <c r="B841" s="222" t="s">
        <v>202</v>
      </c>
      <c r="C841" s="223">
        <v>1677.2</v>
      </c>
      <c r="D841" s="223" t="s">
        <v>1928</v>
      </c>
      <c r="E841" s="223">
        <v>1677.2</v>
      </c>
      <c r="F841" s="223">
        <v>133.30000000000001</v>
      </c>
      <c r="G841" s="223">
        <v>4.5</v>
      </c>
      <c r="H841" s="223"/>
      <c r="I841" s="223"/>
      <c r="J841" s="223"/>
      <c r="K841" s="223"/>
      <c r="L841" s="223"/>
    </row>
    <row r="842" spans="1:12" x14ac:dyDescent="0.2">
      <c r="A842" s="218"/>
      <c r="B842" s="224" t="s">
        <v>1929</v>
      </c>
      <c r="C842" s="220">
        <v>1678.5</v>
      </c>
      <c r="D842" s="220" t="s">
        <v>1928</v>
      </c>
      <c r="E842" s="220">
        <v>1678.5</v>
      </c>
      <c r="F842" s="220">
        <v>133.4</v>
      </c>
      <c r="G842" s="220">
        <v>1.3</v>
      </c>
      <c r="H842" s="220"/>
      <c r="I842" s="220"/>
      <c r="J842" s="220"/>
      <c r="K842" s="220"/>
      <c r="L842" s="220"/>
    </row>
    <row r="843" spans="1:12" x14ac:dyDescent="0.2">
      <c r="A843" s="221"/>
      <c r="B843" s="222" t="s">
        <v>1930</v>
      </c>
      <c r="C843" s="223">
        <v>1678.6</v>
      </c>
      <c r="D843" s="223" t="s">
        <v>1928</v>
      </c>
      <c r="E843" s="223">
        <v>1678.6</v>
      </c>
      <c r="F843" s="223">
        <v>133.4</v>
      </c>
      <c r="G843" s="223">
        <v>0.1</v>
      </c>
      <c r="H843" s="223"/>
      <c r="I843" s="223"/>
      <c r="J843" s="223"/>
      <c r="K843" s="223"/>
      <c r="L843" s="223"/>
    </row>
    <row r="844" spans="1:12" x14ac:dyDescent="0.2">
      <c r="A844" s="218"/>
      <c r="B844" s="224" t="s">
        <v>1931</v>
      </c>
      <c r="C844" s="220">
        <v>1678.6</v>
      </c>
      <c r="D844" s="220" t="s">
        <v>1928</v>
      </c>
      <c r="E844" s="220">
        <v>1678.6</v>
      </c>
      <c r="F844" s="220">
        <v>133.4</v>
      </c>
      <c r="G844" s="220">
        <v>0</v>
      </c>
      <c r="H844" s="220"/>
      <c r="I844" s="220"/>
      <c r="J844" s="220"/>
      <c r="K844" s="220"/>
      <c r="L844" s="220"/>
    </row>
    <row r="845" spans="1:12" x14ac:dyDescent="0.2">
      <c r="A845" s="221"/>
      <c r="B845" s="222" t="s">
        <v>1930</v>
      </c>
      <c r="C845" s="223">
        <v>1678.8</v>
      </c>
      <c r="D845" s="223" t="s">
        <v>1928</v>
      </c>
      <c r="E845" s="223">
        <v>1678.8</v>
      </c>
      <c r="F845" s="223">
        <v>133.4</v>
      </c>
      <c r="G845" s="223">
        <v>0.2</v>
      </c>
      <c r="H845" s="223"/>
      <c r="I845" s="223"/>
      <c r="J845" s="223"/>
      <c r="K845" s="223"/>
      <c r="L845" s="223"/>
    </row>
    <row r="846" spans="1:12" x14ac:dyDescent="0.2">
      <c r="A846" s="218"/>
      <c r="B846" s="224" t="s">
        <v>203</v>
      </c>
      <c r="C846" s="220">
        <v>1682.3</v>
      </c>
      <c r="D846" s="220" t="s">
        <v>1928</v>
      </c>
      <c r="E846" s="220">
        <v>1682.3</v>
      </c>
      <c r="F846" s="220">
        <v>133.6</v>
      </c>
      <c r="G846" s="220">
        <v>3.5</v>
      </c>
      <c r="H846" s="220"/>
      <c r="I846" s="220"/>
      <c r="J846" s="220"/>
      <c r="K846" s="220"/>
      <c r="L846" s="220"/>
    </row>
    <row r="847" spans="1:12" x14ac:dyDescent="0.2">
      <c r="A847" s="221"/>
      <c r="B847" s="222" t="s">
        <v>1932</v>
      </c>
      <c r="C847" s="223">
        <v>1685</v>
      </c>
      <c r="D847" s="223" t="s">
        <v>1928</v>
      </c>
      <c r="E847" s="223">
        <v>1685</v>
      </c>
      <c r="F847" s="223">
        <v>133.80000000000001</v>
      </c>
      <c r="G847" s="223">
        <v>2.7</v>
      </c>
      <c r="H847" s="223"/>
      <c r="I847" s="223"/>
      <c r="J847" s="223"/>
      <c r="K847" s="223"/>
      <c r="L847" s="223"/>
    </row>
    <row r="848" spans="1:12" x14ac:dyDescent="0.2">
      <c r="A848" s="218"/>
      <c r="B848" s="224" t="s">
        <v>1933</v>
      </c>
      <c r="C848" s="220">
        <v>1685.1</v>
      </c>
      <c r="D848" s="220" t="s">
        <v>1928</v>
      </c>
      <c r="E848" s="220">
        <v>1685.1</v>
      </c>
      <c r="F848" s="220">
        <v>133.80000000000001</v>
      </c>
      <c r="G848" s="220">
        <v>0</v>
      </c>
      <c r="H848" s="220"/>
      <c r="I848" s="220"/>
      <c r="J848" s="220"/>
      <c r="K848" s="220"/>
      <c r="L848" s="220"/>
    </row>
    <row r="849" spans="1:12" x14ac:dyDescent="0.2">
      <c r="A849" s="221"/>
      <c r="B849" s="222" t="s">
        <v>1934</v>
      </c>
      <c r="C849" s="223">
        <v>1686.1</v>
      </c>
      <c r="D849" s="223" t="s">
        <v>1928</v>
      </c>
      <c r="E849" s="223">
        <v>1686.1</v>
      </c>
      <c r="F849" s="223">
        <v>133.9</v>
      </c>
      <c r="G849" s="223">
        <v>1.1000000000000001</v>
      </c>
      <c r="H849" s="223"/>
      <c r="I849" s="223"/>
      <c r="J849" s="223"/>
      <c r="K849" s="223"/>
      <c r="L849" s="223"/>
    </row>
    <row r="850" spans="1:12" ht="22.5" x14ac:dyDescent="0.2">
      <c r="A850" s="218"/>
      <c r="B850" s="224" t="s">
        <v>1664</v>
      </c>
      <c r="C850" s="220">
        <v>1688.9</v>
      </c>
      <c r="D850" s="220" t="s">
        <v>1935</v>
      </c>
      <c r="E850" s="220">
        <v>1688.9</v>
      </c>
      <c r="F850" s="220">
        <v>134</v>
      </c>
      <c r="G850" s="220">
        <v>2.7</v>
      </c>
      <c r="H850" s="220"/>
      <c r="I850" s="220"/>
      <c r="J850" s="220"/>
      <c r="K850" s="220"/>
      <c r="L850" s="220"/>
    </row>
    <row r="851" spans="1:12" x14ac:dyDescent="0.2">
      <c r="A851" s="221"/>
      <c r="B851" s="222" t="s">
        <v>1936</v>
      </c>
      <c r="C851" s="223">
        <v>1689.2</v>
      </c>
      <c r="D851" s="223" t="s">
        <v>1935</v>
      </c>
      <c r="E851" s="223">
        <v>1689.2</v>
      </c>
      <c r="F851" s="223">
        <v>134.1</v>
      </c>
      <c r="G851" s="223">
        <v>0.4</v>
      </c>
      <c r="H851" s="223"/>
      <c r="I851" s="223"/>
      <c r="J851" s="223"/>
      <c r="K851" s="223"/>
      <c r="L851" s="223"/>
    </row>
    <row r="852" spans="1:12" x14ac:dyDescent="0.2">
      <c r="A852" s="218"/>
      <c r="B852" s="224" t="s">
        <v>204</v>
      </c>
      <c r="C852" s="220">
        <v>1692.2</v>
      </c>
      <c r="D852" s="220" t="s">
        <v>1935</v>
      </c>
      <c r="E852" s="220">
        <v>1692.2</v>
      </c>
      <c r="F852" s="220">
        <v>134.19999999999999</v>
      </c>
      <c r="G852" s="220">
        <v>2.9</v>
      </c>
      <c r="H852" s="220"/>
      <c r="I852" s="220"/>
      <c r="J852" s="220"/>
      <c r="K852" s="220"/>
      <c r="L852" s="220"/>
    </row>
    <row r="853" spans="1:12" x14ac:dyDescent="0.2">
      <c r="A853" s="221"/>
      <c r="B853" s="222" t="s">
        <v>1937</v>
      </c>
      <c r="C853" s="223">
        <v>1696.5</v>
      </c>
      <c r="D853" s="223" t="s">
        <v>1935</v>
      </c>
      <c r="E853" s="223">
        <v>1696.5</v>
      </c>
      <c r="F853" s="223">
        <v>134.5</v>
      </c>
      <c r="G853" s="223">
        <v>4.4000000000000004</v>
      </c>
      <c r="H853" s="223"/>
      <c r="I853" s="223"/>
      <c r="J853" s="223"/>
      <c r="K853" s="223"/>
      <c r="L853" s="223"/>
    </row>
    <row r="854" spans="1:12" x14ac:dyDescent="0.2">
      <c r="A854" s="218"/>
      <c r="B854" s="224" t="s">
        <v>1938</v>
      </c>
      <c r="C854" s="220">
        <v>1699.3</v>
      </c>
      <c r="D854" s="220" t="s">
        <v>1935</v>
      </c>
      <c r="E854" s="220">
        <v>1699.3</v>
      </c>
      <c r="F854" s="220">
        <v>134.69999999999999</v>
      </c>
      <c r="G854" s="220">
        <v>2.8</v>
      </c>
      <c r="H854" s="220"/>
      <c r="I854" s="220"/>
      <c r="J854" s="220"/>
      <c r="K854" s="220"/>
      <c r="L854" s="220"/>
    </row>
    <row r="855" spans="1:12" x14ac:dyDescent="0.2">
      <c r="A855" s="221"/>
      <c r="B855" s="222" t="s">
        <v>1939</v>
      </c>
      <c r="C855" s="223">
        <v>1700.8</v>
      </c>
      <c r="D855" s="223" t="s">
        <v>1935</v>
      </c>
      <c r="E855" s="223">
        <v>1700.8</v>
      </c>
      <c r="F855" s="223">
        <v>134.80000000000001</v>
      </c>
      <c r="G855" s="223">
        <v>1.5</v>
      </c>
      <c r="H855" s="223"/>
      <c r="I855" s="223"/>
      <c r="J855" s="223"/>
      <c r="K855" s="223"/>
      <c r="L855" s="223"/>
    </row>
    <row r="856" spans="1:12" x14ac:dyDescent="0.2">
      <c r="A856" s="218"/>
      <c r="B856" s="224" t="s">
        <v>1940</v>
      </c>
      <c r="C856" s="220">
        <v>1702.8</v>
      </c>
      <c r="D856" s="220" t="s">
        <v>1935</v>
      </c>
      <c r="E856" s="220">
        <v>1702.8</v>
      </c>
      <c r="F856" s="220">
        <v>134.9</v>
      </c>
      <c r="G856" s="220">
        <v>1.9</v>
      </c>
      <c r="H856" s="220"/>
      <c r="I856" s="220"/>
      <c r="J856" s="220"/>
      <c r="K856" s="220"/>
      <c r="L856" s="220"/>
    </row>
    <row r="857" spans="1:12" x14ac:dyDescent="0.2">
      <c r="A857" s="221"/>
      <c r="B857" s="222" t="s">
        <v>1941</v>
      </c>
      <c r="C857" s="223">
        <v>1702.8</v>
      </c>
      <c r="D857" s="223" t="s">
        <v>1935</v>
      </c>
      <c r="E857" s="223">
        <v>1702.8</v>
      </c>
      <c r="F857" s="223">
        <v>134.9</v>
      </c>
      <c r="G857" s="223">
        <v>0</v>
      </c>
      <c r="H857" s="223"/>
      <c r="I857" s="223"/>
      <c r="J857" s="223"/>
      <c r="K857" s="223"/>
      <c r="L857" s="223"/>
    </row>
    <row r="858" spans="1:12" ht="22.5" x14ac:dyDescent="0.2">
      <c r="A858" s="218"/>
      <c r="B858" s="224" t="s">
        <v>1942</v>
      </c>
      <c r="C858" s="220">
        <v>1703.5</v>
      </c>
      <c r="D858" s="220" t="s">
        <v>1935</v>
      </c>
      <c r="E858" s="220">
        <v>1703.5</v>
      </c>
      <c r="F858" s="220">
        <v>135</v>
      </c>
      <c r="G858" s="220">
        <v>0.8</v>
      </c>
      <c r="H858" s="220"/>
      <c r="I858" s="220"/>
      <c r="J858" s="220"/>
      <c r="K858" s="220"/>
      <c r="L858" s="220"/>
    </row>
    <row r="859" spans="1:12" ht="22.5" x14ac:dyDescent="0.2">
      <c r="A859" s="221"/>
      <c r="B859" s="222" t="s">
        <v>1943</v>
      </c>
      <c r="C859" s="223">
        <v>1705.9</v>
      </c>
      <c r="D859" s="223" t="s">
        <v>1944</v>
      </c>
      <c r="E859" s="223">
        <v>1705.9</v>
      </c>
      <c r="F859" s="223">
        <v>135.1</v>
      </c>
      <c r="G859" s="223">
        <v>2.4</v>
      </c>
      <c r="H859" s="223"/>
      <c r="I859" s="223"/>
      <c r="J859" s="223"/>
      <c r="K859" s="223"/>
      <c r="L859" s="223"/>
    </row>
    <row r="860" spans="1:12" x14ac:dyDescent="0.2">
      <c r="A860" s="218"/>
      <c r="B860" s="224" t="s">
        <v>1945</v>
      </c>
      <c r="C860" s="220">
        <v>1706.1</v>
      </c>
      <c r="D860" s="220" t="s">
        <v>1944</v>
      </c>
      <c r="E860" s="220">
        <v>1706.1</v>
      </c>
      <c r="F860" s="220">
        <v>135.1</v>
      </c>
      <c r="G860" s="220">
        <v>0.1</v>
      </c>
      <c r="H860" s="220"/>
      <c r="I860" s="220"/>
      <c r="J860" s="220"/>
      <c r="K860" s="220"/>
      <c r="L860" s="220"/>
    </row>
    <row r="861" spans="1:12" ht="41.25" customHeight="1" x14ac:dyDescent="0.2">
      <c r="A861" s="228"/>
      <c r="B861" s="229" t="s">
        <v>1946</v>
      </c>
      <c r="C861" s="230">
        <v>1706.1</v>
      </c>
      <c r="D861" s="223" t="s">
        <v>1944</v>
      </c>
      <c r="E861" s="230">
        <v>1706.1</v>
      </c>
      <c r="F861" s="230">
        <v>135.1</v>
      </c>
      <c r="G861" s="230">
        <v>0</v>
      </c>
      <c r="H861" s="230">
        <v>57.9</v>
      </c>
      <c r="I861" s="230">
        <v>3.7</v>
      </c>
      <c r="J861" s="230">
        <v>15.7</v>
      </c>
      <c r="K861" s="230">
        <v>5.2</v>
      </c>
      <c r="L861" s="230"/>
    </row>
    <row r="862" spans="1:12" x14ac:dyDescent="0.2">
      <c r="A862" s="228"/>
      <c r="B862" s="229"/>
      <c r="C862" s="230"/>
      <c r="D862" s="223" t="s">
        <v>1944</v>
      </c>
      <c r="E862" s="230"/>
      <c r="F862" s="230"/>
      <c r="G862" s="230"/>
      <c r="H862" s="230"/>
      <c r="I862" s="230"/>
      <c r="J862" s="230"/>
      <c r="K862" s="230"/>
      <c r="L862" s="230"/>
    </row>
    <row r="863" spans="1:12" x14ac:dyDescent="0.2">
      <c r="A863" s="218"/>
      <c r="B863" s="224" t="s">
        <v>1947</v>
      </c>
      <c r="C863" s="220">
        <v>1708</v>
      </c>
      <c r="D863" s="220" t="s">
        <v>1944</v>
      </c>
      <c r="E863" s="220">
        <v>1708</v>
      </c>
      <c r="F863" s="220">
        <v>136</v>
      </c>
      <c r="G863" s="220">
        <v>1.9</v>
      </c>
      <c r="H863" s="220"/>
      <c r="I863" s="220"/>
      <c r="J863" s="220"/>
      <c r="K863" s="220"/>
      <c r="L863" s="220"/>
    </row>
    <row r="864" spans="1:12" x14ac:dyDescent="0.2">
      <c r="A864" s="221"/>
      <c r="B864" s="222" t="s">
        <v>208</v>
      </c>
      <c r="C864" s="223">
        <v>1712.7</v>
      </c>
      <c r="D864" s="223" t="s">
        <v>1948</v>
      </c>
      <c r="E864" s="223">
        <v>1712.7</v>
      </c>
      <c r="F864" s="223">
        <v>136.30000000000001</v>
      </c>
      <c r="G864" s="223">
        <v>4.7</v>
      </c>
      <c r="H864" s="223"/>
      <c r="I864" s="223"/>
      <c r="J864" s="223"/>
      <c r="K864" s="223"/>
      <c r="L864" s="223"/>
    </row>
    <row r="865" spans="1:12" x14ac:dyDescent="0.2">
      <c r="A865" s="218"/>
      <c r="B865" s="224" t="s">
        <v>1949</v>
      </c>
      <c r="C865" s="220">
        <v>1713.3</v>
      </c>
      <c r="D865" s="220" t="s">
        <v>1948</v>
      </c>
      <c r="E865" s="220">
        <v>1713.3</v>
      </c>
      <c r="F865" s="220">
        <v>136.4</v>
      </c>
      <c r="G865" s="220">
        <v>0.6</v>
      </c>
      <c r="H865" s="220"/>
      <c r="I865" s="220"/>
      <c r="J865" s="220"/>
      <c r="K865" s="220"/>
      <c r="L865" s="220"/>
    </row>
    <row r="866" spans="1:12" ht="22.5" x14ac:dyDescent="0.2">
      <c r="A866" s="221"/>
      <c r="B866" s="222" t="s">
        <v>1664</v>
      </c>
      <c r="C866" s="223">
        <v>1717</v>
      </c>
      <c r="D866" s="223" t="s">
        <v>1948</v>
      </c>
      <c r="E866" s="223">
        <v>1717</v>
      </c>
      <c r="F866" s="223">
        <v>136.6</v>
      </c>
      <c r="G866" s="223">
        <v>3.7</v>
      </c>
      <c r="H866" s="223"/>
      <c r="I866" s="223"/>
      <c r="J866" s="223"/>
      <c r="K866" s="223"/>
      <c r="L866" s="223"/>
    </row>
    <row r="867" spans="1:12" ht="22.5" x14ac:dyDescent="0.2">
      <c r="A867" s="218"/>
      <c r="B867" s="224" t="s">
        <v>1950</v>
      </c>
      <c r="C867" s="220">
        <v>1719.6</v>
      </c>
      <c r="D867" s="220" t="s">
        <v>1948</v>
      </c>
      <c r="E867" s="220">
        <v>1719.6</v>
      </c>
      <c r="F867" s="220">
        <v>136.80000000000001</v>
      </c>
      <c r="G867" s="220">
        <v>2.7</v>
      </c>
      <c r="H867" s="220"/>
      <c r="I867" s="220"/>
      <c r="J867" s="220"/>
      <c r="K867" s="220"/>
      <c r="L867" s="220"/>
    </row>
    <row r="868" spans="1:12" x14ac:dyDescent="0.2">
      <c r="A868" s="221"/>
      <c r="B868" s="222" t="s">
        <v>1951</v>
      </c>
      <c r="C868" s="223">
        <v>1722</v>
      </c>
      <c r="D868" s="223" t="s">
        <v>1948</v>
      </c>
      <c r="E868" s="223">
        <v>1722</v>
      </c>
      <c r="F868" s="223">
        <v>136.9</v>
      </c>
      <c r="G868" s="223">
        <v>2.4</v>
      </c>
      <c r="H868" s="223"/>
      <c r="I868" s="223"/>
      <c r="J868" s="223"/>
      <c r="K868" s="223"/>
      <c r="L868" s="223"/>
    </row>
    <row r="869" spans="1:12" x14ac:dyDescent="0.2">
      <c r="A869" s="218"/>
      <c r="B869" s="224" t="s">
        <v>1952</v>
      </c>
      <c r="C869" s="220">
        <v>1725.7</v>
      </c>
      <c r="D869" s="220" t="s">
        <v>1953</v>
      </c>
      <c r="E869" s="220">
        <v>1725.7</v>
      </c>
      <c r="F869" s="220">
        <v>137.19999999999999</v>
      </c>
      <c r="G869" s="220">
        <v>3.7</v>
      </c>
      <c r="H869" s="220"/>
      <c r="I869" s="220"/>
      <c r="J869" s="220"/>
      <c r="K869" s="220"/>
      <c r="L869" s="220"/>
    </row>
    <row r="870" spans="1:12" x14ac:dyDescent="0.2">
      <c r="A870" s="221"/>
      <c r="B870" s="222" t="s">
        <v>1954</v>
      </c>
      <c r="C870" s="223">
        <v>1725.8</v>
      </c>
      <c r="D870" s="223" t="s">
        <v>1953</v>
      </c>
      <c r="E870" s="223">
        <v>1725.8</v>
      </c>
      <c r="F870" s="223">
        <v>137.19999999999999</v>
      </c>
      <c r="G870" s="223">
        <v>0.1</v>
      </c>
      <c r="H870" s="223"/>
      <c r="I870" s="223"/>
      <c r="J870" s="223"/>
      <c r="K870" s="223"/>
      <c r="L870" s="223"/>
    </row>
    <row r="871" spans="1:12" ht="22.5" x14ac:dyDescent="0.2">
      <c r="A871" s="218"/>
      <c r="B871" s="224" t="s">
        <v>1955</v>
      </c>
      <c r="C871" s="220">
        <v>1728</v>
      </c>
      <c r="D871" s="220" t="s">
        <v>1953</v>
      </c>
      <c r="E871" s="220">
        <v>1728</v>
      </c>
      <c r="F871" s="220">
        <v>137.30000000000001</v>
      </c>
      <c r="G871" s="220">
        <v>2.2000000000000002</v>
      </c>
      <c r="H871" s="220"/>
      <c r="I871" s="220"/>
      <c r="J871" s="220"/>
      <c r="K871" s="220"/>
      <c r="L871" s="220"/>
    </row>
    <row r="872" spans="1:12" x14ac:dyDescent="0.2">
      <c r="A872" s="221"/>
      <c r="B872" s="222" t="s">
        <v>1956</v>
      </c>
      <c r="C872" s="223">
        <v>1730.4</v>
      </c>
      <c r="D872" s="223" t="s">
        <v>1953</v>
      </c>
      <c r="E872" s="223">
        <v>1730.4</v>
      </c>
      <c r="F872" s="223">
        <v>137.5</v>
      </c>
      <c r="G872" s="223">
        <v>2.4</v>
      </c>
      <c r="H872" s="223"/>
      <c r="I872" s="223"/>
      <c r="J872" s="223"/>
      <c r="K872" s="223"/>
      <c r="L872" s="223"/>
    </row>
    <row r="873" spans="1:12" x14ac:dyDescent="0.2">
      <c r="A873" s="218"/>
      <c r="B873" s="224" t="s">
        <v>1957</v>
      </c>
      <c r="C873" s="220">
        <v>1732.7</v>
      </c>
      <c r="D873" s="220" t="s">
        <v>1953</v>
      </c>
      <c r="E873" s="220">
        <v>1732.7</v>
      </c>
      <c r="F873" s="220">
        <v>137.6</v>
      </c>
      <c r="G873" s="220">
        <v>2.2999999999999998</v>
      </c>
      <c r="H873" s="220"/>
      <c r="I873" s="220"/>
      <c r="J873" s="220"/>
      <c r="K873" s="220"/>
      <c r="L873" s="220"/>
    </row>
    <row r="874" spans="1:12" x14ac:dyDescent="0.2">
      <c r="A874" s="221"/>
      <c r="B874" s="222" t="s">
        <v>1958</v>
      </c>
      <c r="C874" s="223">
        <v>1733.2</v>
      </c>
      <c r="D874" s="223" t="s">
        <v>1953</v>
      </c>
      <c r="E874" s="223">
        <v>1733.2</v>
      </c>
      <c r="F874" s="223">
        <v>137.69999999999999</v>
      </c>
      <c r="G874" s="223">
        <v>0.5</v>
      </c>
      <c r="H874" s="223"/>
      <c r="I874" s="223"/>
      <c r="J874" s="223"/>
      <c r="K874" s="223"/>
      <c r="L874" s="223"/>
    </row>
    <row r="875" spans="1:12" x14ac:dyDescent="0.2">
      <c r="A875" s="218"/>
      <c r="B875" s="224" t="s">
        <v>210</v>
      </c>
      <c r="C875" s="220">
        <v>1734.6</v>
      </c>
      <c r="D875" s="220" t="s">
        <v>1953</v>
      </c>
      <c r="E875" s="220">
        <v>1734.6</v>
      </c>
      <c r="F875" s="220">
        <v>137.80000000000001</v>
      </c>
      <c r="G875" s="220">
        <v>1.4</v>
      </c>
      <c r="H875" s="220"/>
      <c r="I875" s="220"/>
      <c r="J875" s="220"/>
      <c r="K875" s="220"/>
      <c r="L875" s="220"/>
    </row>
    <row r="876" spans="1:12" x14ac:dyDescent="0.2">
      <c r="A876" s="221"/>
      <c r="B876" s="222" t="s">
        <v>1959</v>
      </c>
      <c r="C876" s="223">
        <v>1736</v>
      </c>
      <c r="D876" s="223" t="s">
        <v>1953</v>
      </c>
      <c r="E876" s="223">
        <v>1736</v>
      </c>
      <c r="F876" s="223">
        <v>137.9</v>
      </c>
      <c r="G876" s="223">
        <v>1.4</v>
      </c>
      <c r="H876" s="223"/>
      <c r="I876" s="223"/>
      <c r="J876" s="223"/>
      <c r="K876" s="223"/>
      <c r="L876" s="223"/>
    </row>
    <row r="877" spans="1:12" ht="22.5" x14ac:dyDescent="0.2">
      <c r="A877" s="218"/>
      <c r="B877" s="224" t="s">
        <v>1960</v>
      </c>
      <c r="C877" s="220">
        <v>1740.5</v>
      </c>
      <c r="D877" s="220" t="s">
        <v>1961</v>
      </c>
      <c r="E877" s="220">
        <v>1740.5</v>
      </c>
      <c r="F877" s="220">
        <v>138.19999999999999</v>
      </c>
      <c r="G877" s="220">
        <v>4.4000000000000004</v>
      </c>
      <c r="H877" s="220"/>
      <c r="I877" s="220"/>
      <c r="J877" s="220"/>
      <c r="K877" s="220"/>
      <c r="L877" s="220"/>
    </row>
    <row r="878" spans="1:12" x14ac:dyDescent="0.2">
      <c r="A878" s="221"/>
      <c r="B878" s="222" t="s">
        <v>1962</v>
      </c>
      <c r="C878" s="223">
        <v>1740.7</v>
      </c>
      <c r="D878" s="223" t="s">
        <v>1961</v>
      </c>
      <c r="E878" s="223">
        <v>1740.7</v>
      </c>
      <c r="F878" s="223">
        <v>138.19999999999999</v>
      </c>
      <c r="G878" s="223">
        <v>0.3</v>
      </c>
      <c r="H878" s="223"/>
      <c r="I878" s="223"/>
      <c r="J878" s="223"/>
      <c r="K878" s="223"/>
      <c r="L878" s="223"/>
    </row>
    <row r="879" spans="1:12" x14ac:dyDescent="0.2">
      <c r="A879" s="218"/>
      <c r="B879" s="224" t="s">
        <v>1962</v>
      </c>
      <c r="C879" s="220">
        <v>1740.8</v>
      </c>
      <c r="D879" s="220" t="s">
        <v>1961</v>
      </c>
      <c r="E879" s="220">
        <v>1740.8</v>
      </c>
      <c r="F879" s="220">
        <v>138.19999999999999</v>
      </c>
      <c r="G879" s="220">
        <v>0.1</v>
      </c>
      <c r="H879" s="220"/>
      <c r="I879" s="220"/>
      <c r="J879" s="220"/>
      <c r="K879" s="220"/>
      <c r="L879" s="220"/>
    </row>
    <row r="880" spans="1:12" x14ac:dyDescent="0.2">
      <c r="A880" s="221"/>
      <c r="B880" s="222" t="s">
        <v>1963</v>
      </c>
      <c r="C880" s="223">
        <v>1740.8</v>
      </c>
      <c r="D880" s="223" t="s">
        <v>1961</v>
      </c>
      <c r="E880" s="223">
        <v>1740.8</v>
      </c>
      <c r="F880" s="223">
        <v>138.19999999999999</v>
      </c>
      <c r="G880" s="223">
        <v>0</v>
      </c>
      <c r="H880" s="223"/>
      <c r="I880" s="223"/>
      <c r="J880" s="223"/>
      <c r="K880" s="223"/>
      <c r="L880" s="223"/>
    </row>
    <row r="881" spans="1:12" x14ac:dyDescent="0.2">
      <c r="A881" s="218"/>
      <c r="B881" s="224" t="s">
        <v>211</v>
      </c>
      <c r="C881" s="220">
        <v>1744.2</v>
      </c>
      <c r="D881" s="220" t="s">
        <v>1961</v>
      </c>
      <c r="E881" s="220">
        <v>1744.2</v>
      </c>
      <c r="F881" s="220">
        <v>138.4</v>
      </c>
      <c r="G881" s="220">
        <v>3.3</v>
      </c>
      <c r="H881" s="220"/>
      <c r="I881" s="220"/>
      <c r="J881" s="220"/>
      <c r="K881" s="220"/>
      <c r="L881" s="220"/>
    </row>
    <row r="882" spans="1:12" x14ac:dyDescent="0.2">
      <c r="A882" s="221"/>
      <c r="B882" s="222" t="s">
        <v>1964</v>
      </c>
      <c r="C882" s="223">
        <v>1747.7</v>
      </c>
      <c r="D882" s="223" t="s">
        <v>1961</v>
      </c>
      <c r="E882" s="223">
        <v>1747.7</v>
      </c>
      <c r="F882" s="223">
        <v>138.6</v>
      </c>
      <c r="G882" s="223">
        <v>3.5</v>
      </c>
      <c r="H882" s="223"/>
      <c r="I882" s="223"/>
      <c r="J882" s="223"/>
      <c r="K882" s="223"/>
      <c r="L882" s="223"/>
    </row>
    <row r="883" spans="1:12" x14ac:dyDescent="0.2">
      <c r="A883" s="218"/>
      <c r="B883" s="224" t="s">
        <v>1965</v>
      </c>
      <c r="C883" s="220">
        <v>1748.7</v>
      </c>
      <c r="D883" s="220" t="s">
        <v>1961</v>
      </c>
      <c r="E883" s="220">
        <v>1748.7</v>
      </c>
      <c r="F883" s="220">
        <v>138.69999999999999</v>
      </c>
      <c r="G883" s="220">
        <v>1</v>
      </c>
      <c r="H883" s="220"/>
      <c r="I883" s="220"/>
      <c r="J883" s="220"/>
      <c r="K883" s="220"/>
      <c r="L883" s="220"/>
    </row>
    <row r="884" spans="1:12" x14ac:dyDescent="0.2">
      <c r="A884" s="221"/>
      <c r="B884" s="222" t="s">
        <v>1966</v>
      </c>
      <c r="C884" s="223">
        <v>1748.8</v>
      </c>
      <c r="D884" s="223" t="s">
        <v>1961</v>
      </c>
      <c r="E884" s="223">
        <v>1748.8</v>
      </c>
      <c r="F884" s="223">
        <v>138.69999999999999</v>
      </c>
      <c r="G884" s="223">
        <v>0.2</v>
      </c>
      <c r="H884" s="223"/>
      <c r="I884" s="223"/>
      <c r="J884" s="223"/>
      <c r="K884" s="223"/>
      <c r="L884" s="223"/>
    </row>
    <row r="885" spans="1:12" x14ac:dyDescent="0.2">
      <c r="A885" s="218"/>
      <c r="B885" s="224" t="s">
        <v>1967</v>
      </c>
      <c r="C885" s="220">
        <v>1749.2</v>
      </c>
      <c r="D885" s="220" t="s">
        <v>1961</v>
      </c>
      <c r="E885" s="220">
        <v>1749.2</v>
      </c>
      <c r="F885" s="220">
        <v>138.69999999999999</v>
      </c>
      <c r="G885" s="220">
        <v>0.4</v>
      </c>
      <c r="H885" s="220"/>
      <c r="I885" s="220"/>
      <c r="J885" s="220"/>
      <c r="K885" s="220"/>
      <c r="L885" s="220"/>
    </row>
    <row r="886" spans="1:12" x14ac:dyDescent="0.2">
      <c r="A886" s="221"/>
      <c r="B886" s="222" t="s">
        <v>1967</v>
      </c>
      <c r="C886" s="223">
        <v>1749.2</v>
      </c>
      <c r="D886" s="223" t="s">
        <v>1961</v>
      </c>
      <c r="E886" s="223">
        <v>1749.2</v>
      </c>
      <c r="F886" s="223">
        <v>138.69999999999999</v>
      </c>
      <c r="G886" s="223">
        <v>0</v>
      </c>
      <c r="H886" s="223"/>
      <c r="I886" s="223"/>
      <c r="J886" s="223"/>
      <c r="K886" s="223"/>
      <c r="L886" s="223"/>
    </row>
    <row r="887" spans="1:12" ht="41.25" customHeight="1" x14ac:dyDescent="0.2">
      <c r="A887" s="231"/>
      <c r="B887" s="232" t="s">
        <v>1968</v>
      </c>
      <c r="C887" s="233">
        <v>1750.1</v>
      </c>
      <c r="D887" s="220" t="s">
        <v>1961</v>
      </c>
      <c r="E887" s="233">
        <v>1750.1</v>
      </c>
      <c r="F887" s="233">
        <v>138.80000000000001</v>
      </c>
      <c r="G887" s="233">
        <v>0.9</v>
      </c>
      <c r="H887" s="233">
        <v>44</v>
      </c>
      <c r="I887" s="233">
        <v>2.9</v>
      </c>
      <c r="J887" s="233">
        <v>15</v>
      </c>
      <c r="K887" s="233">
        <v>5.6</v>
      </c>
      <c r="L887" s="233"/>
    </row>
    <row r="888" spans="1:12" x14ac:dyDescent="0.2">
      <c r="A888" s="231"/>
      <c r="B888" s="232"/>
      <c r="C888" s="233"/>
      <c r="D888" s="220" t="s">
        <v>1969</v>
      </c>
      <c r="E888" s="233"/>
      <c r="F888" s="233"/>
      <c r="G888" s="233"/>
      <c r="H888" s="233"/>
      <c r="I888" s="233"/>
      <c r="J888" s="233"/>
      <c r="K888" s="233"/>
      <c r="L888" s="233"/>
    </row>
    <row r="889" spans="1:12" x14ac:dyDescent="0.2">
      <c r="A889" s="221"/>
      <c r="B889" s="222" t="s">
        <v>1970</v>
      </c>
      <c r="C889" s="223">
        <v>1750.8</v>
      </c>
      <c r="D889" s="223" t="s">
        <v>1969</v>
      </c>
      <c r="E889" s="223">
        <v>1750.8</v>
      </c>
      <c r="F889" s="223">
        <v>139.6</v>
      </c>
      <c r="G889" s="223">
        <v>0.6</v>
      </c>
      <c r="H889" s="223"/>
      <c r="I889" s="223"/>
      <c r="J889" s="223"/>
      <c r="K889" s="223"/>
      <c r="L889" s="223"/>
    </row>
    <row r="890" spans="1:12" x14ac:dyDescent="0.2">
      <c r="A890" s="218"/>
      <c r="B890" s="224" t="s">
        <v>212</v>
      </c>
      <c r="C890" s="220">
        <v>1751.9</v>
      </c>
      <c r="D890" s="220" t="s">
        <v>1969</v>
      </c>
      <c r="E890" s="220">
        <v>1751.9</v>
      </c>
      <c r="F890" s="220">
        <v>139.69999999999999</v>
      </c>
      <c r="G890" s="220">
        <v>1.2</v>
      </c>
      <c r="H890" s="220"/>
      <c r="I890" s="220"/>
      <c r="J890" s="220"/>
      <c r="K890" s="220"/>
      <c r="L890" s="220"/>
    </row>
    <row r="891" spans="1:12" x14ac:dyDescent="0.2">
      <c r="A891" s="221"/>
      <c r="B891" s="222" t="s">
        <v>1971</v>
      </c>
      <c r="C891" s="223">
        <v>1754.6</v>
      </c>
      <c r="D891" s="223" t="s">
        <v>1969</v>
      </c>
      <c r="E891" s="223">
        <v>1754.6</v>
      </c>
      <c r="F891" s="223">
        <v>139.9</v>
      </c>
      <c r="G891" s="223">
        <v>2.7</v>
      </c>
      <c r="H891" s="223"/>
      <c r="I891" s="223"/>
      <c r="J891" s="223"/>
      <c r="K891" s="223"/>
      <c r="L891" s="223"/>
    </row>
    <row r="892" spans="1:12" ht="22.5" x14ac:dyDescent="0.2">
      <c r="A892" s="218"/>
      <c r="B892" s="224" t="s">
        <v>1972</v>
      </c>
      <c r="C892" s="220">
        <v>1756</v>
      </c>
      <c r="D892" s="220" t="s">
        <v>1973</v>
      </c>
      <c r="E892" s="220">
        <v>1755.9</v>
      </c>
      <c r="F892" s="220">
        <v>140.1</v>
      </c>
      <c r="G892" s="220">
        <v>1.3</v>
      </c>
      <c r="H892" s="220"/>
      <c r="I892" s="220"/>
      <c r="J892" s="220"/>
      <c r="K892" s="220"/>
      <c r="L892" s="220"/>
    </row>
    <row r="893" spans="1:12" x14ac:dyDescent="0.2">
      <c r="A893" s="221"/>
      <c r="B893" s="222" t="s">
        <v>1974</v>
      </c>
      <c r="C893" s="223">
        <v>1758.4</v>
      </c>
      <c r="D893" s="223" t="s">
        <v>1973</v>
      </c>
      <c r="E893" s="223">
        <v>1758.4</v>
      </c>
      <c r="F893" s="223">
        <v>140.30000000000001</v>
      </c>
      <c r="G893" s="223">
        <v>2.5</v>
      </c>
      <c r="H893" s="223"/>
      <c r="I893" s="223"/>
      <c r="J893" s="223"/>
      <c r="K893" s="223"/>
      <c r="L893" s="223"/>
    </row>
    <row r="894" spans="1:12" x14ac:dyDescent="0.2">
      <c r="A894" s="218"/>
      <c r="B894" s="224" t="s">
        <v>213</v>
      </c>
      <c r="C894" s="220">
        <v>1761</v>
      </c>
      <c r="D894" s="220" t="s">
        <v>1973</v>
      </c>
      <c r="E894" s="220">
        <v>1761</v>
      </c>
      <c r="F894" s="220">
        <v>140.5</v>
      </c>
      <c r="G894" s="220">
        <v>2.6</v>
      </c>
      <c r="H894" s="220"/>
      <c r="I894" s="220"/>
      <c r="J894" s="220"/>
      <c r="K894" s="220"/>
      <c r="L894" s="220"/>
    </row>
    <row r="895" spans="1:12" ht="22.5" x14ac:dyDescent="0.2">
      <c r="A895" s="221"/>
      <c r="B895" s="222" t="s">
        <v>1975</v>
      </c>
      <c r="C895" s="223">
        <v>1761.2</v>
      </c>
      <c r="D895" s="223" t="s">
        <v>1973</v>
      </c>
      <c r="E895" s="223">
        <v>1761.2</v>
      </c>
      <c r="F895" s="223">
        <v>140.5</v>
      </c>
      <c r="G895" s="223">
        <v>0.3</v>
      </c>
      <c r="H895" s="223"/>
      <c r="I895" s="223"/>
      <c r="J895" s="223"/>
      <c r="K895" s="223"/>
      <c r="L895" s="223"/>
    </row>
    <row r="896" spans="1:12" x14ac:dyDescent="0.2">
      <c r="A896" s="218"/>
      <c r="B896" s="224" t="s">
        <v>1976</v>
      </c>
      <c r="C896" s="220">
        <v>1764.2</v>
      </c>
      <c r="D896" s="220" t="s">
        <v>1973</v>
      </c>
      <c r="E896" s="220">
        <v>1764.2</v>
      </c>
      <c r="F896" s="220">
        <v>140.80000000000001</v>
      </c>
      <c r="G896" s="220">
        <v>3</v>
      </c>
      <c r="H896" s="220"/>
      <c r="I896" s="220"/>
      <c r="J896" s="220"/>
      <c r="K896" s="220"/>
      <c r="L896" s="220"/>
    </row>
    <row r="897" spans="1:12" x14ac:dyDescent="0.2">
      <c r="A897" s="221"/>
      <c r="B897" s="222" t="s">
        <v>214</v>
      </c>
      <c r="C897" s="223">
        <v>1767.1</v>
      </c>
      <c r="D897" s="223" t="s">
        <v>1977</v>
      </c>
      <c r="E897" s="223">
        <v>1767.1</v>
      </c>
      <c r="F897" s="223">
        <v>141</v>
      </c>
      <c r="G897" s="223">
        <v>2.9</v>
      </c>
      <c r="H897" s="223"/>
      <c r="I897" s="223"/>
      <c r="J897" s="223"/>
      <c r="K897" s="223"/>
      <c r="L897" s="223"/>
    </row>
    <row r="898" spans="1:12" x14ac:dyDescent="0.2">
      <c r="A898" s="218"/>
      <c r="B898" s="224" t="s">
        <v>1978</v>
      </c>
      <c r="C898" s="220">
        <v>1767.9</v>
      </c>
      <c r="D898" s="220" t="s">
        <v>1977</v>
      </c>
      <c r="E898" s="220">
        <v>1767.9</v>
      </c>
      <c r="F898" s="220">
        <v>141.1</v>
      </c>
      <c r="G898" s="220">
        <v>0.8</v>
      </c>
      <c r="H898" s="220"/>
      <c r="I898" s="220"/>
      <c r="J898" s="220"/>
      <c r="K898" s="220"/>
      <c r="L898" s="220"/>
    </row>
    <row r="899" spans="1:12" x14ac:dyDescent="0.2">
      <c r="A899" s="221"/>
      <c r="B899" s="222" t="s">
        <v>1979</v>
      </c>
      <c r="C899" s="223">
        <v>1768</v>
      </c>
      <c r="D899" s="223" t="s">
        <v>1977</v>
      </c>
      <c r="E899" s="223">
        <v>1768</v>
      </c>
      <c r="F899" s="223">
        <v>141.1</v>
      </c>
      <c r="G899" s="223">
        <v>0.1</v>
      </c>
      <c r="H899" s="223"/>
      <c r="I899" s="223"/>
      <c r="J899" s="223"/>
      <c r="K899" s="223"/>
      <c r="L899" s="223"/>
    </row>
    <row r="900" spans="1:12" x14ac:dyDescent="0.2">
      <c r="A900" s="218"/>
      <c r="B900" s="224" t="s">
        <v>1980</v>
      </c>
      <c r="C900" s="220">
        <v>1769.8</v>
      </c>
      <c r="D900" s="220" t="s">
        <v>1977</v>
      </c>
      <c r="E900" s="220">
        <v>1769.8</v>
      </c>
      <c r="F900" s="220">
        <v>141.30000000000001</v>
      </c>
      <c r="G900" s="220">
        <v>1.8</v>
      </c>
      <c r="H900" s="220"/>
      <c r="I900" s="220"/>
      <c r="J900" s="220"/>
      <c r="K900" s="220"/>
      <c r="L900" s="220"/>
    </row>
    <row r="901" spans="1:12" ht="22.5" x14ac:dyDescent="0.2">
      <c r="A901" s="221"/>
      <c r="B901" s="222" t="s">
        <v>1981</v>
      </c>
      <c r="C901" s="223">
        <v>1773.6</v>
      </c>
      <c r="D901" s="223" t="s">
        <v>1977</v>
      </c>
      <c r="E901" s="223">
        <v>1773.6</v>
      </c>
      <c r="F901" s="223">
        <v>141.6</v>
      </c>
      <c r="G901" s="223">
        <v>3.8</v>
      </c>
      <c r="H901" s="223"/>
      <c r="I901" s="223"/>
      <c r="J901" s="223"/>
      <c r="K901" s="223"/>
      <c r="L901" s="223"/>
    </row>
    <row r="902" spans="1:12" ht="22.5" x14ac:dyDescent="0.2">
      <c r="A902" s="218"/>
      <c r="B902" s="224" t="s">
        <v>1664</v>
      </c>
      <c r="C902" s="220">
        <v>1777.3</v>
      </c>
      <c r="D902" s="220" t="s">
        <v>1977</v>
      </c>
      <c r="E902" s="220">
        <v>1777.3</v>
      </c>
      <c r="F902" s="220">
        <v>141.9</v>
      </c>
      <c r="G902" s="220">
        <v>3.7</v>
      </c>
      <c r="H902" s="220"/>
      <c r="I902" s="220"/>
      <c r="J902" s="220"/>
      <c r="K902" s="220"/>
      <c r="L902" s="220"/>
    </row>
    <row r="903" spans="1:12" x14ac:dyDescent="0.2">
      <c r="A903" s="221"/>
      <c r="B903" s="222" t="s">
        <v>215</v>
      </c>
      <c r="C903" s="223">
        <v>1778.8</v>
      </c>
      <c r="D903" s="223" t="s">
        <v>1982</v>
      </c>
      <c r="E903" s="223">
        <v>1778.8</v>
      </c>
      <c r="F903" s="223">
        <v>142</v>
      </c>
      <c r="G903" s="223">
        <v>1.4</v>
      </c>
      <c r="H903" s="223"/>
      <c r="I903" s="223"/>
      <c r="J903" s="223"/>
      <c r="K903" s="223"/>
      <c r="L903" s="223"/>
    </row>
    <row r="904" spans="1:12" x14ac:dyDescent="0.2">
      <c r="A904" s="218"/>
      <c r="B904" s="224" t="s">
        <v>1983</v>
      </c>
      <c r="C904" s="220">
        <v>1783.6</v>
      </c>
      <c r="D904" s="220" t="s">
        <v>1982</v>
      </c>
      <c r="E904" s="220">
        <v>1783.6</v>
      </c>
      <c r="F904" s="220">
        <v>142.5</v>
      </c>
      <c r="G904" s="220">
        <v>4.9000000000000004</v>
      </c>
      <c r="H904" s="220"/>
      <c r="I904" s="220"/>
      <c r="J904" s="220"/>
      <c r="K904" s="220"/>
      <c r="L904" s="220"/>
    </row>
    <row r="905" spans="1:12" x14ac:dyDescent="0.2">
      <c r="A905" s="221"/>
      <c r="B905" s="222" t="s">
        <v>1984</v>
      </c>
      <c r="C905" s="223">
        <v>1783.8</v>
      </c>
      <c r="D905" s="223" t="s">
        <v>1982</v>
      </c>
      <c r="E905" s="223">
        <v>1783.8</v>
      </c>
      <c r="F905" s="223">
        <v>142.5</v>
      </c>
      <c r="G905" s="223">
        <v>0.2</v>
      </c>
      <c r="H905" s="223"/>
      <c r="I905" s="223"/>
      <c r="J905" s="223"/>
      <c r="K905" s="223"/>
      <c r="L905" s="223"/>
    </row>
    <row r="906" spans="1:12" x14ac:dyDescent="0.2">
      <c r="A906" s="218"/>
      <c r="B906" s="224" t="s">
        <v>1985</v>
      </c>
      <c r="C906" s="220">
        <v>1786</v>
      </c>
      <c r="D906" s="220" t="s">
        <v>1982</v>
      </c>
      <c r="E906" s="220">
        <v>1786</v>
      </c>
      <c r="F906" s="220">
        <v>142.69999999999999</v>
      </c>
      <c r="G906" s="220">
        <v>2.2000000000000002</v>
      </c>
      <c r="H906" s="220"/>
      <c r="I906" s="220"/>
      <c r="J906" s="220"/>
      <c r="K906" s="220"/>
      <c r="L906" s="220"/>
    </row>
    <row r="907" spans="1:12" x14ac:dyDescent="0.2">
      <c r="A907" s="221"/>
      <c r="B907" s="222" t="s">
        <v>1986</v>
      </c>
      <c r="C907" s="223">
        <v>1788.8</v>
      </c>
      <c r="D907" s="223" t="s">
        <v>1982</v>
      </c>
      <c r="E907" s="223">
        <v>1788.8</v>
      </c>
      <c r="F907" s="223">
        <v>142.9</v>
      </c>
      <c r="G907" s="223">
        <v>2.8</v>
      </c>
      <c r="H907" s="223"/>
      <c r="I907" s="223"/>
      <c r="J907" s="223"/>
      <c r="K907" s="223"/>
      <c r="L907" s="223"/>
    </row>
    <row r="908" spans="1:12" x14ac:dyDescent="0.2">
      <c r="A908" s="218"/>
      <c r="B908" s="224" t="s">
        <v>1987</v>
      </c>
      <c r="C908" s="220">
        <v>1788.9</v>
      </c>
      <c r="D908" s="220" t="s">
        <v>1982</v>
      </c>
      <c r="E908" s="220">
        <v>1788.9</v>
      </c>
      <c r="F908" s="220">
        <v>142.9</v>
      </c>
      <c r="G908" s="220">
        <v>0.1</v>
      </c>
      <c r="H908" s="220"/>
      <c r="I908" s="220"/>
      <c r="J908" s="220"/>
      <c r="K908" s="220"/>
      <c r="L908" s="220"/>
    </row>
    <row r="909" spans="1:12" x14ac:dyDescent="0.2">
      <c r="A909" s="221"/>
      <c r="B909" s="222" t="s">
        <v>1988</v>
      </c>
      <c r="C909" s="223">
        <v>1793.7</v>
      </c>
      <c r="D909" s="223" t="s">
        <v>1989</v>
      </c>
      <c r="E909" s="223">
        <v>1793.7</v>
      </c>
      <c r="F909" s="223">
        <v>143.30000000000001</v>
      </c>
      <c r="G909" s="223">
        <v>4.9000000000000004</v>
      </c>
      <c r="H909" s="223"/>
      <c r="I909" s="223"/>
      <c r="J909" s="223"/>
      <c r="K909" s="223"/>
      <c r="L909" s="223"/>
    </row>
    <row r="910" spans="1:12" x14ac:dyDescent="0.2">
      <c r="A910" s="218"/>
      <c r="B910" s="224" t="s">
        <v>1990</v>
      </c>
      <c r="C910" s="220">
        <v>1793.8</v>
      </c>
      <c r="D910" s="220" t="s">
        <v>1989</v>
      </c>
      <c r="E910" s="220">
        <v>1793.8</v>
      </c>
      <c r="F910" s="220">
        <v>143.30000000000001</v>
      </c>
      <c r="G910" s="220">
        <v>0</v>
      </c>
      <c r="H910" s="220"/>
      <c r="I910" s="220"/>
      <c r="J910" s="220"/>
      <c r="K910" s="220"/>
      <c r="L910" s="220"/>
    </row>
    <row r="911" spans="1:12" x14ac:dyDescent="0.2">
      <c r="A911" s="221"/>
      <c r="B911" s="222" t="s">
        <v>1991</v>
      </c>
      <c r="C911" s="223">
        <v>1793.8</v>
      </c>
      <c r="D911" s="223" t="s">
        <v>1989</v>
      </c>
      <c r="E911" s="223">
        <v>1793.8</v>
      </c>
      <c r="F911" s="223">
        <v>143.30000000000001</v>
      </c>
      <c r="G911" s="223">
        <v>0</v>
      </c>
      <c r="H911" s="223"/>
      <c r="I911" s="223"/>
      <c r="J911" s="223"/>
      <c r="K911" s="223"/>
      <c r="L911" s="223"/>
    </row>
    <row r="912" spans="1:12" x14ac:dyDescent="0.2">
      <c r="A912" s="218"/>
      <c r="B912" s="224" t="s">
        <v>216</v>
      </c>
      <c r="C912" s="220">
        <v>1794.8</v>
      </c>
      <c r="D912" s="220" t="s">
        <v>1989</v>
      </c>
      <c r="E912" s="220">
        <v>1794.8</v>
      </c>
      <c r="F912" s="220">
        <v>143.4</v>
      </c>
      <c r="G912" s="220">
        <v>1</v>
      </c>
      <c r="H912" s="220"/>
      <c r="I912" s="220"/>
      <c r="J912" s="220"/>
      <c r="K912" s="220"/>
      <c r="L912" s="220"/>
    </row>
    <row r="913" spans="1:12" x14ac:dyDescent="0.2">
      <c r="A913" s="221"/>
      <c r="B913" s="222" t="s">
        <v>1992</v>
      </c>
      <c r="C913" s="223">
        <v>1794.9</v>
      </c>
      <c r="D913" s="223" t="s">
        <v>1989</v>
      </c>
      <c r="E913" s="223">
        <v>1794.9</v>
      </c>
      <c r="F913" s="223">
        <v>143.4</v>
      </c>
      <c r="G913" s="223">
        <v>0.1</v>
      </c>
      <c r="H913" s="223"/>
      <c r="I913" s="223"/>
      <c r="J913" s="223"/>
      <c r="K913" s="223"/>
      <c r="L913" s="223"/>
    </row>
    <row r="914" spans="1:12" x14ac:dyDescent="0.2">
      <c r="A914" s="218"/>
      <c r="B914" s="224" t="s">
        <v>1993</v>
      </c>
      <c r="C914" s="220">
        <v>1795.2</v>
      </c>
      <c r="D914" s="220" t="s">
        <v>1989</v>
      </c>
      <c r="E914" s="220">
        <v>1795.2</v>
      </c>
      <c r="F914" s="220">
        <v>143.5</v>
      </c>
      <c r="G914" s="220">
        <v>0.4</v>
      </c>
      <c r="H914" s="220"/>
      <c r="I914" s="220"/>
      <c r="J914" s="220"/>
      <c r="K914" s="220"/>
      <c r="L914" s="220"/>
    </row>
    <row r="915" spans="1:12" x14ac:dyDescent="0.2">
      <c r="A915" s="221"/>
      <c r="B915" s="222" t="s">
        <v>217</v>
      </c>
      <c r="C915" s="223">
        <v>1801.3</v>
      </c>
      <c r="D915" s="223" t="s">
        <v>1989</v>
      </c>
      <c r="E915" s="223">
        <v>1801.3</v>
      </c>
      <c r="F915" s="223">
        <v>144</v>
      </c>
      <c r="G915" s="223">
        <v>6.1</v>
      </c>
      <c r="H915" s="223"/>
      <c r="I915" s="223"/>
      <c r="J915" s="223"/>
      <c r="K915" s="223"/>
      <c r="L915" s="223"/>
    </row>
    <row r="916" spans="1:12" x14ac:dyDescent="0.2">
      <c r="A916" s="218"/>
      <c r="B916" s="224" t="s">
        <v>1994</v>
      </c>
      <c r="C916" s="220">
        <v>1802.6</v>
      </c>
      <c r="D916" s="220" t="s">
        <v>1995</v>
      </c>
      <c r="E916" s="220">
        <v>1802.6</v>
      </c>
      <c r="F916" s="220">
        <v>144.1</v>
      </c>
      <c r="G916" s="220">
        <v>1.3</v>
      </c>
      <c r="H916" s="220"/>
      <c r="I916" s="220"/>
      <c r="J916" s="220"/>
      <c r="K916" s="220"/>
      <c r="L916" s="220"/>
    </row>
    <row r="917" spans="1:12" ht="41.25" customHeight="1" x14ac:dyDescent="0.2">
      <c r="A917" s="228"/>
      <c r="B917" s="229" t="s">
        <v>1996</v>
      </c>
      <c r="C917" s="230">
        <v>1802.6</v>
      </c>
      <c r="D917" s="223" t="s">
        <v>1995</v>
      </c>
      <c r="E917" s="230">
        <v>1802.6</v>
      </c>
      <c r="F917" s="230">
        <v>144.1</v>
      </c>
      <c r="G917" s="230">
        <v>0.1</v>
      </c>
      <c r="H917" s="230">
        <v>52.5</v>
      </c>
      <c r="I917" s="230">
        <v>4.5999999999999996</v>
      </c>
      <c r="J917" s="230">
        <v>11.5</v>
      </c>
      <c r="K917" s="230">
        <v>7.7</v>
      </c>
      <c r="L917" s="230"/>
    </row>
    <row r="918" spans="1:12" x14ac:dyDescent="0.2">
      <c r="A918" s="228"/>
      <c r="B918" s="229"/>
      <c r="C918" s="230"/>
      <c r="D918" s="223" t="s">
        <v>1995</v>
      </c>
      <c r="E918" s="230"/>
      <c r="F918" s="230"/>
      <c r="G918" s="230"/>
      <c r="H918" s="230"/>
      <c r="I918" s="230"/>
      <c r="J918" s="230"/>
      <c r="K918" s="230"/>
      <c r="L918" s="230"/>
    </row>
    <row r="919" spans="1:12" x14ac:dyDescent="0.2">
      <c r="A919" s="218"/>
      <c r="B919" s="224" t="s">
        <v>1132</v>
      </c>
      <c r="C919" s="220">
        <v>1809.7</v>
      </c>
      <c r="D919" s="220" t="s">
        <v>1997</v>
      </c>
      <c r="E919" s="220">
        <v>1809.7</v>
      </c>
      <c r="F919" s="220">
        <v>145.30000000000001</v>
      </c>
      <c r="G919" s="220">
        <v>7.1</v>
      </c>
      <c r="H919" s="220"/>
      <c r="I919" s="220"/>
      <c r="J919" s="220"/>
      <c r="K919" s="220"/>
      <c r="L919" s="220"/>
    </row>
    <row r="920" spans="1:12" x14ac:dyDescent="0.2">
      <c r="A920" s="221"/>
      <c r="B920" s="222" t="s">
        <v>1998</v>
      </c>
      <c r="C920" s="223">
        <v>1813.4</v>
      </c>
      <c r="D920" s="223" t="s">
        <v>1997</v>
      </c>
      <c r="E920" s="223">
        <v>1813.4</v>
      </c>
      <c r="F920" s="223">
        <v>145.69999999999999</v>
      </c>
      <c r="G920" s="223">
        <v>3.7</v>
      </c>
      <c r="H920" s="223"/>
      <c r="I920" s="223"/>
      <c r="J920" s="223"/>
      <c r="K920" s="223"/>
      <c r="L920" s="223"/>
    </row>
    <row r="921" spans="1:12" x14ac:dyDescent="0.2">
      <c r="A921" s="218"/>
      <c r="B921" s="224" t="s">
        <v>1999</v>
      </c>
      <c r="C921" s="220">
        <v>1815.2</v>
      </c>
      <c r="D921" s="220" t="s">
        <v>1997</v>
      </c>
      <c r="E921" s="220">
        <v>1815.2</v>
      </c>
      <c r="F921" s="220">
        <v>145.80000000000001</v>
      </c>
      <c r="G921" s="220">
        <v>1.8</v>
      </c>
      <c r="H921" s="220"/>
      <c r="I921" s="220"/>
      <c r="J921" s="220"/>
      <c r="K921" s="220"/>
      <c r="L921" s="220"/>
    </row>
    <row r="922" spans="1:12" x14ac:dyDescent="0.2">
      <c r="A922" s="221"/>
      <c r="B922" s="222" t="s">
        <v>2000</v>
      </c>
      <c r="C922" s="223">
        <v>1817.9</v>
      </c>
      <c r="D922" s="223" t="s">
        <v>2001</v>
      </c>
      <c r="E922" s="223">
        <v>1817.9</v>
      </c>
      <c r="F922" s="223">
        <v>146.1</v>
      </c>
      <c r="G922" s="223">
        <v>2.7</v>
      </c>
      <c r="H922" s="223"/>
      <c r="I922" s="223"/>
      <c r="J922" s="223"/>
      <c r="K922" s="223"/>
      <c r="L922" s="223"/>
    </row>
    <row r="923" spans="1:12" x14ac:dyDescent="0.2">
      <c r="A923" s="218"/>
      <c r="B923" s="224" t="s">
        <v>2000</v>
      </c>
      <c r="C923" s="220">
        <v>1818</v>
      </c>
      <c r="D923" s="220" t="s">
        <v>2001</v>
      </c>
      <c r="E923" s="220">
        <v>1818</v>
      </c>
      <c r="F923" s="220">
        <v>146.1</v>
      </c>
      <c r="G923" s="220">
        <v>0.1</v>
      </c>
      <c r="H923" s="220"/>
      <c r="I923" s="220"/>
      <c r="J923" s="220"/>
      <c r="K923" s="220"/>
      <c r="L923" s="220"/>
    </row>
    <row r="924" spans="1:12" x14ac:dyDescent="0.2">
      <c r="A924" s="221"/>
      <c r="B924" s="222" t="s">
        <v>2002</v>
      </c>
      <c r="C924" s="223">
        <v>1818.1</v>
      </c>
      <c r="D924" s="223" t="s">
        <v>2001</v>
      </c>
      <c r="E924" s="223">
        <v>1818</v>
      </c>
      <c r="F924" s="223">
        <v>146.1</v>
      </c>
      <c r="G924" s="223">
        <v>0</v>
      </c>
      <c r="H924" s="223"/>
      <c r="I924" s="223"/>
      <c r="J924" s="223"/>
      <c r="K924" s="223"/>
      <c r="L924" s="223"/>
    </row>
    <row r="925" spans="1:12" x14ac:dyDescent="0.2">
      <c r="A925" s="218"/>
      <c r="B925" s="224" t="s">
        <v>2003</v>
      </c>
      <c r="C925" s="220">
        <v>1827.7</v>
      </c>
      <c r="D925" s="220" t="s">
        <v>2004</v>
      </c>
      <c r="E925" s="220">
        <v>1827.7</v>
      </c>
      <c r="F925" s="220">
        <v>147.1</v>
      </c>
      <c r="G925" s="220">
        <v>9.6999999999999993</v>
      </c>
      <c r="H925" s="220"/>
      <c r="I925" s="220"/>
      <c r="J925" s="220"/>
      <c r="K925" s="220"/>
      <c r="L925" s="220"/>
    </row>
    <row r="926" spans="1:12" x14ac:dyDescent="0.2">
      <c r="A926" s="221"/>
      <c r="B926" s="222" t="s">
        <v>2005</v>
      </c>
      <c r="C926" s="223">
        <v>1830.3</v>
      </c>
      <c r="D926" s="223" t="s">
        <v>2004</v>
      </c>
      <c r="E926" s="223">
        <v>1830.3</v>
      </c>
      <c r="F926" s="223">
        <v>147.30000000000001</v>
      </c>
      <c r="G926" s="223">
        <v>2.6</v>
      </c>
      <c r="H926" s="223"/>
      <c r="I926" s="223"/>
      <c r="J926" s="223"/>
      <c r="K926" s="223"/>
      <c r="L926" s="223"/>
    </row>
    <row r="927" spans="1:12" x14ac:dyDescent="0.2">
      <c r="A927" s="218"/>
      <c r="B927" s="224" t="s">
        <v>2006</v>
      </c>
      <c r="C927" s="220">
        <v>1833.1</v>
      </c>
      <c r="D927" s="220" t="s">
        <v>2004</v>
      </c>
      <c r="E927" s="220">
        <v>1833.1</v>
      </c>
      <c r="F927" s="220">
        <v>147.6</v>
      </c>
      <c r="G927" s="220">
        <v>2.7</v>
      </c>
      <c r="H927" s="220"/>
      <c r="I927" s="220"/>
      <c r="J927" s="220"/>
      <c r="K927" s="220"/>
      <c r="L927" s="220"/>
    </row>
    <row r="928" spans="1:12" x14ac:dyDescent="0.2">
      <c r="A928" s="221"/>
      <c r="B928" s="222" t="s">
        <v>2007</v>
      </c>
      <c r="C928" s="223">
        <v>1836.8</v>
      </c>
      <c r="D928" s="223" t="s">
        <v>2004</v>
      </c>
      <c r="E928" s="223">
        <v>1836.8</v>
      </c>
      <c r="F928" s="223">
        <v>147.9</v>
      </c>
      <c r="G928" s="223">
        <v>3.8</v>
      </c>
      <c r="H928" s="223"/>
      <c r="I928" s="223"/>
      <c r="J928" s="223"/>
      <c r="K928" s="223"/>
      <c r="L928" s="223"/>
    </row>
    <row r="929" spans="1:12" x14ac:dyDescent="0.2">
      <c r="A929" s="218"/>
      <c r="B929" s="224" t="s">
        <v>2008</v>
      </c>
      <c r="C929" s="220">
        <v>1841.8</v>
      </c>
      <c r="D929" s="220" t="s">
        <v>2009</v>
      </c>
      <c r="E929" s="220">
        <v>1841.8</v>
      </c>
      <c r="F929" s="220">
        <v>148.4</v>
      </c>
      <c r="G929" s="220">
        <v>4.9000000000000004</v>
      </c>
      <c r="H929" s="220"/>
      <c r="I929" s="220"/>
      <c r="J929" s="220"/>
      <c r="K929" s="220"/>
      <c r="L929" s="220"/>
    </row>
    <row r="930" spans="1:12" x14ac:dyDescent="0.2">
      <c r="A930" s="221"/>
      <c r="B930" s="222" t="s">
        <v>2010</v>
      </c>
      <c r="C930" s="223">
        <v>1844.4</v>
      </c>
      <c r="D930" s="223" t="s">
        <v>2009</v>
      </c>
      <c r="E930" s="223">
        <v>1844.4</v>
      </c>
      <c r="F930" s="223">
        <v>148.69999999999999</v>
      </c>
      <c r="G930" s="223">
        <v>2.7</v>
      </c>
      <c r="H930" s="223"/>
      <c r="I930" s="223"/>
      <c r="J930" s="223"/>
      <c r="K930" s="223"/>
      <c r="L930" s="223"/>
    </row>
    <row r="931" spans="1:12" x14ac:dyDescent="0.2">
      <c r="A931" s="218"/>
      <c r="B931" s="224" t="s">
        <v>2011</v>
      </c>
      <c r="C931" s="220">
        <v>1844.7</v>
      </c>
      <c r="D931" s="220" t="s">
        <v>2009</v>
      </c>
      <c r="E931" s="220">
        <v>1844.7</v>
      </c>
      <c r="F931" s="220">
        <v>148.69999999999999</v>
      </c>
      <c r="G931" s="220">
        <v>0.3</v>
      </c>
      <c r="H931" s="220"/>
      <c r="I931" s="220"/>
      <c r="J931" s="220"/>
      <c r="K931" s="220"/>
      <c r="L931" s="220"/>
    </row>
    <row r="932" spans="1:12" x14ac:dyDescent="0.2">
      <c r="A932" s="221"/>
      <c r="B932" s="222" t="s">
        <v>2012</v>
      </c>
      <c r="C932" s="223">
        <v>1844.8</v>
      </c>
      <c r="D932" s="223" t="s">
        <v>2009</v>
      </c>
      <c r="E932" s="223">
        <v>1844.8</v>
      </c>
      <c r="F932" s="223">
        <v>148.69999999999999</v>
      </c>
      <c r="G932" s="223">
        <v>0</v>
      </c>
      <c r="H932" s="223"/>
      <c r="I932" s="223"/>
      <c r="J932" s="223"/>
      <c r="K932" s="223"/>
      <c r="L932" s="223"/>
    </row>
    <row r="933" spans="1:12" x14ac:dyDescent="0.2">
      <c r="A933" s="218"/>
      <c r="B933" s="224" t="s">
        <v>2013</v>
      </c>
      <c r="C933" s="220">
        <v>1850.7</v>
      </c>
      <c r="D933" s="220" t="s">
        <v>2014</v>
      </c>
      <c r="E933" s="220">
        <v>1850.7</v>
      </c>
      <c r="F933" s="220">
        <v>149.30000000000001</v>
      </c>
      <c r="G933" s="220">
        <v>6</v>
      </c>
      <c r="H933" s="220"/>
      <c r="I933" s="220"/>
      <c r="J933" s="220"/>
      <c r="K933" s="220"/>
      <c r="L933" s="220"/>
    </row>
    <row r="934" spans="1:12" ht="22.5" x14ac:dyDescent="0.2">
      <c r="A934" s="221"/>
      <c r="B934" s="222" t="s">
        <v>2015</v>
      </c>
      <c r="C934" s="223">
        <v>1855.6</v>
      </c>
      <c r="D934" s="223" t="s">
        <v>2014</v>
      </c>
      <c r="E934" s="223">
        <v>1855.6</v>
      </c>
      <c r="F934" s="223">
        <v>149.80000000000001</v>
      </c>
      <c r="G934" s="223">
        <v>4.8</v>
      </c>
      <c r="H934" s="223"/>
      <c r="I934" s="223"/>
      <c r="J934" s="223"/>
      <c r="K934" s="223"/>
      <c r="L934" s="223"/>
    </row>
    <row r="935" spans="1:12" x14ac:dyDescent="0.2">
      <c r="A935" s="218"/>
      <c r="B935" s="224" t="s">
        <v>2016</v>
      </c>
      <c r="C935" s="220">
        <v>1856.9</v>
      </c>
      <c r="D935" s="220" t="s">
        <v>2014</v>
      </c>
      <c r="E935" s="220">
        <v>1856.9</v>
      </c>
      <c r="F935" s="220">
        <v>149.9</v>
      </c>
      <c r="G935" s="220">
        <v>1.3</v>
      </c>
      <c r="H935" s="220"/>
      <c r="I935" s="220"/>
      <c r="J935" s="220"/>
      <c r="K935" s="220"/>
      <c r="L935" s="220"/>
    </row>
    <row r="936" spans="1:12" x14ac:dyDescent="0.2">
      <c r="A936" s="221"/>
      <c r="B936" s="222" t="s">
        <v>2017</v>
      </c>
      <c r="C936" s="223">
        <v>1862.4</v>
      </c>
      <c r="D936" s="223" t="s">
        <v>2018</v>
      </c>
      <c r="E936" s="223">
        <v>1862.4</v>
      </c>
      <c r="F936" s="223">
        <v>150.4</v>
      </c>
      <c r="G936" s="223">
        <v>5.5</v>
      </c>
      <c r="H936" s="223"/>
      <c r="I936" s="223"/>
      <c r="J936" s="223"/>
      <c r="K936" s="223"/>
      <c r="L936" s="223"/>
    </row>
    <row r="937" spans="1:12" ht="22.5" x14ac:dyDescent="0.2">
      <c r="A937" s="218"/>
      <c r="B937" s="224" t="s">
        <v>1227</v>
      </c>
      <c r="C937" s="220">
        <v>1867.8</v>
      </c>
      <c r="D937" s="220" t="s">
        <v>2018</v>
      </c>
      <c r="E937" s="220">
        <v>1867.8</v>
      </c>
      <c r="F937" s="220">
        <v>151</v>
      </c>
      <c r="G937" s="220">
        <v>5.4</v>
      </c>
      <c r="H937" s="220"/>
      <c r="I937" s="220"/>
      <c r="J937" s="220"/>
      <c r="K937" s="220"/>
      <c r="L937" s="220"/>
    </row>
    <row r="938" spans="1:12" x14ac:dyDescent="0.2">
      <c r="A938" s="221"/>
      <c r="B938" s="222" t="s">
        <v>2019</v>
      </c>
      <c r="C938" s="223">
        <v>1869.7</v>
      </c>
      <c r="D938" s="223" t="s">
        <v>2020</v>
      </c>
      <c r="E938" s="223">
        <v>1869.7</v>
      </c>
      <c r="F938" s="223">
        <v>151.1</v>
      </c>
      <c r="G938" s="223">
        <v>1.9</v>
      </c>
      <c r="H938" s="223"/>
      <c r="I938" s="223"/>
      <c r="J938" s="223"/>
      <c r="K938" s="223"/>
      <c r="L938" s="223"/>
    </row>
    <row r="939" spans="1:12" x14ac:dyDescent="0.2">
      <c r="A939" s="218"/>
      <c r="B939" s="224" t="s">
        <v>1630</v>
      </c>
      <c r="C939" s="220">
        <v>1869.8</v>
      </c>
      <c r="D939" s="220" t="s">
        <v>2020</v>
      </c>
      <c r="E939" s="220">
        <v>1869.7</v>
      </c>
      <c r="F939" s="220">
        <v>151.1</v>
      </c>
      <c r="G939" s="220">
        <v>0.1</v>
      </c>
      <c r="H939" s="220"/>
      <c r="I939" s="220"/>
      <c r="J939" s="220"/>
      <c r="K939" s="220"/>
      <c r="L939" s="220"/>
    </row>
    <row r="940" spans="1:12" x14ac:dyDescent="0.2">
      <c r="A940" s="221"/>
      <c r="B940" s="222" t="s">
        <v>2021</v>
      </c>
      <c r="C940" s="223">
        <v>1875.1</v>
      </c>
      <c r="D940" s="223" t="s">
        <v>2020</v>
      </c>
      <c r="E940" s="223">
        <v>1875.1</v>
      </c>
      <c r="F940" s="223">
        <v>151.69999999999999</v>
      </c>
      <c r="G940" s="223">
        <v>5.4</v>
      </c>
      <c r="H940" s="223"/>
      <c r="I940" s="223"/>
      <c r="J940" s="223"/>
      <c r="K940" s="223"/>
      <c r="L940" s="223"/>
    </row>
    <row r="941" spans="1:12" x14ac:dyDescent="0.2">
      <c r="A941" s="218"/>
      <c r="B941" s="224" t="s">
        <v>2022</v>
      </c>
      <c r="C941" s="220">
        <v>1882.1</v>
      </c>
      <c r="D941" s="220" t="s">
        <v>2023</v>
      </c>
      <c r="E941" s="220">
        <v>1882.1</v>
      </c>
      <c r="F941" s="220">
        <v>152.4</v>
      </c>
      <c r="G941" s="220">
        <v>7</v>
      </c>
      <c r="H941" s="220"/>
      <c r="I941" s="220"/>
      <c r="J941" s="220"/>
      <c r="K941" s="220"/>
      <c r="L941" s="220"/>
    </row>
    <row r="942" spans="1:12" x14ac:dyDescent="0.2">
      <c r="A942" s="221"/>
      <c r="B942" s="222" t="s">
        <v>223</v>
      </c>
      <c r="C942" s="223">
        <v>1887.6</v>
      </c>
      <c r="D942" s="223" t="s">
        <v>2023</v>
      </c>
      <c r="E942" s="223">
        <v>1887.6</v>
      </c>
      <c r="F942" s="223">
        <v>152.9</v>
      </c>
      <c r="G942" s="223">
        <v>5.5</v>
      </c>
      <c r="H942" s="223"/>
      <c r="I942" s="223"/>
      <c r="J942" s="223"/>
      <c r="K942" s="223"/>
      <c r="L942" s="223"/>
    </row>
    <row r="943" spans="1:12" x14ac:dyDescent="0.2">
      <c r="A943" s="218"/>
      <c r="B943" s="224" t="s">
        <v>2024</v>
      </c>
      <c r="C943" s="220">
        <v>1889.3</v>
      </c>
      <c r="D943" s="220" t="s">
        <v>2025</v>
      </c>
      <c r="E943" s="220">
        <v>1889.3</v>
      </c>
      <c r="F943" s="220">
        <v>153.1</v>
      </c>
      <c r="G943" s="220">
        <v>1.7</v>
      </c>
      <c r="H943" s="220"/>
      <c r="I943" s="220"/>
      <c r="J943" s="220"/>
      <c r="K943" s="220"/>
      <c r="L943" s="220"/>
    </row>
    <row r="944" spans="1:12" x14ac:dyDescent="0.2">
      <c r="A944" s="221"/>
      <c r="B944" s="222" t="s">
        <v>2026</v>
      </c>
      <c r="C944" s="223">
        <v>1889.3</v>
      </c>
      <c r="D944" s="223" t="s">
        <v>2025</v>
      </c>
      <c r="E944" s="223">
        <v>1889.3</v>
      </c>
      <c r="F944" s="223">
        <v>153.1</v>
      </c>
      <c r="G944" s="223">
        <v>0</v>
      </c>
      <c r="H944" s="223"/>
      <c r="I944" s="223"/>
      <c r="J944" s="223"/>
      <c r="K944" s="223"/>
      <c r="L944" s="223"/>
    </row>
    <row r="945" spans="1:12" ht="41.25" customHeight="1" x14ac:dyDescent="0.2">
      <c r="A945" s="231"/>
      <c r="B945" s="232" t="s">
        <v>2027</v>
      </c>
      <c r="C945" s="233">
        <v>1889.4</v>
      </c>
      <c r="D945" s="220" t="s">
        <v>2025</v>
      </c>
      <c r="E945" s="233">
        <v>1889.4</v>
      </c>
      <c r="F945" s="233">
        <v>153.1</v>
      </c>
      <c r="G945" s="233">
        <v>0.1</v>
      </c>
      <c r="H945" s="233">
        <v>86.8</v>
      </c>
      <c r="I945" s="235">
        <v>8.5</v>
      </c>
      <c r="J945" s="233">
        <v>10.3</v>
      </c>
      <c r="K945" s="233">
        <v>8.5</v>
      </c>
      <c r="L945" s="233"/>
    </row>
    <row r="946" spans="1:12" x14ac:dyDescent="0.2">
      <c r="A946" s="231"/>
      <c r="B946" s="232"/>
      <c r="C946" s="233"/>
      <c r="D946" s="220" t="s">
        <v>2025</v>
      </c>
      <c r="E946" s="233"/>
      <c r="F946" s="233"/>
      <c r="G946" s="233"/>
      <c r="H946" s="233"/>
      <c r="I946" s="235"/>
      <c r="J946" s="233"/>
      <c r="K946" s="233"/>
      <c r="L946" s="233"/>
    </row>
    <row r="947" spans="1:12" ht="22.5" x14ac:dyDescent="0.2">
      <c r="A947" s="221"/>
      <c r="B947" s="222" t="s">
        <v>1664</v>
      </c>
      <c r="C947" s="223">
        <v>1890.2</v>
      </c>
      <c r="D947" s="223" t="s">
        <v>2025</v>
      </c>
      <c r="E947" s="223">
        <v>1890.2</v>
      </c>
      <c r="F947" s="223">
        <v>153.69999999999999</v>
      </c>
      <c r="G947" s="223">
        <v>0.8</v>
      </c>
      <c r="H947" s="223"/>
      <c r="I947" s="223"/>
      <c r="J947" s="223"/>
      <c r="K947" s="223"/>
      <c r="L947" s="223"/>
    </row>
    <row r="948" spans="1:12" x14ac:dyDescent="0.2">
      <c r="A948" s="218"/>
      <c r="B948" s="224" t="s">
        <v>2028</v>
      </c>
      <c r="C948" s="220">
        <v>1900.7</v>
      </c>
      <c r="D948" s="220" t="s">
        <v>2029</v>
      </c>
      <c r="E948" s="220">
        <v>1900.7</v>
      </c>
      <c r="F948" s="220">
        <v>155</v>
      </c>
      <c r="G948" s="220">
        <v>10.4</v>
      </c>
      <c r="H948" s="220"/>
      <c r="I948" s="220"/>
      <c r="J948" s="220"/>
      <c r="K948" s="220"/>
      <c r="L948" s="220"/>
    </row>
    <row r="949" spans="1:12" x14ac:dyDescent="0.2">
      <c r="A949" s="221"/>
      <c r="B949" s="222" t="s">
        <v>224</v>
      </c>
      <c r="C949" s="223">
        <v>1905.4</v>
      </c>
      <c r="D949" s="223" t="s">
        <v>2029</v>
      </c>
      <c r="E949" s="223">
        <v>1905.4</v>
      </c>
      <c r="F949" s="223">
        <v>155.6</v>
      </c>
      <c r="G949" s="223">
        <v>4.8</v>
      </c>
      <c r="H949" s="223"/>
      <c r="I949" s="223"/>
      <c r="J949" s="223"/>
      <c r="K949" s="223"/>
      <c r="L949" s="223"/>
    </row>
    <row r="950" spans="1:12" x14ac:dyDescent="0.2">
      <c r="A950" s="218"/>
      <c r="B950" s="224" t="s">
        <v>2030</v>
      </c>
      <c r="C950" s="220">
        <v>1909.7</v>
      </c>
      <c r="D950" s="220" t="s">
        <v>2031</v>
      </c>
      <c r="E950" s="220">
        <v>1909.7</v>
      </c>
      <c r="F950" s="220">
        <v>156.19999999999999</v>
      </c>
      <c r="G950" s="220">
        <v>4.3</v>
      </c>
      <c r="H950" s="220"/>
      <c r="I950" s="220"/>
      <c r="J950" s="220"/>
      <c r="K950" s="220"/>
      <c r="L950" s="220"/>
    </row>
    <row r="951" spans="1:12" x14ac:dyDescent="0.2">
      <c r="A951" s="221"/>
      <c r="B951" s="222" t="s">
        <v>2032</v>
      </c>
      <c r="C951" s="223">
        <v>1914.2</v>
      </c>
      <c r="D951" s="223" t="s">
        <v>2031</v>
      </c>
      <c r="E951" s="223">
        <v>1914.2</v>
      </c>
      <c r="F951" s="223">
        <v>156.69999999999999</v>
      </c>
      <c r="G951" s="223">
        <v>4.5</v>
      </c>
      <c r="H951" s="223"/>
      <c r="I951" s="223"/>
      <c r="J951" s="223"/>
      <c r="K951" s="223"/>
      <c r="L951" s="223"/>
    </row>
    <row r="952" spans="1:12" x14ac:dyDescent="0.2">
      <c r="A952" s="218"/>
      <c r="B952" s="224" t="s">
        <v>2033</v>
      </c>
      <c r="C952" s="220">
        <v>1918.6</v>
      </c>
      <c r="D952" s="220" t="s">
        <v>2034</v>
      </c>
      <c r="E952" s="220">
        <v>1918.6</v>
      </c>
      <c r="F952" s="220">
        <v>157.30000000000001</v>
      </c>
      <c r="G952" s="220">
        <v>4.4000000000000004</v>
      </c>
      <c r="H952" s="220"/>
      <c r="I952" s="220"/>
      <c r="J952" s="220"/>
      <c r="K952" s="220"/>
      <c r="L952" s="220"/>
    </row>
    <row r="953" spans="1:12" x14ac:dyDescent="0.2">
      <c r="A953" s="221"/>
      <c r="B953" s="222" t="s">
        <v>2035</v>
      </c>
      <c r="C953" s="223">
        <v>1918.7</v>
      </c>
      <c r="D953" s="223" t="s">
        <v>2034</v>
      </c>
      <c r="E953" s="223">
        <v>1918.7</v>
      </c>
      <c r="F953" s="223">
        <v>157.30000000000001</v>
      </c>
      <c r="G953" s="223">
        <v>0.1</v>
      </c>
      <c r="H953" s="223"/>
      <c r="I953" s="223"/>
      <c r="J953" s="223"/>
      <c r="K953" s="223"/>
      <c r="L953" s="223"/>
    </row>
    <row r="954" spans="1:12" x14ac:dyDescent="0.2">
      <c r="A954" s="218"/>
      <c r="B954" s="224" t="s">
        <v>225</v>
      </c>
      <c r="C954" s="220">
        <v>1921</v>
      </c>
      <c r="D954" s="220" t="s">
        <v>2034</v>
      </c>
      <c r="E954" s="220">
        <v>1921</v>
      </c>
      <c r="F954" s="220">
        <v>157.6</v>
      </c>
      <c r="G954" s="220">
        <v>2.2999999999999998</v>
      </c>
      <c r="H954" s="220"/>
      <c r="I954" s="220"/>
      <c r="J954" s="220"/>
      <c r="K954" s="220"/>
      <c r="L954" s="220"/>
    </row>
    <row r="955" spans="1:12" x14ac:dyDescent="0.2">
      <c r="A955" s="221"/>
      <c r="B955" s="222" t="s">
        <v>226</v>
      </c>
      <c r="C955" s="223">
        <v>1924.3</v>
      </c>
      <c r="D955" s="223" t="s">
        <v>2036</v>
      </c>
      <c r="E955" s="223">
        <v>1924.3</v>
      </c>
      <c r="F955" s="223">
        <v>158</v>
      </c>
      <c r="G955" s="223">
        <v>3.3</v>
      </c>
      <c r="H955" s="223"/>
      <c r="I955" s="223"/>
      <c r="J955" s="223"/>
      <c r="K955" s="223"/>
      <c r="L955" s="223"/>
    </row>
    <row r="956" spans="1:12" x14ac:dyDescent="0.2">
      <c r="A956" s="218"/>
      <c r="B956" s="224" t="s">
        <v>2037</v>
      </c>
      <c r="C956" s="220">
        <v>1928.7</v>
      </c>
      <c r="D956" s="220" t="s">
        <v>2036</v>
      </c>
      <c r="E956" s="220">
        <v>1928.7</v>
      </c>
      <c r="F956" s="220">
        <v>158.6</v>
      </c>
      <c r="G956" s="220">
        <v>4.4000000000000004</v>
      </c>
      <c r="H956" s="220"/>
      <c r="I956" s="220"/>
      <c r="J956" s="220"/>
      <c r="K956" s="220"/>
      <c r="L956" s="220"/>
    </row>
    <row r="957" spans="1:12" ht="41.25" customHeight="1" x14ac:dyDescent="0.2">
      <c r="A957" s="228"/>
      <c r="B957" s="229" t="s">
        <v>2038</v>
      </c>
      <c r="C957" s="230">
        <v>1928.7</v>
      </c>
      <c r="D957" s="223" t="s">
        <v>2036</v>
      </c>
      <c r="E957" s="230">
        <v>1928.7</v>
      </c>
      <c r="F957" s="230">
        <v>158.6</v>
      </c>
      <c r="G957" s="230">
        <v>0</v>
      </c>
      <c r="H957" s="230">
        <v>39.299999999999997</v>
      </c>
      <c r="I957" s="230">
        <v>5</v>
      </c>
      <c r="J957" s="230">
        <v>7.8</v>
      </c>
      <c r="K957" s="230">
        <v>10</v>
      </c>
      <c r="L957" s="230"/>
    </row>
    <row r="958" spans="1:12" x14ac:dyDescent="0.2">
      <c r="A958" s="228"/>
      <c r="B958" s="229"/>
      <c r="C958" s="230"/>
      <c r="D958" s="223" t="s">
        <v>2039</v>
      </c>
      <c r="E958" s="230"/>
      <c r="F958" s="230"/>
      <c r="G958" s="230"/>
      <c r="H958" s="230"/>
      <c r="I958" s="230"/>
      <c r="J958" s="230"/>
      <c r="K958" s="230"/>
      <c r="L958" s="230"/>
    </row>
    <row r="959" spans="1:12" x14ac:dyDescent="0.2">
      <c r="A959" s="218"/>
      <c r="B959" s="224" t="s">
        <v>227</v>
      </c>
      <c r="C959" s="220">
        <v>1934.5</v>
      </c>
      <c r="D959" s="220" t="s">
        <v>2039</v>
      </c>
      <c r="E959" s="220">
        <v>1934.5</v>
      </c>
      <c r="F959" s="220">
        <v>159.6</v>
      </c>
      <c r="G959" s="220">
        <v>5.8</v>
      </c>
      <c r="H959" s="220"/>
      <c r="I959" s="220"/>
      <c r="J959" s="220"/>
      <c r="K959" s="220"/>
      <c r="L959" s="220"/>
    </row>
    <row r="960" spans="1:12" x14ac:dyDescent="0.2">
      <c r="A960" s="221"/>
      <c r="B960" s="222" t="s">
        <v>228</v>
      </c>
      <c r="C960" s="223">
        <v>1946.6</v>
      </c>
      <c r="D960" s="223" t="s">
        <v>2040</v>
      </c>
      <c r="E960" s="223">
        <v>1946.6</v>
      </c>
      <c r="F960" s="223">
        <v>160.6</v>
      </c>
      <c r="G960" s="223">
        <v>12.1</v>
      </c>
      <c r="H960" s="223"/>
      <c r="I960" s="223"/>
      <c r="J960" s="223"/>
      <c r="K960" s="223"/>
      <c r="L960" s="223"/>
    </row>
    <row r="961" spans="1:12" x14ac:dyDescent="0.2">
      <c r="A961" s="218"/>
      <c r="B961" s="224" t="s">
        <v>1790</v>
      </c>
      <c r="C961" s="220">
        <v>1951.1</v>
      </c>
      <c r="D961" s="220" t="s">
        <v>2040</v>
      </c>
      <c r="E961" s="220">
        <v>1951.1</v>
      </c>
      <c r="F961" s="220">
        <v>160.9</v>
      </c>
      <c r="G961" s="220">
        <v>4.5</v>
      </c>
      <c r="H961" s="220"/>
      <c r="I961" s="220"/>
      <c r="J961" s="220"/>
      <c r="K961" s="220"/>
      <c r="L961" s="220"/>
    </row>
    <row r="962" spans="1:12" x14ac:dyDescent="0.2">
      <c r="A962" s="221"/>
      <c r="B962" s="222" t="s">
        <v>229</v>
      </c>
      <c r="C962" s="223">
        <v>1954.7</v>
      </c>
      <c r="D962" s="223" t="s">
        <v>2041</v>
      </c>
      <c r="E962" s="223">
        <v>1954.7</v>
      </c>
      <c r="F962" s="223">
        <v>161.19999999999999</v>
      </c>
      <c r="G962" s="223">
        <v>3.6</v>
      </c>
      <c r="H962" s="223"/>
      <c r="I962" s="223"/>
      <c r="J962" s="223"/>
      <c r="K962" s="223"/>
      <c r="L962" s="223"/>
    </row>
    <row r="963" spans="1:12" x14ac:dyDescent="0.2">
      <c r="A963" s="218"/>
      <c r="B963" s="224" t="s">
        <v>2042</v>
      </c>
      <c r="C963" s="220">
        <v>1963.8</v>
      </c>
      <c r="D963" s="220" t="s">
        <v>2041</v>
      </c>
      <c r="E963" s="220">
        <v>1963.8</v>
      </c>
      <c r="F963" s="220">
        <v>162</v>
      </c>
      <c r="G963" s="220">
        <v>9.1</v>
      </c>
      <c r="H963" s="220"/>
      <c r="I963" s="220"/>
      <c r="J963" s="220"/>
      <c r="K963" s="220"/>
      <c r="L963" s="220"/>
    </row>
    <row r="964" spans="1:12" ht="22.5" x14ac:dyDescent="0.2">
      <c r="A964" s="221"/>
      <c r="B964" s="222" t="s">
        <v>2043</v>
      </c>
      <c r="C964" s="223">
        <v>1963.8</v>
      </c>
      <c r="D964" s="223" t="s">
        <v>2041</v>
      </c>
      <c r="E964" s="223">
        <v>1963.8</v>
      </c>
      <c r="F964" s="223">
        <v>162</v>
      </c>
      <c r="G964" s="223">
        <v>0</v>
      </c>
      <c r="H964" s="223"/>
      <c r="I964" s="223"/>
      <c r="J964" s="223"/>
      <c r="K964" s="223"/>
      <c r="L964" s="223"/>
    </row>
    <row r="965" spans="1:12" x14ac:dyDescent="0.2">
      <c r="A965" s="218"/>
      <c r="B965" s="224" t="s">
        <v>230</v>
      </c>
      <c r="C965" s="220">
        <v>1965.6</v>
      </c>
      <c r="D965" s="220" t="s">
        <v>2044</v>
      </c>
      <c r="E965" s="220">
        <v>1965.6</v>
      </c>
      <c r="F965" s="220">
        <v>162.1</v>
      </c>
      <c r="G965" s="220">
        <v>1.8</v>
      </c>
      <c r="H965" s="220"/>
      <c r="I965" s="220"/>
      <c r="J965" s="220"/>
      <c r="K965" s="220"/>
      <c r="L965" s="220"/>
    </row>
    <row r="966" spans="1:12" x14ac:dyDescent="0.2">
      <c r="A966" s="221"/>
      <c r="B966" s="222" t="s">
        <v>811</v>
      </c>
      <c r="C966" s="223">
        <v>1974</v>
      </c>
      <c r="D966" s="223" t="s">
        <v>2044</v>
      </c>
      <c r="E966" s="223">
        <v>1974</v>
      </c>
      <c r="F966" s="223">
        <v>162.80000000000001</v>
      </c>
      <c r="G966" s="223">
        <v>8.3000000000000007</v>
      </c>
      <c r="H966" s="223"/>
      <c r="I966" s="223"/>
      <c r="J966" s="223"/>
      <c r="K966" s="223"/>
      <c r="L966" s="223"/>
    </row>
    <row r="967" spans="1:12" x14ac:dyDescent="0.2">
      <c r="A967" s="218"/>
      <c r="B967" s="224" t="s">
        <v>231</v>
      </c>
      <c r="C967" s="220">
        <v>1981.7</v>
      </c>
      <c r="D967" s="220" t="s">
        <v>2045</v>
      </c>
      <c r="E967" s="220">
        <v>1981.7</v>
      </c>
      <c r="F967" s="220">
        <v>163.5</v>
      </c>
      <c r="G967" s="220">
        <v>7.7</v>
      </c>
      <c r="H967" s="220"/>
      <c r="I967" s="220"/>
      <c r="J967" s="220"/>
      <c r="K967" s="220"/>
      <c r="L967" s="220"/>
    </row>
    <row r="968" spans="1:12" ht="22.5" x14ac:dyDescent="0.2">
      <c r="A968" s="221"/>
      <c r="B968" s="222" t="s">
        <v>2046</v>
      </c>
      <c r="C968" s="223">
        <v>1986.7</v>
      </c>
      <c r="D968" s="223" t="s">
        <v>2045</v>
      </c>
      <c r="E968" s="223">
        <v>1986.7</v>
      </c>
      <c r="F968" s="223">
        <v>163.9</v>
      </c>
      <c r="G968" s="223">
        <v>5</v>
      </c>
      <c r="H968" s="223"/>
      <c r="I968" s="223"/>
      <c r="J968" s="223"/>
      <c r="K968" s="223"/>
      <c r="L968" s="223"/>
    </row>
    <row r="969" spans="1:12" ht="22.5" x14ac:dyDescent="0.2">
      <c r="A969" s="218"/>
      <c r="B969" s="224" t="s">
        <v>2047</v>
      </c>
      <c r="C969" s="220">
        <v>1986.7</v>
      </c>
      <c r="D969" s="220" t="s">
        <v>2045</v>
      </c>
      <c r="E969" s="220">
        <v>1986.7</v>
      </c>
      <c r="F969" s="220">
        <v>163.9</v>
      </c>
      <c r="G969" s="220">
        <v>0</v>
      </c>
      <c r="H969" s="220"/>
      <c r="I969" s="220"/>
      <c r="J969" s="220"/>
      <c r="K969" s="220"/>
      <c r="L969" s="220"/>
    </row>
    <row r="970" spans="1:12" x14ac:dyDescent="0.2">
      <c r="A970" s="221"/>
      <c r="B970" s="222" t="s">
        <v>2048</v>
      </c>
      <c r="C970" s="223">
        <v>1994.6</v>
      </c>
      <c r="D970" s="223" t="s">
        <v>2049</v>
      </c>
      <c r="E970" s="223">
        <v>1994.6</v>
      </c>
      <c r="F970" s="223">
        <v>164.5</v>
      </c>
      <c r="G970" s="223">
        <v>7.9</v>
      </c>
      <c r="H970" s="223"/>
      <c r="I970" s="223"/>
      <c r="J970" s="223"/>
      <c r="K970" s="223"/>
      <c r="L970" s="223"/>
    </row>
    <row r="971" spans="1:12" ht="54" customHeight="1" x14ac:dyDescent="0.2">
      <c r="A971" s="231"/>
      <c r="B971" s="232" t="s">
        <v>2050</v>
      </c>
      <c r="C971" s="233">
        <v>1994.6</v>
      </c>
      <c r="D971" s="220" t="s">
        <v>2049</v>
      </c>
      <c r="E971" s="233">
        <v>1994.6</v>
      </c>
      <c r="F971" s="233">
        <v>164.5</v>
      </c>
      <c r="G971" s="233">
        <v>0</v>
      </c>
      <c r="H971" s="233">
        <v>65.900000000000006</v>
      </c>
      <c r="I971" s="233">
        <v>5.4</v>
      </c>
      <c r="J971" s="233">
        <v>12.2</v>
      </c>
      <c r="K971" s="233">
        <v>7.4</v>
      </c>
      <c r="L971" s="233"/>
    </row>
    <row r="972" spans="1:12" x14ac:dyDescent="0.2">
      <c r="A972" s="231"/>
      <c r="B972" s="232"/>
      <c r="C972" s="233"/>
      <c r="D972" s="220" t="s">
        <v>2051</v>
      </c>
      <c r="E972" s="233"/>
      <c r="F972" s="233"/>
      <c r="G972" s="233"/>
      <c r="H972" s="233"/>
      <c r="I972" s="233"/>
      <c r="J972" s="233"/>
      <c r="K972" s="233"/>
      <c r="L972" s="233"/>
    </row>
    <row r="973" spans="1:12" ht="22.5" x14ac:dyDescent="0.2">
      <c r="A973" s="221"/>
      <c r="B973" s="222" t="s">
        <v>1227</v>
      </c>
      <c r="C973" s="223">
        <v>1995.5</v>
      </c>
      <c r="D973" s="223" t="s">
        <v>2051</v>
      </c>
      <c r="E973" s="223">
        <v>1995.5</v>
      </c>
      <c r="F973" s="223">
        <v>165.1</v>
      </c>
      <c r="G973" s="223">
        <v>0.9</v>
      </c>
      <c r="H973" s="223"/>
      <c r="I973" s="223"/>
      <c r="J973" s="223"/>
      <c r="K973" s="223"/>
      <c r="L973" s="223"/>
    </row>
    <row r="974" spans="1:12" ht="22.5" x14ac:dyDescent="0.2">
      <c r="A974" s="218"/>
      <c r="B974" s="224" t="s">
        <v>1227</v>
      </c>
      <c r="C974" s="220">
        <v>1995.5</v>
      </c>
      <c r="D974" s="220" t="s">
        <v>2051</v>
      </c>
      <c r="E974" s="220">
        <v>1995.5</v>
      </c>
      <c r="F974" s="220">
        <v>165.1</v>
      </c>
      <c r="G974" s="220">
        <v>0</v>
      </c>
      <c r="H974" s="220"/>
      <c r="I974" s="220"/>
      <c r="J974" s="220"/>
      <c r="K974" s="220"/>
      <c r="L974" s="220"/>
    </row>
    <row r="975" spans="1:12" x14ac:dyDescent="0.2">
      <c r="A975" s="221"/>
      <c r="B975" s="222" t="s">
        <v>2052</v>
      </c>
      <c r="C975" s="223">
        <v>1999.5</v>
      </c>
      <c r="D975" s="223" t="s">
        <v>2051</v>
      </c>
      <c r="E975" s="223">
        <v>1999.5</v>
      </c>
      <c r="F975" s="223">
        <v>165.3</v>
      </c>
      <c r="G975" s="223">
        <v>4.0999999999999996</v>
      </c>
      <c r="H975" s="223"/>
      <c r="I975" s="223"/>
      <c r="J975" s="223"/>
      <c r="K975" s="223"/>
      <c r="L975" s="223"/>
    </row>
    <row r="976" spans="1:12" x14ac:dyDescent="0.2">
      <c r="A976" s="218"/>
      <c r="B976" s="224" t="s">
        <v>2053</v>
      </c>
      <c r="C976" s="220">
        <v>1999.6</v>
      </c>
      <c r="D976" s="220" t="s">
        <v>2051</v>
      </c>
      <c r="E976" s="220">
        <v>1999.6</v>
      </c>
      <c r="F976" s="220">
        <v>165.3</v>
      </c>
      <c r="G976" s="220">
        <v>0</v>
      </c>
      <c r="H976" s="220"/>
      <c r="I976" s="220"/>
      <c r="J976" s="220"/>
      <c r="K976" s="220"/>
      <c r="L976" s="220"/>
    </row>
    <row r="977" spans="1:12" x14ac:dyDescent="0.2">
      <c r="A977" s="221"/>
      <c r="B977" s="222" t="s">
        <v>2054</v>
      </c>
      <c r="C977" s="223">
        <v>2002.4</v>
      </c>
      <c r="D977" s="223" t="s">
        <v>2051</v>
      </c>
      <c r="E977" s="223">
        <v>2002.4</v>
      </c>
      <c r="F977" s="223">
        <v>165.5</v>
      </c>
      <c r="G977" s="223">
        <v>2.8</v>
      </c>
      <c r="H977" s="223"/>
      <c r="I977" s="223"/>
      <c r="J977" s="223"/>
      <c r="K977" s="223"/>
      <c r="L977" s="223"/>
    </row>
    <row r="978" spans="1:12" x14ac:dyDescent="0.2">
      <c r="A978" s="218"/>
      <c r="B978" s="224" t="s">
        <v>233</v>
      </c>
      <c r="C978" s="220">
        <v>2009.4</v>
      </c>
      <c r="D978" s="220" t="s">
        <v>2051</v>
      </c>
      <c r="E978" s="220">
        <v>2009.4</v>
      </c>
      <c r="F978" s="220">
        <v>165.9</v>
      </c>
      <c r="G978" s="220">
        <v>7.1</v>
      </c>
      <c r="H978" s="220"/>
      <c r="I978" s="220"/>
      <c r="J978" s="220"/>
      <c r="K978" s="220"/>
      <c r="L978" s="220"/>
    </row>
    <row r="979" spans="1:12" x14ac:dyDescent="0.2">
      <c r="A979" s="221"/>
      <c r="B979" s="222" t="s">
        <v>2055</v>
      </c>
      <c r="C979" s="223">
        <v>2010.7</v>
      </c>
      <c r="D979" s="223" t="s">
        <v>2051</v>
      </c>
      <c r="E979" s="223">
        <v>2010.7</v>
      </c>
      <c r="F979" s="223">
        <v>166</v>
      </c>
      <c r="G979" s="223">
        <v>1.3</v>
      </c>
      <c r="H979" s="223"/>
      <c r="I979" s="223"/>
      <c r="J979" s="223"/>
      <c r="K979" s="223"/>
      <c r="L979" s="223"/>
    </row>
    <row r="980" spans="1:12" x14ac:dyDescent="0.2">
      <c r="A980" s="218"/>
      <c r="B980" s="224" t="s">
        <v>2055</v>
      </c>
      <c r="C980" s="220">
        <v>2010.8</v>
      </c>
      <c r="D980" s="220" t="s">
        <v>2051</v>
      </c>
      <c r="E980" s="220">
        <v>2010.8</v>
      </c>
      <c r="F980" s="220">
        <v>166</v>
      </c>
      <c r="G980" s="220">
        <v>0.1</v>
      </c>
      <c r="H980" s="220"/>
      <c r="I980" s="220"/>
      <c r="J980" s="220"/>
      <c r="K980" s="220"/>
      <c r="L980" s="220"/>
    </row>
    <row r="981" spans="1:12" x14ac:dyDescent="0.2">
      <c r="A981" s="221"/>
      <c r="B981" s="222" t="s">
        <v>234</v>
      </c>
      <c r="C981" s="223">
        <v>2017.1</v>
      </c>
      <c r="D981" s="223" t="s">
        <v>2056</v>
      </c>
      <c r="E981" s="223">
        <v>2017.1</v>
      </c>
      <c r="F981" s="223">
        <v>166.4</v>
      </c>
      <c r="G981" s="223">
        <v>6.2</v>
      </c>
      <c r="H981" s="223"/>
      <c r="I981" s="223"/>
      <c r="J981" s="223"/>
      <c r="K981" s="223"/>
      <c r="L981" s="223"/>
    </row>
    <row r="982" spans="1:12" x14ac:dyDescent="0.2">
      <c r="A982" s="218"/>
      <c r="B982" s="224" t="s">
        <v>235</v>
      </c>
      <c r="C982" s="220">
        <v>2027.2</v>
      </c>
      <c r="D982" s="220" t="s">
        <v>2056</v>
      </c>
      <c r="E982" s="220">
        <v>2027.2</v>
      </c>
      <c r="F982" s="220">
        <v>167</v>
      </c>
      <c r="G982" s="220">
        <v>10.1</v>
      </c>
      <c r="H982" s="220"/>
      <c r="I982" s="220"/>
      <c r="J982" s="220"/>
      <c r="K982" s="220"/>
      <c r="L982" s="220"/>
    </row>
    <row r="983" spans="1:12" x14ac:dyDescent="0.2">
      <c r="A983" s="221"/>
      <c r="B983" s="222" t="s">
        <v>2057</v>
      </c>
      <c r="C983" s="223">
        <v>2031</v>
      </c>
      <c r="D983" s="223" t="s">
        <v>2058</v>
      </c>
      <c r="E983" s="223">
        <v>2031</v>
      </c>
      <c r="F983" s="223">
        <v>167.2</v>
      </c>
      <c r="G983" s="223">
        <v>3.8</v>
      </c>
      <c r="H983" s="223"/>
      <c r="I983" s="223"/>
      <c r="J983" s="223"/>
      <c r="K983" s="223"/>
      <c r="L983" s="223"/>
    </row>
    <row r="984" spans="1:12" x14ac:dyDescent="0.2">
      <c r="A984" s="218"/>
      <c r="B984" s="224" t="s">
        <v>2059</v>
      </c>
      <c r="C984" s="220">
        <v>2031.1</v>
      </c>
      <c r="D984" s="220" t="s">
        <v>2058</v>
      </c>
      <c r="E984" s="220">
        <v>2031.1</v>
      </c>
      <c r="F984" s="220">
        <v>167.2</v>
      </c>
      <c r="G984" s="220">
        <v>0</v>
      </c>
      <c r="H984" s="220"/>
      <c r="I984" s="220"/>
      <c r="J984" s="220"/>
      <c r="K984" s="220"/>
      <c r="L984" s="220"/>
    </row>
    <row r="985" spans="1:12" x14ac:dyDescent="0.2">
      <c r="A985" s="221"/>
      <c r="B985" s="222" t="s">
        <v>2060</v>
      </c>
      <c r="C985" s="223">
        <v>2031.1</v>
      </c>
      <c r="D985" s="223" t="s">
        <v>2058</v>
      </c>
      <c r="E985" s="223">
        <v>2031.1</v>
      </c>
      <c r="F985" s="223">
        <v>167.2</v>
      </c>
      <c r="G985" s="223">
        <v>0</v>
      </c>
      <c r="H985" s="223"/>
      <c r="I985" s="223"/>
      <c r="J985" s="223"/>
      <c r="K985" s="223"/>
      <c r="L985" s="223"/>
    </row>
    <row r="986" spans="1:12" ht="22.5" x14ac:dyDescent="0.2">
      <c r="A986" s="218"/>
      <c r="B986" s="224" t="s">
        <v>1227</v>
      </c>
      <c r="C986" s="220">
        <v>2036.5</v>
      </c>
      <c r="D986" s="220" t="s">
        <v>2058</v>
      </c>
      <c r="E986" s="220">
        <v>2036.5</v>
      </c>
      <c r="F986" s="220">
        <v>167.5</v>
      </c>
      <c r="G986" s="220">
        <v>5.4</v>
      </c>
      <c r="H986" s="220"/>
      <c r="I986" s="220"/>
      <c r="J986" s="220"/>
      <c r="K986" s="220"/>
      <c r="L986" s="220"/>
    </row>
    <row r="987" spans="1:12" ht="22.5" x14ac:dyDescent="0.2">
      <c r="A987" s="221"/>
      <c r="B987" s="222" t="s">
        <v>1227</v>
      </c>
      <c r="C987" s="223">
        <v>2036.5</v>
      </c>
      <c r="D987" s="223" t="s">
        <v>2058</v>
      </c>
      <c r="E987" s="223">
        <v>2036.5</v>
      </c>
      <c r="F987" s="223">
        <v>167.5</v>
      </c>
      <c r="G987" s="223">
        <v>0</v>
      </c>
      <c r="H987" s="223"/>
      <c r="I987" s="223"/>
      <c r="J987" s="223"/>
      <c r="K987" s="223"/>
      <c r="L987" s="223"/>
    </row>
    <row r="988" spans="1:12" x14ac:dyDescent="0.2">
      <c r="A988" s="218"/>
      <c r="B988" s="224" t="s">
        <v>236</v>
      </c>
      <c r="C988" s="220">
        <v>2036.8</v>
      </c>
      <c r="D988" s="220" t="s">
        <v>2058</v>
      </c>
      <c r="E988" s="220">
        <v>2036.8</v>
      </c>
      <c r="F988" s="220">
        <v>167.5</v>
      </c>
      <c r="G988" s="220">
        <v>0.3</v>
      </c>
      <c r="H988" s="220"/>
      <c r="I988" s="220"/>
      <c r="J988" s="220"/>
      <c r="K988" s="220"/>
      <c r="L988" s="220"/>
    </row>
    <row r="989" spans="1:12" x14ac:dyDescent="0.2">
      <c r="A989" s="221"/>
      <c r="B989" s="222" t="s">
        <v>2061</v>
      </c>
      <c r="C989" s="223">
        <v>2037</v>
      </c>
      <c r="D989" s="223" t="s">
        <v>2058</v>
      </c>
      <c r="E989" s="223">
        <v>2037</v>
      </c>
      <c r="F989" s="223">
        <v>167.6</v>
      </c>
      <c r="G989" s="223">
        <v>0.2</v>
      </c>
      <c r="H989" s="223"/>
      <c r="I989" s="223"/>
      <c r="J989" s="223"/>
      <c r="K989" s="223"/>
      <c r="L989" s="223"/>
    </row>
    <row r="990" spans="1:12" ht="22.5" x14ac:dyDescent="0.2">
      <c r="A990" s="218"/>
      <c r="B990" s="224" t="s">
        <v>1227</v>
      </c>
      <c r="C990" s="220">
        <v>2042.8</v>
      </c>
      <c r="D990" s="220" t="s">
        <v>2058</v>
      </c>
      <c r="E990" s="220">
        <v>2042.8</v>
      </c>
      <c r="F990" s="220">
        <v>167.9</v>
      </c>
      <c r="G990" s="220">
        <v>5.8</v>
      </c>
      <c r="H990" s="220"/>
      <c r="I990" s="220"/>
      <c r="J990" s="220"/>
      <c r="K990" s="220"/>
      <c r="L990" s="220"/>
    </row>
    <row r="991" spans="1:12" ht="22.5" x14ac:dyDescent="0.2">
      <c r="A991" s="221"/>
      <c r="B991" s="222" t="s">
        <v>237</v>
      </c>
      <c r="C991" s="223">
        <v>2045.4</v>
      </c>
      <c r="D991" s="223" t="s">
        <v>2062</v>
      </c>
      <c r="E991" s="223">
        <v>2045.4</v>
      </c>
      <c r="F991" s="223">
        <v>168.1</v>
      </c>
      <c r="G991" s="223">
        <v>2.6</v>
      </c>
      <c r="H991" s="223"/>
      <c r="I991" s="223"/>
      <c r="J991" s="223"/>
      <c r="K991" s="223"/>
      <c r="L991" s="223"/>
    </row>
    <row r="992" spans="1:12" x14ac:dyDescent="0.2">
      <c r="A992" s="218"/>
      <c r="B992" s="224" t="s">
        <v>2063</v>
      </c>
      <c r="C992" s="220">
        <v>2049.4</v>
      </c>
      <c r="D992" s="220" t="s">
        <v>2062</v>
      </c>
      <c r="E992" s="220">
        <v>2049.4</v>
      </c>
      <c r="F992" s="220">
        <v>168.3</v>
      </c>
      <c r="G992" s="220">
        <v>4</v>
      </c>
      <c r="H992" s="220"/>
      <c r="I992" s="220"/>
      <c r="J992" s="220"/>
      <c r="K992" s="220"/>
      <c r="L992" s="220"/>
    </row>
    <row r="993" spans="1:12" x14ac:dyDescent="0.2">
      <c r="A993" s="221"/>
      <c r="B993" s="222" t="s">
        <v>238</v>
      </c>
      <c r="C993" s="223">
        <v>2058.4</v>
      </c>
      <c r="D993" s="223" t="s">
        <v>2062</v>
      </c>
      <c r="E993" s="223">
        <v>2058.4</v>
      </c>
      <c r="F993" s="223">
        <v>168.8</v>
      </c>
      <c r="G993" s="223">
        <v>9</v>
      </c>
      <c r="H993" s="223"/>
      <c r="I993" s="223"/>
      <c r="J993" s="223"/>
      <c r="K993" s="223"/>
      <c r="L993" s="223"/>
    </row>
    <row r="994" spans="1:12" x14ac:dyDescent="0.2">
      <c r="A994" s="218"/>
      <c r="B994" s="224" t="s">
        <v>2064</v>
      </c>
      <c r="C994" s="220">
        <v>2061.1999999999998</v>
      </c>
      <c r="D994" s="220" t="s">
        <v>2065</v>
      </c>
      <c r="E994" s="220">
        <v>2061.1</v>
      </c>
      <c r="F994" s="220">
        <v>169</v>
      </c>
      <c r="G994" s="220">
        <v>2.8</v>
      </c>
      <c r="H994" s="220"/>
      <c r="I994" s="220"/>
      <c r="J994" s="220"/>
      <c r="K994" s="220"/>
      <c r="L994" s="220"/>
    </row>
    <row r="995" spans="1:12" x14ac:dyDescent="0.2">
      <c r="A995" s="221"/>
      <c r="B995" s="222" t="s">
        <v>2066</v>
      </c>
      <c r="C995" s="223">
        <v>2064.1999999999998</v>
      </c>
      <c r="D995" s="223" t="s">
        <v>2065</v>
      </c>
      <c r="E995" s="223">
        <v>2064.1999999999998</v>
      </c>
      <c r="F995" s="223">
        <v>169.2</v>
      </c>
      <c r="G995" s="223">
        <v>3</v>
      </c>
      <c r="H995" s="223"/>
      <c r="I995" s="223"/>
      <c r="J995" s="223"/>
      <c r="K995" s="223"/>
      <c r="L995" s="223"/>
    </row>
    <row r="996" spans="1:12" ht="41.25" customHeight="1" x14ac:dyDescent="0.2">
      <c r="A996" s="231"/>
      <c r="B996" s="232" t="s">
        <v>2067</v>
      </c>
      <c r="C996" s="233">
        <v>2064.6</v>
      </c>
      <c r="D996" s="220" t="s">
        <v>2065</v>
      </c>
      <c r="E996" s="233">
        <v>2064.6</v>
      </c>
      <c r="F996" s="233">
        <v>169.2</v>
      </c>
      <c r="G996" s="233">
        <v>0.5</v>
      </c>
      <c r="H996" s="233">
        <v>70</v>
      </c>
      <c r="I996" s="233">
        <v>4.2</v>
      </c>
      <c r="J996" s="233">
        <v>16.7</v>
      </c>
      <c r="K996" s="233">
        <v>4.5999999999999996</v>
      </c>
      <c r="L996" s="233"/>
    </row>
    <row r="997" spans="1:12" x14ac:dyDescent="0.2">
      <c r="A997" s="231"/>
      <c r="B997" s="232"/>
      <c r="C997" s="233"/>
      <c r="D997" s="220" t="s">
        <v>2065</v>
      </c>
      <c r="E997" s="233"/>
      <c r="F997" s="233"/>
      <c r="G997" s="233"/>
      <c r="H997" s="233"/>
      <c r="I997" s="233"/>
      <c r="J997" s="233"/>
      <c r="K997" s="233"/>
      <c r="L997" s="233"/>
    </row>
    <row r="998" spans="1:12" x14ac:dyDescent="0.2">
      <c r="A998" s="221"/>
      <c r="B998" s="222" t="s">
        <v>2068</v>
      </c>
      <c r="C998" s="223">
        <v>2067.5</v>
      </c>
      <c r="D998" s="223" t="s">
        <v>2065</v>
      </c>
      <c r="E998" s="223">
        <v>2067.5</v>
      </c>
      <c r="F998" s="223">
        <v>169.9</v>
      </c>
      <c r="G998" s="223">
        <v>2.9</v>
      </c>
      <c r="H998" s="223"/>
      <c r="I998" s="223"/>
      <c r="J998" s="223"/>
      <c r="K998" s="223"/>
      <c r="L998" s="223"/>
    </row>
    <row r="999" spans="1:12" x14ac:dyDescent="0.2">
      <c r="A999" s="218"/>
      <c r="B999" s="224" t="s">
        <v>2069</v>
      </c>
      <c r="C999" s="220">
        <v>2067.5</v>
      </c>
      <c r="D999" s="220" t="s">
        <v>2065</v>
      </c>
      <c r="E999" s="220">
        <v>2067.5</v>
      </c>
      <c r="F999" s="220">
        <v>169.9</v>
      </c>
      <c r="G999" s="220">
        <v>0</v>
      </c>
      <c r="H999" s="220"/>
      <c r="I999" s="220"/>
      <c r="J999" s="220"/>
      <c r="K999" s="220"/>
      <c r="L999" s="220"/>
    </row>
    <row r="1000" spans="1:12" x14ac:dyDescent="0.2">
      <c r="A1000" s="221"/>
      <c r="B1000" s="222" t="s">
        <v>239</v>
      </c>
      <c r="C1000" s="223">
        <v>2070.6</v>
      </c>
      <c r="D1000" s="223" t="s">
        <v>2070</v>
      </c>
      <c r="E1000" s="223">
        <v>2070.6</v>
      </c>
      <c r="F1000" s="223">
        <v>170</v>
      </c>
      <c r="G1000" s="223">
        <v>3</v>
      </c>
      <c r="H1000" s="223"/>
      <c r="I1000" s="223"/>
      <c r="J1000" s="223"/>
      <c r="K1000" s="223"/>
      <c r="L1000" s="223"/>
    </row>
    <row r="1001" spans="1:12" x14ac:dyDescent="0.2">
      <c r="A1001" s="218"/>
      <c r="B1001" s="224" t="s">
        <v>240</v>
      </c>
      <c r="C1001" s="220">
        <v>2078</v>
      </c>
      <c r="D1001" s="220" t="s">
        <v>2070</v>
      </c>
      <c r="E1001" s="220">
        <v>2078</v>
      </c>
      <c r="F1001" s="220">
        <v>170.4</v>
      </c>
      <c r="G1001" s="220">
        <v>7.4</v>
      </c>
      <c r="H1001" s="220"/>
      <c r="I1001" s="220"/>
      <c r="J1001" s="220"/>
      <c r="K1001" s="220"/>
      <c r="L1001" s="220"/>
    </row>
    <row r="1002" spans="1:12" x14ac:dyDescent="0.2">
      <c r="A1002" s="221"/>
      <c r="B1002" s="222" t="s">
        <v>2071</v>
      </c>
      <c r="C1002" s="223">
        <v>2082.6999999999998</v>
      </c>
      <c r="D1002" s="223" t="s">
        <v>2070</v>
      </c>
      <c r="E1002" s="223">
        <v>2082.6999999999998</v>
      </c>
      <c r="F1002" s="223">
        <v>170.7</v>
      </c>
      <c r="G1002" s="223">
        <v>4.7</v>
      </c>
      <c r="H1002" s="223"/>
      <c r="I1002" s="223"/>
      <c r="J1002" s="223"/>
      <c r="K1002" s="223"/>
      <c r="L1002" s="223"/>
    </row>
    <row r="1003" spans="1:12" x14ac:dyDescent="0.2">
      <c r="A1003" s="218"/>
      <c r="B1003" s="224" t="s">
        <v>242</v>
      </c>
      <c r="C1003" s="220">
        <v>2086.5</v>
      </c>
      <c r="D1003" s="220" t="s">
        <v>2070</v>
      </c>
      <c r="E1003" s="220">
        <v>2086.5</v>
      </c>
      <c r="F1003" s="220">
        <v>170.9</v>
      </c>
      <c r="G1003" s="220">
        <v>3.8</v>
      </c>
      <c r="H1003" s="220"/>
      <c r="I1003" s="220"/>
      <c r="J1003" s="220"/>
      <c r="K1003" s="220"/>
      <c r="L1003" s="220"/>
    </row>
    <row r="1004" spans="1:12" x14ac:dyDescent="0.2">
      <c r="A1004" s="221"/>
      <c r="B1004" s="222" t="s">
        <v>243</v>
      </c>
      <c r="C1004" s="223">
        <v>2093</v>
      </c>
      <c r="D1004" s="223" t="s">
        <v>2072</v>
      </c>
      <c r="E1004" s="223">
        <v>2093</v>
      </c>
      <c r="F1004" s="223">
        <v>171.2</v>
      </c>
      <c r="G1004" s="223">
        <v>6.5</v>
      </c>
      <c r="H1004" s="223"/>
      <c r="I1004" s="223"/>
      <c r="J1004" s="223"/>
      <c r="K1004" s="223"/>
      <c r="L1004" s="223"/>
    </row>
    <row r="1005" spans="1:12" ht="22.5" x14ac:dyDescent="0.2">
      <c r="A1005" s="218"/>
      <c r="B1005" s="224" t="s">
        <v>2073</v>
      </c>
      <c r="C1005" s="220">
        <v>2097.5</v>
      </c>
      <c r="D1005" s="220" t="s">
        <v>2072</v>
      </c>
      <c r="E1005" s="220">
        <v>2097.4</v>
      </c>
      <c r="F1005" s="220">
        <v>171.5</v>
      </c>
      <c r="G1005" s="220">
        <v>4.4000000000000004</v>
      </c>
      <c r="H1005" s="220"/>
      <c r="I1005" s="220"/>
      <c r="J1005" s="220"/>
      <c r="K1005" s="220"/>
      <c r="L1005" s="220"/>
    </row>
    <row r="1006" spans="1:12" ht="22.5" x14ac:dyDescent="0.2">
      <c r="A1006" s="221"/>
      <c r="B1006" s="222" t="s">
        <v>2073</v>
      </c>
      <c r="C1006" s="223">
        <v>2097.5</v>
      </c>
      <c r="D1006" s="223" t="s">
        <v>2072</v>
      </c>
      <c r="E1006" s="223">
        <v>2097.5</v>
      </c>
      <c r="F1006" s="223">
        <v>171.5</v>
      </c>
      <c r="G1006" s="223">
        <v>0</v>
      </c>
      <c r="H1006" s="223"/>
      <c r="I1006" s="223"/>
      <c r="J1006" s="223"/>
      <c r="K1006" s="223"/>
      <c r="L1006" s="223"/>
    </row>
    <row r="1007" spans="1:12" x14ac:dyDescent="0.2">
      <c r="A1007" s="218"/>
      <c r="B1007" s="224" t="s">
        <v>244</v>
      </c>
      <c r="C1007" s="220">
        <v>2102.9</v>
      </c>
      <c r="D1007" s="220" t="s">
        <v>2072</v>
      </c>
      <c r="E1007" s="220">
        <v>2102.9</v>
      </c>
      <c r="F1007" s="220">
        <v>171.7</v>
      </c>
      <c r="G1007" s="220">
        <v>5.4</v>
      </c>
      <c r="H1007" s="220"/>
      <c r="I1007" s="220"/>
      <c r="J1007" s="220"/>
      <c r="K1007" s="220"/>
      <c r="L1007" s="220"/>
    </row>
    <row r="1008" spans="1:12" x14ac:dyDescent="0.2">
      <c r="A1008" s="221"/>
      <c r="B1008" s="222" t="s">
        <v>245</v>
      </c>
      <c r="C1008" s="223">
        <v>2109.8000000000002</v>
      </c>
      <c r="D1008" s="223" t="s">
        <v>2074</v>
      </c>
      <c r="E1008" s="223">
        <v>2109.8000000000002</v>
      </c>
      <c r="F1008" s="223">
        <v>172.1</v>
      </c>
      <c r="G1008" s="223">
        <v>6.9</v>
      </c>
      <c r="H1008" s="223"/>
      <c r="I1008" s="223"/>
      <c r="J1008" s="223"/>
      <c r="K1008" s="223"/>
      <c r="L1008" s="223"/>
    </row>
    <row r="1009" spans="1:12" x14ac:dyDescent="0.2">
      <c r="A1009" s="218"/>
      <c r="B1009" s="224" t="s">
        <v>2075</v>
      </c>
      <c r="C1009" s="220">
        <v>2113.4</v>
      </c>
      <c r="D1009" s="220" t="s">
        <v>2074</v>
      </c>
      <c r="E1009" s="220">
        <v>2113.4</v>
      </c>
      <c r="F1009" s="220">
        <v>172.3</v>
      </c>
      <c r="G1009" s="220">
        <v>3.6</v>
      </c>
      <c r="H1009" s="220"/>
      <c r="I1009" s="220"/>
      <c r="J1009" s="220"/>
      <c r="K1009" s="220"/>
      <c r="L1009" s="220"/>
    </row>
    <row r="1010" spans="1:12" x14ac:dyDescent="0.2">
      <c r="A1010" s="221"/>
      <c r="B1010" s="222" t="s">
        <v>2076</v>
      </c>
      <c r="C1010" s="223">
        <v>2118.1</v>
      </c>
      <c r="D1010" s="223" t="s">
        <v>2074</v>
      </c>
      <c r="E1010" s="223">
        <v>2118.1</v>
      </c>
      <c r="F1010" s="223">
        <v>172.5</v>
      </c>
      <c r="G1010" s="223">
        <v>4.7</v>
      </c>
      <c r="H1010" s="223"/>
      <c r="I1010" s="223"/>
      <c r="J1010" s="223"/>
      <c r="K1010" s="223"/>
      <c r="L1010" s="223"/>
    </row>
    <row r="1011" spans="1:12" x14ac:dyDescent="0.2">
      <c r="A1011" s="218"/>
      <c r="B1011" s="224" t="s">
        <v>246</v>
      </c>
      <c r="C1011" s="220">
        <v>2121.5</v>
      </c>
      <c r="D1011" s="220" t="s">
        <v>2074</v>
      </c>
      <c r="E1011" s="220">
        <v>2121.5</v>
      </c>
      <c r="F1011" s="220">
        <v>172.7</v>
      </c>
      <c r="G1011" s="220">
        <v>3.4</v>
      </c>
      <c r="H1011" s="220"/>
      <c r="I1011" s="220"/>
      <c r="J1011" s="220"/>
      <c r="K1011" s="220"/>
      <c r="L1011" s="220"/>
    </row>
    <row r="1012" spans="1:12" x14ac:dyDescent="0.2">
      <c r="A1012" s="221"/>
      <c r="B1012" s="222" t="s">
        <v>2077</v>
      </c>
      <c r="C1012" s="223">
        <v>2125.1999999999998</v>
      </c>
      <c r="D1012" s="223" t="s">
        <v>2074</v>
      </c>
      <c r="E1012" s="223">
        <v>2125.1999999999998</v>
      </c>
      <c r="F1012" s="223">
        <v>172.9</v>
      </c>
      <c r="G1012" s="223">
        <v>3.8</v>
      </c>
      <c r="H1012" s="223"/>
      <c r="I1012" s="223"/>
      <c r="J1012" s="223"/>
      <c r="K1012" s="223"/>
      <c r="L1012" s="223"/>
    </row>
    <row r="1013" spans="1:12" x14ac:dyDescent="0.2">
      <c r="A1013" s="218"/>
      <c r="B1013" s="224" t="s">
        <v>247</v>
      </c>
      <c r="C1013" s="220">
        <v>2133</v>
      </c>
      <c r="D1013" s="220" t="s">
        <v>2078</v>
      </c>
      <c r="E1013" s="220">
        <v>2133</v>
      </c>
      <c r="F1013" s="220">
        <v>173.3</v>
      </c>
      <c r="G1013" s="220">
        <v>7.7</v>
      </c>
      <c r="H1013" s="220"/>
      <c r="I1013" s="220"/>
      <c r="J1013" s="220"/>
      <c r="K1013" s="220"/>
      <c r="L1013" s="220"/>
    </row>
    <row r="1014" spans="1:12" ht="22.5" x14ac:dyDescent="0.2">
      <c r="A1014" s="221"/>
      <c r="B1014" s="222" t="s">
        <v>1227</v>
      </c>
      <c r="C1014" s="223">
        <v>2140.1999999999998</v>
      </c>
      <c r="D1014" s="223" t="s">
        <v>2078</v>
      </c>
      <c r="E1014" s="223">
        <v>2140.1999999999998</v>
      </c>
      <c r="F1014" s="223">
        <v>173.7</v>
      </c>
      <c r="G1014" s="223">
        <v>7.2</v>
      </c>
      <c r="H1014" s="223"/>
      <c r="I1014" s="223"/>
      <c r="J1014" s="223"/>
      <c r="K1014" s="223"/>
      <c r="L1014" s="223"/>
    </row>
    <row r="1015" spans="1:12" x14ac:dyDescent="0.2">
      <c r="A1015" s="218"/>
      <c r="B1015" s="224" t="s">
        <v>248</v>
      </c>
      <c r="C1015" s="220">
        <v>2143</v>
      </c>
      <c r="D1015" s="220" t="s">
        <v>2078</v>
      </c>
      <c r="E1015" s="220">
        <v>2143</v>
      </c>
      <c r="F1015" s="220">
        <v>173.9</v>
      </c>
      <c r="G1015" s="220">
        <v>2.8</v>
      </c>
      <c r="H1015" s="220"/>
      <c r="I1015" s="220"/>
      <c r="J1015" s="220"/>
      <c r="K1015" s="220"/>
      <c r="L1015" s="220"/>
    </row>
    <row r="1016" spans="1:12" ht="22.5" x14ac:dyDescent="0.2">
      <c r="A1016" s="221"/>
      <c r="B1016" s="222" t="s">
        <v>2079</v>
      </c>
      <c r="C1016" s="223">
        <v>2146</v>
      </c>
      <c r="D1016" s="223" t="s">
        <v>2080</v>
      </c>
      <c r="E1016" s="223">
        <v>2146</v>
      </c>
      <c r="F1016" s="223">
        <v>174</v>
      </c>
      <c r="G1016" s="223">
        <v>3</v>
      </c>
      <c r="H1016" s="223"/>
      <c r="I1016" s="223"/>
      <c r="J1016" s="223"/>
      <c r="K1016" s="223"/>
      <c r="L1016" s="223"/>
    </row>
    <row r="1017" spans="1:12" x14ac:dyDescent="0.2">
      <c r="A1017" s="218"/>
      <c r="B1017" s="224" t="s">
        <v>2081</v>
      </c>
      <c r="C1017" s="220">
        <v>2148.4</v>
      </c>
      <c r="D1017" s="220" t="s">
        <v>2080</v>
      </c>
      <c r="E1017" s="220">
        <v>2148.4</v>
      </c>
      <c r="F1017" s="220">
        <v>174.2</v>
      </c>
      <c r="G1017" s="220">
        <v>2.4</v>
      </c>
      <c r="H1017" s="220"/>
      <c r="I1017" s="220"/>
      <c r="J1017" s="220"/>
      <c r="K1017" s="220"/>
      <c r="L1017" s="220"/>
    </row>
    <row r="1018" spans="1:12" x14ac:dyDescent="0.2">
      <c r="A1018" s="221"/>
      <c r="B1018" s="222" t="s">
        <v>249</v>
      </c>
      <c r="C1018" s="223">
        <v>2150.8000000000002</v>
      </c>
      <c r="D1018" s="223" t="s">
        <v>2080</v>
      </c>
      <c r="E1018" s="223">
        <v>2150.8000000000002</v>
      </c>
      <c r="F1018" s="223">
        <v>174.3</v>
      </c>
      <c r="G1018" s="223">
        <v>2.4</v>
      </c>
      <c r="H1018" s="223"/>
      <c r="I1018" s="223"/>
      <c r="J1018" s="223"/>
      <c r="K1018" s="223"/>
      <c r="L1018" s="223"/>
    </row>
    <row r="1019" spans="1:12" x14ac:dyDescent="0.2">
      <c r="A1019" s="218"/>
      <c r="B1019" s="224" t="s">
        <v>250</v>
      </c>
      <c r="C1019" s="220">
        <v>2161.8000000000002</v>
      </c>
      <c r="D1019" s="220" t="s">
        <v>2080</v>
      </c>
      <c r="E1019" s="220">
        <v>2161.6999999999998</v>
      </c>
      <c r="F1019" s="220">
        <v>174.9</v>
      </c>
      <c r="G1019" s="220">
        <v>10.9</v>
      </c>
      <c r="H1019" s="220"/>
      <c r="I1019" s="220"/>
      <c r="J1019" s="220"/>
      <c r="K1019" s="220"/>
      <c r="L1019" s="220"/>
    </row>
    <row r="1020" spans="1:12" x14ac:dyDescent="0.2">
      <c r="A1020" s="221"/>
      <c r="B1020" s="222" t="s">
        <v>2082</v>
      </c>
      <c r="C1020" s="223">
        <v>2165</v>
      </c>
      <c r="D1020" s="223" t="s">
        <v>2083</v>
      </c>
      <c r="E1020" s="223">
        <v>2165</v>
      </c>
      <c r="F1020" s="223">
        <v>175</v>
      </c>
      <c r="G1020" s="223">
        <v>3.3</v>
      </c>
      <c r="H1020" s="223"/>
      <c r="I1020" s="223"/>
      <c r="J1020" s="223"/>
      <c r="K1020" s="223"/>
      <c r="L1020" s="223"/>
    </row>
    <row r="1021" spans="1:12" x14ac:dyDescent="0.2">
      <c r="A1021" s="218"/>
      <c r="B1021" s="224" t="s">
        <v>2082</v>
      </c>
      <c r="C1021" s="220">
        <v>2165.1</v>
      </c>
      <c r="D1021" s="220" t="s">
        <v>2083</v>
      </c>
      <c r="E1021" s="220">
        <v>2165.1</v>
      </c>
      <c r="F1021" s="220">
        <v>175</v>
      </c>
      <c r="G1021" s="220">
        <v>0.1</v>
      </c>
      <c r="H1021" s="220"/>
      <c r="I1021" s="220"/>
      <c r="J1021" s="220"/>
      <c r="K1021" s="220"/>
      <c r="L1021" s="220"/>
    </row>
    <row r="1022" spans="1:12" ht="22.5" x14ac:dyDescent="0.2">
      <c r="A1022" s="221"/>
      <c r="B1022" s="222" t="s">
        <v>2084</v>
      </c>
      <c r="C1022" s="223">
        <v>2165.3000000000002</v>
      </c>
      <c r="D1022" s="223" t="s">
        <v>2083</v>
      </c>
      <c r="E1022" s="223">
        <v>2165.3000000000002</v>
      </c>
      <c r="F1022" s="223">
        <v>175</v>
      </c>
      <c r="G1022" s="223">
        <v>0.2</v>
      </c>
      <c r="H1022" s="223"/>
      <c r="I1022" s="223"/>
      <c r="J1022" s="223"/>
      <c r="K1022" s="223"/>
      <c r="L1022" s="223"/>
    </row>
    <row r="1023" spans="1:12" x14ac:dyDescent="0.2">
      <c r="A1023" s="218"/>
      <c r="B1023" s="224" t="s">
        <v>2085</v>
      </c>
      <c r="C1023" s="220">
        <v>2165.4</v>
      </c>
      <c r="D1023" s="220" t="s">
        <v>2083</v>
      </c>
      <c r="E1023" s="220">
        <v>2165.4</v>
      </c>
      <c r="F1023" s="220">
        <v>175</v>
      </c>
      <c r="G1023" s="220">
        <v>0.1</v>
      </c>
      <c r="H1023" s="220"/>
      <c r="I1023" s="220"/>
      <c r="J1023" s="220"/>
      <c r="K1023" s="220"/>
      <c r="L1023" s="220"/>
    </row>
    <row r="1024" spans="1:12" ht="22.5" x14ac:dyDescent="0.2">
      <c r="A1024" s="221"/>
      <c r="B1024" s="222" t="s">
        <v>1664</v>
      </c>
      <c r="C1024" s="223">
        <v>2165.8000000000002</v>
      </c>
      <c r="D1024" s="223" t="s">
        <v>2083</v>
      </c>
      <c r="E1024" s="223">
        <v>2165.8000000000002</v>
      </c>
      <c r="F1024" s="223">
        <v>175.1</v>
      </c>
      <c r="G1024" s="223">
        <v>0.4</v>
      </c>
      <c r="H1024" s="223"/>
      <c r="I1024" s="223"/>
      <c r="J1024" s="223"/>
      <c r="K1024" s="223"/>
      <c r="L1024" s="223"/>
    </row>
    <row r="1025" spans="1:12" ht="22.5" x14ac:dyDescent="0.2">
      <c r="A1025" s="218"/>
      <c r="B1025" s="224" t="s">
        <v>2086</v>
      </c>
      <c r="C1025" s="220">
        <v>2172.8000000000002</v>
      </c>
      <c r="D1025" s="220" t="s">
        <v>2083</v>
      </c>
      <c r="E1025" s="220">
        <v>2172.8000000000002</v>
      </c>
      <c r="F1025" s="220">
        <v>175.4</v>
      </c>
      <c r="G1025" s="220">
        <v>7</v>
      </c>
      <c r="H1025" s="220"/>
      <c r="I1025" s="220"/>
      <c r="J1025" s="220"/>
      <c r="K1025" s="220"/>
      <c r="L1025" s="220"/>
    </row>
    <row r="1026" spans="1:12" x14ac:dyDescent="0.2">
      <c r="A1026" s="221"/>
      <c r="B1026" s="222" t="s">
        <v>2087</v>
      </c>
      <c r="C1026" s="223">
        <v>2174.3000000000002</v>
      </c>
      <c r="D1026" s="223" t="s">
        <v>2083</v>
      </c>
      <c r="E1026" s="223">
        <v>2174.3000000000002</v>
      </c>
      <c r="F1026" s="223">
        <v>175.5</v>
      </c>
      <c r="G1026" s="223">
        <v>1.5</v>
      </c>
      <c r="H1026" s="223"/>
      <c r="I1026" s="223"/>
      <c r="J1026" s="223"/>
      <c r="K1026" s="223"/>
      <c r="L1026" s="223"/>
    </row>
    <row r="1027" spans="1:12" ht="22.5" x14ac:dyDescent="0.2">
      <c r="A1027" s="218"/>
      <c r="B1027" s="224" t="s">
        <v>2088</v>
      </c>
      <c r="C1027" s="220">
        <v>2175</v>
      </c>
      <c r="D1027" s="220" t="s">
        <v>2083</v>
      </c>
      <c r="E1027" s="220">
        <v>2175</v>
      </c>
      <c r="F1027" s="220">
        <v>175.6</v>
      </c>
      <c r="G1027" s="220">
        <v>0.8</v>
      </c>
      <c r="H1027" s="220"/>
      <c r="I1027" s="220"/>
      <c r="J1027" s="220"/>
      <c r="K1027" s="220"/>
      <c r="L1027" s="220"/>
    </row>
    <row r="1028" spans="1:12" x14ac:dyDescent="0.2">
      <c r="A1028" s="221"/>
      <c r="B1028" s="222" t="s">
        <v>2089</v>
      </c>
      <c r="C1028" s="223">
        <v>2175.1</v>
      </c>
      <c r="D1028" s="223" t="s">
        <v>2083</v>
      </c>
      <c r="E1028" s="223">
        <v>2175</v>
      </c>
      <c r="F1028" s="223">
        <v>175.6</v>
      </c>
      <c r="G1028" s="223">
        <v>0</v>
      </c>
      <c r="H1028" s="223"/>
      <c r="I1028" s="223"/>
      <c r="J1028" s="223"/>
      <c r="K1028" s="223"/>
      <c r="L1028" s="223"/>
    </row>
    <row r="1029" spans="1:12" x14ac:dyDescent="0.2">
      <c r="A1029" s="218"/>
      <c r="B1029" s="224" t="s">
        <v>2090</v>
      </c>
      <c r="C1029" s="220">
        <v>2175.1</v>
      </c>
      <c r="D1029" s="220" t="s">
        <v>2083</v>
      </c>
      <c r="E1029" s="220">
        <v>2175.1</v>
      </c>
      <c r="F1029" s="220">
        <v>175.6</v>
      </c>
      <c r="G1029" s="220">
        <v>0</v>
      </c>
      <c r="H1029" s="220"/>
      <c r="I1029" s="220"/>
      <c r="J1029" s="220"/>
      <c r="K1029" s="220"/>
      <c r="L1029" s="220"/>
    </row>
    <row r="1030" spans="1:12" ht="22.5" x14ac:dyDescent="0.2">
      <c r="A1030" s="221"/>
      <c r="B1030" s="222" t="s">
        <v>2091</v>
      </c>
      <c r="C1030" s="223">
        <v>2175.1</v>
      </c>
      <c r="D1030" s="223" t="s">
        <v>2083</v>
      </c>
      <c r="E1030" s="223">
        <v>2175.1</v>
      </c>
      <c r="F1030" s="223">
        <v>175.6</v>
      </c>
      <c r="G1030" s="223">
        <v>0</v>
      </c>
      <c r="H1030" s="223"/>
      <c r="I1030" s="223"/>
      <c r="J1030" s="223"/>
      <c r="K1030" s="223"/>
      <c r="L1030" s="223"/>
    </row>
    <row r="1031" spans="1:12" x14ac:dyDescent="0.2">
      <c r="A1031" s="218"/>
      <c r="B1031" s="219" t="s">
        <v>2092</v>
      </c>
      <c r="C1031" s="220">
        <v>2180</v>
      </c>
      <c r="D1031" s="220" t="s">
        <v>2083</v>
      </c>
      <c r="E1031" s="220">
        <v>2180</v>
      </c>
      <c r="F1031" s="220">
        <v>175.8</v>
      </c>
      <c r="G1031" s="220">
        <v>4.9000000000000004</v>
      </c>
      <c r="H1031" s="220">
        <v>115.4</v>
      </c>
      <c r="I1031" s="220">
        <v>6.1</v>
      </c>
      <c r="J1031" s="220">
        <v>18.899999999999999</v>
      </c>
      <c r="K1031" s="220">
        <v>3.3</v>
      </c>
      <c r="L1031" s="220"/>
    </row>
    <row r="1032" spans="1:12" x14ac:dyDescent="0.2">
      <c r="A1032" s="218"/>
      <c r="B1032" s="218"/>
      <c r="C1032" s="220"/>
      <c r="D1032" s="220" t="s">
        <v>2083</v>
      </c>
      <c r="E1032" s="220">
        <v>2180</v>
      </c>
      <c r="F1032" s="220">
        <v>175.8</v>
      </c>
      <c r="G1032" s="220"/>
      <c r="H1032" s="220"/>
      <c r="I1032" s="220"/>
      <c r="J1032" s="220"/>
      <c r="K1032" s="220"/>
      <c r="L1032" s="220">
        <v>18</v>
      </c>
    </row>
    <row r="1034" spans="1:12" x14ac:dyDescent="0.2">
      <c r="B1034">
        <f>COUNTIF(B5:B1030,"*Shelter*")</f>
        <v>251</v>
      </c>
      <c r="C1034" s="20" t="s">
        <v>2094</v>
      </c>
    </row>
  </sheetData>
  <mergeCells count="365">
    <mergeCell ref="A51:A52"/>
    <mergeCell ref="A186:A187"/>
    <mergeCell ref="A158:A159"/>
    <mergeCell ref="A116:A117"/>
    <mergeCell ref="A102:A103"/>
    <mergeCell ref="A76:A77"/>
    <mergeCell ref="A66:A67"/>
    <mergeCell ref="A660:A661"/>
    <mergeCell ref="A583:A584"/>
    <mergeCell ref="A499:A500"/>
    <mergeCell ref="A405:A406"/>
    <mergeCell ref="A332:A333"/>
    <mergeCell ref="A263:A264"/>
    <mergeCell ref="A996:A997"/>
    <mergeCell ref="A957:A958"/>
    <mergeCell ref="A917:A918"/>
    <mergeCell ref="A861:A862"/>
    <mergeCell ref="A810:A811"/>
    <mergeCell ref="A727:A728"/>
    <mergeCell ref="G996:G997"/>
    <mergeCell ref="H996:H997"/>
    <mergeCell ref="I996:I997"/>
    <mergeCell ref="J996:J997"/>
    <mergeCell ref="K996:K997"/>
    <mergeCell ref="L996:L997"/>
    <mergeCell ref="H971:H972"/>
    <mergeCell ref="I971:I972"/>
    <mergeCell ref="J971:J972"/>
    <mergeCell ref="K971:K972"/>
    <mergeCell ref="L971:L972"/>
    <mergeCell ref="B996:B997"/>
    <mergeCell ref="C996:C997"/>
    <mergeCell ref="E996:E997"/>
    <mergeCell ref="F996:F997"/>
    <mergeCell ref="A971:A972"/>
    <mergeCell ref="B971:B972"/>
    <mergeCell ref="C971:C972"/>
    <mergeCell ref="E971:E972"/>
    <mergeCell ref="F971:F972"/>
    <mergeCell ref="G971:G972"/>
    <mergeCell ref="G957:G958"/>
    <mergeCell ref="H957:H958"/>
    <mergeCell ref="I957:I958"/>
    <mergeCell ref="J957:J958"/>
    <mergeCell ref="K957:K958"/>
    <mergeCell ref="L957:L958"/>
    <mergeCell ref="H945:H946"/>
    <mergeCell ref="I945:I946"/>
    <mergeCell ref="J945:J946"/>
    <mergeCell ref="K945:K946"/>
    <mergeCell ref="L945:L946"/>
    <mergeCell ref="B957:B958"/>
    <mergeCell ref="C957:C958"/>
    <mergeCell ref="E957:E958"/>
    <mergeCell ref="F957:F958"/>
    <mergeCell ref="A945:A946"/>
    <mergeCell ref="B945:B946"/>
    <mergeCell ref="C945:C946"/>
    <mergeCell ref="E945:E946"/>
    <mergeCell ref="F945:F946"/>
    <mergeCell ref="G945:G946"/>
    <mergeCell ref="G917:G918"/>
    <mergeCell ref="H917:H918"/>
    <mergeCell ref="I917:I918"/>
    <mergeCell ref="J917:J918"/>
    <mergeCell ref="K917:K918"/>
    <mergeCell ref="L917:L918"/>
    <mergeCell ref="H887:H888"/>
    <mergeCell ref="I887:I888"/>
    <mergeCell ref="J887:J888"/>
    <mergeCell ref="K887:K888"/>
    <mergeCell ref="L887:L888"/>
    <mergeCell ref="B917:B918"/>
    <mergeCell ref="C917:C918"/>
    <mergeCell ref="E917:E918"/>
    <mergeCell ref="F917:F918"/>
    <mergeCell ref="A887:A888"/>
    <mergeCell ref="B887:B888"/>
    <mergeCell ref="C887:C888"/>
    <mergeCell ref="E887:E888"/>
    <mergeCell ref="F887:F888"/>
    <mergeCell ref="G887:G888"/>
    <mergeCell ref="G861:G862"/>
    <mergeCell ref="H861:H862"/>
    <mergeCell ref="I861:I862"/>
    <mergeCell ref="J861:J862"/>
    <mergeCell ref="K861:K862"/>
    <mergeCell ref="L861:L862"/>
    <mergeCell ref="H827:H828"/>
    <mergeCell ref="I827:I828"/>
    <mergeCell ref="J827:J828"/>
    <mergeCell ref="K827:K828"/>
    <mergeCell ref="L827:L828"/>
    <mergeCell ref="B861:B862"/>
    <mergeCell ref="C861:C862"/>
    <mergeCell ref="E861:E862"/>
    <mergeCell ref="F861:F862"/>
    <mergeCell ref="A827:A828"/>
    <mergeCell ref="B827:B828"/>
    <mergeCell ref="C827:C828"/>
    <mergeCell ref="E827:E828"/>
    <mergeCell ref="F827:F828"/>
    <mergeCell ref="G827:G828"/>
    <mergeCell ref="G810:G811"/>
    <mergeCell ref="H810:H811"/>
    <mergeCell ref="I810:I811"/>
    <mergeCell ref="J810:J811"/>
    <mergeCell ref="K810:K811"/>
    <mergeCell ref="L810:L811"/>
    <mergeCell ref="H749:H750"/>
    <mergeCell ref="I749:I750"/>
    <mergeCell ref="J749:J750"/>
    <mergeCell ref="K749:K750"/>
    <mergeCell ref="L749:L750"/>
    <mergeCell ref="B810:B811"/>
    <mergeCell ref="C810:C811"/>
    <mergeCell ref="E810:E811"/>
    <mergeCell ref="F810:F811"/>
    <mergeCell ref="A749:A750"/>
    <mergeCell ref="B749:B750"/>
    <mergeCell ref="C749:C750"/>
    <mergeCell ref="E749:E750"/>
    <mergeCell ref="F749:F750"/>
    <mergeCell ref="G749:G750"/>
    <mergeCell ref="G727:G728"/>
    <mergeCell ref="H727:H728"/>
    <mergeCell ref="I727:I728"/>
    <mergeCell ref="J727:J728"/>
    <mergeCell ref="K727:K728"/>
    <mergeCell ref="L727:L728"/>
    <mergeCell ref="H686:H687"/>
    <mergeCell ref="I686:I687"/>
    <mergeCell ref="J686:J687"/>
    <mergeCell ref="K686:K687"/>
    <mergeCell ref="L686:L687"/>
    <mergeCell ref="B727:B728"/>
    <mergeCell ref="C727:C728"/>
    <mergeCell ref="E727:E728"/>
    <mergeCell ref="F727:F728"/>
    <mergeCell ref="A686:A687"/>
    <mergeCell ref="B686:B687"/>
    <mergeCell ref="C686:C687"/>
    <mergeCell ref="E686:E687"/>
    <mergeCell ref="F686:F687"/>
    <mergeCell ref="G686:G687"/>
    <mergeCell ref="G660:G661"/>
    <mergeCell ref="H660:H661"/>
    <mergeCell ref="I660:I661"/>
    <mergeCell ref="J660:J661"/>
    <mergeCell ref="K660:K661"/>
    <mergeCell ref="L660:L661"/>
    <mergeCell ref="H617:H618"/>
    <mergeCell ref="I617:I618"/>
    <mergeCell ref="J617:J618"/>
    <mergeCell ref="K617:K618"/>
    <mergeCell ref="L617:L618"/>
    <mergeCell ref="B660:B661"/>
    <mergeCell ref="C660:C661"/>
    <mergeCell ref="E660:E661"/>
    <mergeCell ref="F660:F661"/>
    <mergeCell ref="A617:A618"/>
    <mergeCell ref="B617:B618"/>
    <mergeCell ref="C617:C618"/>
    <mergeCell ref="E617:E618"/>
    <mergeCell ref="F617:F618"/>
    <mergeCell ref="G617:G618"/>
    <mergeCell ref="G583:G584"/>
    <mergeCell ref="H583:H584"/>
    <mergeCell ref="I583:I584"/>
    <mergeCell ref="J583:J584"/>
    <mergeCell ref="K583:K584"/>
    <mergeCell ref="L583:L584"/>
    <mergeCell ref="H551:H552"/>
    <mergeCell ref="I551:I552"/>
    <mergeCell ref="J551:J552"/>
    <mergeCell ref="K551:K552"/>
    <mergeCell ref="L551:L552"/>
    <mergeCell ref="B583:B584"/>
    <mergeCell ref="C583:C584"/>
    <mergeCell ref="E583:E584"/>
    <mergeCell ref="F583:F584"/>
    <mergeCell ref="A551:A552"/>
    <mergeCell ref="B551:B552"/>
    <mergeCell ref="C551:C552"/>
    <mergeCell ref="E551:E552"/>
    <mergeCell ref="F551:F552"/>
    <mergeCell ref="G551:G552"/>
    <mergeCell ref="G499:G500"/>
    <mergeCell ref="H499:H500"/>
    <mergeCell ref="I499:I500"/>
    <mergeCell ref="J499:J500"/>
    <mergeCell ref="K499:K500"/>
    <mergeCell ref="L499:L500"/>
    <mergeCell ref="H453:H454"/>
    <mergeCell ref="I453:I454"/>
    <mergeCell ref="J453:J454"/>
    <mergeCell ref="K453:K454"/>
    <mergeCell ref="L453:L454"/>
    <mergeCell ref="B499:B500"/>
    <mergeCell ref="C499:C500"/>
    <mergeCell ref="E499:E500"/>
    <mergeCell ref="F499:F500"/>
    <mergeCell ref="A453:A454"/>
    <mergeCell ref="B453:B454"/>
    <mergeCell ref="C453:C454"/>
    <mergeCell ref="E453:E454"/>
    <mergeCell ref="F453:F454"/>
    <mergeCell ref="G453:G454"/>
    <mergeCell ref="G405:G406"/>
    <mergeCell ref="H405:H406"/>
    <mergeCell ref="I405:I406"/>
    <mergeCell ref="J405:J406"/>
    <mergeCell ref="K405:K406"/>
    <mergeCell ref="L405:L406"/>
    <mergeCell ref="H366:H367"/>
    <mergeCell ref="I366:I367"/>
    <mergeCell ref="J366:J367"/>
    <mergeCell ref="K366:K367"/>
    <mergeCell ref="L366:L367"/>
    <mergeCell ref="B405:B406"/>
    <mergeCell ref="C405:C406"/>
    <mergeCell ref="E405:E406"/>
    <mergeCell ref="F405:F406"/>
    <mergeCell ref="A366:A367"/>
    <mergeCell ref="B366:B367"/>
    <mergeCell ref="C366:C367"/>
    <mergeCell ref="E366:E367"/>
    <mergeCell ref="F366:F367"/>
    <mergeCell ref="G366:G367"/>
    <mergeCell ref="G332:G333"/>
    <mergeCell ref="H332:H333"/>
    <mergeCell ref="I332:I333"/>
    <mergeCell ref="J332:J333"/>
    <mergeCell ref="K332:K333"/>
    <mergeCell ref="L332:L333"/>
    <mergeCell ref="H303:H304"/>
    <mergeCell ref="I303:I304"/>
    <mergeCell ref="J303:J304"/>
    <mergeCell ref="K303:K304"/>
    <mergeCell ref="L303:L304"/>
    <mergeCell ref="B332:B333"/>
    <mergeCell ref="C332:C333"/>
    <mergeCell ref="E332:E333"/>
    <mergeCell ref="F332:F333"/>
    <mergeCell ref="A303:A304"/>
    <mergeCell ref="B303:B304"/>
    <mergeCell ref="C303:C304"/>
    <mergeCell ref="E303:E304"/>
    <mergeCell ref="F303:F304"/>
    <mergeCell ref="G303:G304"/>
    <mergeCell ref="G263:G264"/>
    <mergeCell ref="H263:H264"/>
    <mergeCell ref="I263:I264"/>
    <mergeCell ref="J263:J264"/>
    <mergeCell ref="K263:K264"/>
    <mergeCell ref="L263:L264"/>
    <mergeCell ref="H224:H225"/>
    <mergeCell ref="I224:I225"/>
    <mergeCell ref="J224:J225"/>
    <mergeCell ref="K224:K225"/>
    <mergeCell ref="L224:L225"/>
    <mergeCell ref="B263:B264"/>
    <mergeCell ref="C263:C264"/>
    <mergeCell ref="E263:E264"/>
    <mergeCell ref="F263:F264"/>
    <mergeCell ref="A224:A225"/>
    <mergeCell ref="B224:B225"/>
    <mergeCell ref="C224:C225"/>
    <mergeCell ref="E224:E225"/>
    <mergeCell ref="F224:F225"/>
    <mergeCell ref="G224:G225"/>
    <mergeCell ref="G186:G187"/>
    <mergeCell ref="H186:H187"/>
    <mergeCell ref="I186:I187"/>
    <mergeCell ref="J186:J187"/>
    <mergeCell ref="K186:K187"/>
    <mergeCell ref="L186:L187"/>
    <mergeCell ref="H170:H171"/>
    <mergeCell ref="I170:I171"/>
    <mergeCell ref="J170:J171"/>
    <mergeCell ref="K170:K171"/>
    <mergeCell ref="L170:L171"/>
    <mergeCell ref="B186:B187"/>
    <mergeCell ref="C186:C187"/>
    <mergeCell ref="E186:E187"/>
    <mergeCell ref="F186:F187"/>
    <mergeCell ref="A170:A171"/>
    <mergeCell ref="B170:B171"/>
    <mergeCell ref="C170:C171"/>
    <mergeCell ref="E170:E171"/>
    <mergeCell ref="F170:F171"/>
    <mergeCell ref="G170:G171"/>
    <mergeCell ref="G158:G159"/>
    <mergeCell ref="H158:H159"/>
    <mergeCell ref="I158:I159"/>
    <mergeCell ref="J158:J159"/>
    <mergeCell ref="K158:K159"/>
    <mergeCell ref="L158:L159"/>
    <mergeCell ref="H138:H139"/>
    <mergeCell ref="I138:I139"/>
    <mergeCell ref="J138:J139"/>
    <mergeCell ref="K138:K139"/>
    <mergeCell ref="L138:L139"/>
    <mergeCell ref="B158:B159"/>
    <mergeCell ref="C158:C159"/>
    <mergeCell ref="E158:E159"/>
    <mergeCell ref="F158:F159"/>
    <mergeCell ref="A138:A139"/>
    <mergeCell ref="B138:B139"/>
    <mergeCell ref="C138:C139"/>
    <mergeCell ref="E138:E139"/>
    <mergeCell ref="F138:F139"/>
    <mergeCell ref="G138:G139"/>
    <mergeCell ref="G116:G117"/>
    <mergeCell ref="H116:H117"/>
    <mergeCell ref="I116:I117"/>
    <mergeCell ref="J116:J117"/>
    <mergeCell ref="K116:K117"/>
    <mergeCell ref="L116:L117"/>
    <mergeCell ref="H102:H103"/>
    <mergeCell ref="I102:I103"/>
    <mergeCell ref="J102:J103"/>
    <mergeCell ref="K102:K103"/>
    <mergeCell ref="L102:L103"/>
    <mergeCell ref="B116:B117"/>
    <mergeCell ref="C116:C117"/>
    <mergeCell ref="E116:E117"/>
    <mergeCell ref="F116:F117"/>
    <mergeCell ref="I76:I77"/>
    <mergeCell ref="J76:J77"/>
    <mergeCell ref="K76:K77"/>
    <mergeCell ref="L76:L77"/>
    <mergeCell ref="B102:B103"/>
    <mergeCell ref="C102:C103"/>
    <mergeCell ref="E102:E103"/>
    <mergeCell ref="F102:F103"/>
    <mergeCell ref="G102:G103"/>
    <mergeCell ref="J66:J67"/>
    <mergeCell ref="K66:K67"/>
    <mergeCell ref="L66:L67"/>
    <mergeCell ref="B76:B77"/>
    <mergeCell ref="C76:C77"/>
    <mergeCell ref="E76:E77"/>
    <mergeCell ref="F76:F77"/>
    <mergeCell ref="G76:G77"/>
    <mergeCell ref="H76:H77"/>
    <mergeCell ref="K51:K52"/>
    <mergeCell ref="L51:L52"/>
    <mergeCell ref="B66:B67"/>
    <mergeCell ref="C66:C67"/>
    <mergeCell ref="E66:E67"/>
    <mergeCell ref="F66:F67"/>
    <mergeCell ref="G66:G67"/>
    <mergeCell ref="H66:H67"/>
    <mergeCell ref="I66:I67"/>
    <mergeCell ref="B51:B52"/>
    <mergeCell ref="C51:C52"/>
    <mergeCell ref="E51:E52"/>
    <mergeCell ref="F51:F52"/>
    <mergeCell ref="G51:G52"/>
    <mergeCell ref="H51:H52"/>
    <mergeCell ref="I51:I52"/>
    <mergeCell ref="J51:J52"/>
    <mergeCell ref="A2:A4"/>
    <mergeCell ref="B2:B4"/>
  </mergeCells>
  <conditionalFormatting sqref="B6:B1034">
    <cfRule type="containsText" dxfId="6" priority="1" operator="containsText" text="Shelter">
      <formula>NOT(ISERROR(SEARCH("Shelter",B6)))</formula>
    </cfRule>
  </conditionalFormatting>
  <hyperlinks>
    <hyperlink ref="B5" r:id="rId1" display="https://www.postholer.com/planner/hikePlanner.php" xr:uid="{E0473A4B-15BB-4335-8D43-56952A430A34}"/>
    <hyperlink ref="B51" r:id="rId2" display="https://www.postholer.com/planner/hikePlanner.php" xr:uid="{DB08947E-E5AD-46A0-9FB6-3C3874381649}"/>
    <hyperlink ref="B66" r:id="rId3" display="https://www.postholer.com/planner/hikePlanner.php" xr:uid="{1B5A188B-8A12-4E80-B4F8-FF9D99ED2447}"/>
    <hyperlink ref="B76" r:id="rId4" display="https://www.postholer.com/planner/hikePlanner.php" xr:uid="{0B500773-3650-486A-AF81-C5DAE20E541C}"/>
    <hyperlink ref="B102" r:id="rId5" display="https://www.postholer.com/planner/hikePlanner.php" xr:uid="{8F04E52C-3055-47CF-8C3D-3C1529E2F2E3}"/>
    <hyperlink ref="B116" r:id="rId6" display="https://www.postholer.com/planner/hikePlanner.php" xr:uid="{20E27E2B-2692-4A04-9C9E-D96DB4121509}"/>
    <hyperlink ref="B138" r:id="rId7" display="https://www.postholer.com/planner/hikePlanner.php" xr:uid="{474D146C-EE9D-4524-8D9D-DB1AD649B580}"/>
    <hyperlink ref="B158" r:id="rId8" display="https://www.postholer.com/planner/hikePlanner.php" xr:uid="{BCA63EA3-0487-4140-8D29-66FED6821630}"/>
    <hyperlink ref="B170" r:id="rId9" display="https://www.postholer.com/planner/hikePlanner.php" xr:uid="{D143070E-74C3-49C9-8649-9D2BA25E403D}"/>
    <hyperlink ref="B186" r:id="rId10" display="https://www.postholer.com/planner/hikePlanner.php" xr:uid="{6D113740-9C1B-4D72-874C-48B0D125E02D}"/>
    <hyperlink ref="B224" r:id="rId11" display="https://www.postholer.com/planner/hikePlanner.php" xr:uid="{01772849-6236-4F8A-A8B8-23BBDAD86CCA}"/>
    <hyperlink ref="B263" r:id="rId12" display="https://www.postholer.com/planner/hikePlanner.php" xr:uid="{388C9FFC-9F71-4796-B226-51932903C17B}"/>
    <hyperlink ref="B303" r:id="rId13" display="https://www.postholer.com/planner/hikePlanner.php" xr:uid="{D6E9762C-BE13-4923-85A8-2519711C7B04}"/>
    <hyperlink ref="B332" r:id="rId14" display="https://www.postholer.com/planner/hikePlanner.php" xr:uid="{23BE7473-8A10-471F-AB8D-96A99D01DF89}"/>
    <hyperlink ref="B366" r:id="rId15" display="https://www.postholer.com/planner/hikePlanner.php" xr:uid="{CE41B165-C258-454B-9BD7-8C249D168721}"/>
    <hyperlink ref="B405" r:id="rId16" display="https://www.postholer.com/planner/hikePlanner.php" xr:uid="{9A6B08C9-B50E-47BD-949E-75D71FE43CB0}"/>
    <hyperlink ref="B453" r:id="rId17" display="https://www.postholer.com/planner/hikePlanner.php" xr:uid="{64A4FCD5-F149-431A-A4DD-7E0E1B06B65C}"/>
    <hyperlink ref="B499" r:id="rId18" display="https://www.postholer.com/planner/hikePlanner.php" xr:uid="{756F9FE3-661F-4A14-B014-EA1708E5A485}"/>
    <hyperlink ref="B522" r:id="rId19" display="https://www.postholer.com/planner/hikePlanner.php" xr:uid="{4FE3E2CB-8695-4265-8033-B600B28B853C}"/>
    <hyperlink ref="B551" r:id="rId20" display="https://www.postholer.com/planner/hikePlanner.php" xr:uid="{7A689986-1B0B-4F2B-944F-C041C709F9DC}"/>
    <hyperlink ref="B583" r:id="rId21" display="https://www.postholer.com/planner/hikePlanner.php" xr:uid="{0D2F2118-72D1-4AB6-8A75-37533D16B8DC}"/>
    <hyperlink ref="B617" r:id="rId22" display="https://www.postholer.com/planner/hikePlanner.php" xr:uid="{9D6E3F7A-4713-4E28-86F7-E7C3383EE9CF}"/>
    <hyperlink ref="B660" r:id="rId23" display="https://www.postholer.com/planner/hikePlanner.php" xr:uid="{C8B2F1B5-5486-4DBA-98E3-6EEFBFD9D4F1}"/>
    <hyperlink ref="B686" r:id="rId24" display="https://www.postholer.com/planner/hikePlanner.php" xr:uid="{49413DB5-ED73-4184-A538-F3A64516CCB2}"/>
    <hyperlink ref="B727" r:id="rId25" display="https://www.postholer.com/planner/hikePlanner.php" xr:uid="{D03FC643-D23A-4766-99E5-9C1BF3FA30E7}"/>
    <hyperlink ref="B749" r:id="rId26" display="https://www.postholer.com/planner/hikePlanner.php" xr:uid="{FFD429B8-C9FF-4F87-AD03-FB7312451DA6}"/>
    <hyperlink ref="B810" r:id="rId27" display="https://www.postholer.com/planner/hikePlanner.php" xr:uid="{AE426920-2E0F-498B-A132-44698CD9F786}"/>
    <hyperlink ref="B827" r:id="rId28" display="https://www.postholer.com/planner/hikePlanner.php" xr:uid="{A1492721-2301-4495-8BC5-0108E9243B02}"/>
    <hyperlink ref="B861" r:id="rId29" display="https://www.postholer.com/planner/hikePlanner.php" xr:uid="{9BD5D94D-CA67-438D-B136-F533F121CDEB}"/>
    <hyperlink ref="B887" r:id="rId30" display="https://www.postholer.com/planner/hikePlanner.php" xr:uid="{6BE977B5-047D-4A74-AC8B-4E34666C3DD5}"/>
    <hyperlink ref="B917" r:id="rId31" display="https://www.postholer.com/planner/hikePlanner.php" xr:uid="{D5B7AAAD-04FB-4CD1-A235-6ABC1F42AD7E}"/>
    <hyperlink ref="B945" r:id="rId32" display="https://www.postholer.com/planner/hikePlanner.php" xr:uid="{B05A316F-6963-44C1-996E-3F571774B2AB}"/>
    <hyperlink ref="B957" r:id="rId33" display="https://www.postholer.com/planner/hikePlanner.php" xr:uid="{F2FC412B-0616-4F9E-9A80-4D95D2002DB2}"/>
    <hyperlink ref="B971" r:id="rId34" display="https://www.postholer.com/planner/hikePlanner.php" xr:uid="{B067EABD-B04F-473F-BA5D-4D6E22842C99}"/>
    <hyperlink ref="B996" r:id="rId35" display="https://www.postholer.com/planner/hikePlanner.php" xr:uid="{9F4F78A1-F709-4E84-9142-AAAE96338EE9}"/>
    <hyperlink ref="B1031" r:id="rId36" display="https://www.postholer.com/planner/hikePlanner.php" xr:uid="{0FB4E0DF-AAB5-4031-B742-07720190EE5D}"/>
    <hyperlink ref="B30" r:id="rId37" display="https://www.postholer.com/planner/hikePlanner.php" xr:uid="{A5BDA6AB-A1A0-4512-BAE6-85A8BC1EDE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08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2.75" x14ac:dyDescent="0.2"/>
  <cols>
    <col min="1" max="1" width="38.28515625" bestFit="1" customWidth="1"/>
    <col min="2" max="2" width="9.42578125" customWidth="1"/>
    <col min="3" max="3" width="15.7109375" customWidth="1"/>
    <col min="4" max="4" width="15.5703125" customWidth="1"/>
    <col min="5" max="5" width="7.5703125" bestFit="1" customWidth="1"/>
    <col min="6" max="6" width="10.7109375" customWidth="1"/>
    <col min="7" max="7" width="11.7109375" customWidth="1"/>
    <col min="9" max="9" width="15.85546875" customWidth="1"/>
    <col min="11" max="11" width="9.140625" customWidth="1"/>
    <col min="13" max="15" width="9.140625" customWidth="1"/>
  </cols>
  <sheetData>
    <row r="1" spans="1:9" ht="45" customHeight="1" x14ac:dyDescent="0.2">
      <c r="A1" s="171" t="s">
        <v>969</v>
      </c>
      <c r="B1" s="63" t="s">
        <v>2097</v>
      </c>
      <c r="C1" s="63" t="s">
        <v>971</v>
      </c>
      <c r="D1" s="171" t="s">
        <v>34</v>
      </c>
      <c r="E1" s="171" t="s">
        <v>970</v>
      </c>
      <c r="F1" s="63" t="s">
        <v>972</v>
      </c>
      <c r="G1" s="63" t="s">
        <v>973</v>
      </c>
    </row>
    <row r="2" spans="1:9" ht="21.75" customHeight="1" x14ac:dyDescent="0.2">
      <c r="A2" t="s">
        <v>974</v>
      </c>
      <c r="B2">
        <v>0</v>
      </c>
      <c r="C2">
        <v>0</v>
      </c>
      <c r="D2" t="s">
        <v>793</v>
      </c>
      <c r="E2" t="s">
        <v>975</v>
      </c>
      <c r="F2">
        <v>-8.8000000000000007</v>
      </c>
      <c r="G2">
        <v>2182.9</v>
      </c>
    </row>
    <row r="3" spans="1:9" x14ac:dyDescent="0.2">
      <c r="A3" t="s">
        <v>35</v>
      </c>
      <c r="B3">
        <v>0</v>
      </c>
      <c r="C3">
        <v>7.3</v>
      </c>
      <c r="D3" t="s">
        <v>793</v>
      </c>
      <c r="E3" t="s">
        <v>975</v>
      </c>
      <c r="F3">
        <v>-1.5</v>
      </c>
      <c r="G3">
        <v>2175.6</v>
      </c>
    </row>
    <row r="4" spans="1:9" ht="15.75" x14ac:dyDescent="0.2">
      <c r="A4" t="s">
        <v>976</v>
      </c>
      <c r="B4">
        <v>0</v>
      </c>
      <c r="C4">
        <v>1.5</v>
      </c>
      <c r="D4" t="s">
        <v>793</v>
      </c>
      <c r="E4" t="s">
        <v>977</v>
      </c>
      <c r="F4">
        <v>0</v>
      </c>
      <c r="G4">
        <v>2174.1</v>
      </c>
      <c r="I4" s="164"/>
    </row>
    <row r="5" spans="1:9" ht="15.75" x14ac:dyDescent="0.2">
      <c r="A5" t="s">
        <v>36</v>
      </c>
      <c r="B5">
        <v>0.2</v>
      </c>
      <c r="C5">
        <v>1.7</v>
      </c>
      <c r="D5" t="s">
        <v>793</v>
      </c>
      <c r="E5" t="s">
        <v>975</v>
      </c>
      <c r="F5">
        <v>0.2</v>
      </c>
      <c r="G5">
        <v>2173.9</v>
      </c>
      <c r="I5" s="165"/>
    </row>
    <row r="6" spans="1:9" ht="15.75" x14ac:dyDescent="0.2">
      <c r="A6" t="s">
        <v>37</v>
      </c>
      <c r="B6">
        <v>0</v>
      </c>
      <c r="C6">
        <v>2.5</v>
      </c>
      <c r="D6" t="s">
        <v>793</v>
      </c>
      <c r="E6" t="s">
        <v>975</v>
      </c>
      <c r="F6">
        <v>2.5</v>
      </c>
      <c r="G6">
        <v>2171.6</v>
      </c>
      <c r="I6" s="165"/>
    </row>
    <row r="7" spans="1:9" ht="15.75" x14ac:dyDescent="0.2">
      <c r="A7" t="s">
        <v>38</v>
      </c>
      <c r="B7">
        <v>0.2</v>
      </c>
      <c r="C7">
        <v>5.3</v>
      </c>
      <c r="D7" t="s">
        <v>793</v>
      </c>
      <c r="E7" t="s">
        <v>975</v>
      </c>
      <c r="F7">
        <v>7.6</v>
      </c>
      <c r="G7">
        <v>2166.5</v>
      </c>
      <c r="I7" s="165"/>
    </row>
    <row r="8" spans="1:9" ht="15.75" x14ac:dyDescent="0.2">
      <c r="A8" t="s">
        <v>39</v>
      </c>
      <c r="B8">
        <v>0.1</v>
      </c>
      <c r="C8">
        <v>7.4</v>
      </c>
      <c r="D8" t="s">
        <v>793</v>
      </c>
      <c r="E8" t="s">
        <v>975</v>
      </c>
      <c r="F8">
        <v>14.7</v>
      </c>
      <c r="G8">
        <v>2159.4</v>
      </c>
      <c r="I8" s="165"/>
    </row>
    <row r="9" spans="1:9" ht="15.75" x14ac:dyDescent="0.2">
      <c r="A9" t="s">
        <v>978</v>
      </c>
      <c r="B9">
        <v>2</v>
      </c>
      <c r="C9">
        <v>6.1</v>
      </c>
      <c r="D9" t="s">
        <v>793</v>
      </c>
      <c r="E9" t="s">
        <v>975</v>
      </c>
      <c r="F9">
        <v>20</v>
      </c>
      <c r="G9">
        <v>2154.1</v>
      </c>
      <c r="I9" s="165"/>
    </row>
    <row r="10" spans="1:9" ht="15.75" x14ac:dyDescent="0.2">
      <c r="A10" t="s">
        <v>40</v>
      </c>
      <c r="B10">
        <v>0.4</v>
      </c>
      <c r="C10">
        <v>12.4</v>
      </c>
      <c r="D10" t="s">
        <v>793</v>
      </c>
      <c r="E10" t="s">
        <v>975</v>
      </c>
      <c r="F10">
        <v>27</v>
      </c>
      <c r="G10">
        <v>2147.1</v>
      </c>
      <c r="I10" s="165"/>
    </row>
    <row r="11" spans="1:9" x14ac:dyDescent="0.2">
      <c r="A11" t="s">
        <v>41</v>
      </c>
      <c r="B11">
        <v>0</v>
      </c>
      <c r="C11">
        <v>2.1</v>
      </c>
      <c r="D11" t="s">
        <v>793</v>
      </c>
      <c r="E11" t="s">
        <v>977</v>
      </c>
      <c r="F11">
        <v>28.3</v>
      </c>
      <c r="G11">
        <v>2145.8000000000002</v>
      </c>
      <c r="I11" s="166"/>
    </row>
    <row r="12" spans="1:9" x14ac:dyDescent="0.2">
      <c r="A12" t="s">
        <v>979</v>
      </c>
      <c r="B12">
        <v>0</v>
      </c>
      <c r="C12">
        <v>0</v>
      </c>
      <c r="D12" t="s">
        <v>793</v>
      </c>
      <c r="E12" t="s">
        <v>975</v>
      </c>
      <c r="F12">
        <v>30.7</v>
      </c>
      <c r="G12">
        <v>2143.4</v>
      </c>
    </row>
    <row r="13" spans="1:9" x14ac:dyDescent="0.2">
      <c r="A13" t="s">
        <v>42</v>
      </c>
      <c r="B13">
        <v>1.2</v>
      </c>
      <c r="C13">
        <v>9.8000000000000007</v>
      </c>
      <c r="D13" t="s">
        <v>793</v>
      </c>
      <c r="E13" t="s">
        <v>975</v>
      </c>
      <c r="F13">
        <v>38.1</v>
      </c>
      <c r="G13">
        <v>2136</v>
      </c>
    </row>
    <row r="14" spans="1:9" x14ac:dyDescent="0.2">
      <c r="A14" t="s">
        <v>43</v>
      </c>
      <c r="B14">
        <v>0</v>
      </c>
      <c r="C14">
        <v>5.6</v>
      </c>
      <c r="D14" t="s">
        <v>793</v>
      </c>
      <c r="E14" t="s">
        <v>975</v>
      </c>
      <c r="F14">
        <v>41.3</v>
      </c>
      <c r="G14">
        <v>2132.8000000000002</v>
      </c>
    </row>
    <row r="15" spans="1:9" x14ac:dyDescent="0.2">
      <c r="A15" t="s">
        <v>45</v>
      </c>
      <c r="B15">
        <v>0.2</v>
      </c>
      <c r="C15">
        <v>7.9</v>
      </c>
      <c r="D15" t="s">
        <v>793</v>
      </c>
      <c r="E15" t="s">
        <v>975</v>
      </c>
      <c r="F15">
        <v>46.2</v>
      </c>
      <c r="G15">
        <v>2117.9</v>
      </c>
    </row>
    <row r="16" spans="1:9" x14ac:dyDescent="0.2">
      <c r="A16" t="s">
        <v>44</v>
      </c>
      <c r="B16">
        <v>0</v>
      </c>
      <c r="C16">
        <v>7.2</v>
      </c>
      <c r="D16" t="s">
        <v>793</v>
      </c>
      <c r="E16" t="s">
        <v>975</v>
      </c>
      <c r="F16">
        <v>48.5</v>
      </c>
      <c r="G16">
        <v>2125.6</v>
      </c>
    </row>
    <row r="17" spans="1:7" x14ac:dyDescent="0.2">
      <c r="A17" t="s">
        <v>980</v>
      </c>
      <c r="B17">
        <v>9</v>
      </c>
      <c r="C17">
        <v>11.2</v>
      </c>
      <c r="D17" t="s">
        <v>793</v>
      </c>
      <c r="E17" t="s">
        <v>975</v>
      </c>
      <c r="F17">
        <v>50.7</v>
      </c>
      <c r="G17">
        <v>2123.4</v>
      </c>
    </row>
    <row r="18" spans="1:7" x14ac:dyDescent="0.2">
      <c r="A18" t="s">
        <v>46</v>
      </c>
      <c r="B18">
        <v>0.3</v>
      </c>
      <c r="C18">
        <v>7.6</v>
      </c>
      <c r="D18" t="s">
        <v>793</v>
      </c>
      <c r="E18" t="s">
        <v>975</v>
      </c>
      <c r="F18">
        <v>63.6</v>
      </c>
      <c r="G18">
        <v>2110.5</v>
      </c>
    </row>
    <row r="19" spans="1:7" x14ac:dyDescent="0.2">
      <c r="A19" t="s">
        <v>981</v>
      </c>
      <c r="B19">
        <v>11</v>
      </c>
      <c r="C19">
        <v>14.8</v>
      </c>
      <c r="D19" t="s">
        <v>793</v>
      </c>
      <c r="E19" t="s">
        <v>975</v>
      </c>
      <c r="F19">
        <v>66.8</v>
      </c>
      <c r="G19">
        <v>2107.3000000000002</v>
      </c>
    </row>
    <row r="20" spans="1:7" x14ac:dyDescent="0.2">
      <c r="A20" t="s">
        <v>982</v>
      </c>
      <c r="B20">
        <v>0.2</v>
      </c>
      <c r="C20">
        <v>8.3000000000000007</v>
      </c>
      <c r="D20" t="s">
        <v>983</v>
      </c>
      <c r="E20" t="s">
        <v>975</v>
      </c>
      <c r="F20">
        <v>71.3</v>
      </c>
      <c r="G20">
        <v>2102.8000000000002</v>
      </c>
    </row>
    <row r="21" spans="1:7" x14ac:dyDescent="0.2">
      <c r="A21" t="s">
        <v>984</v>
      </c>
      <c r="B21">
        <v>0</v>
      </c>
      <c r="C21">
        <v>4.0999999999999996</v>
      </c>
      <c r="D21" t="s">
        <v>983</v>
      </c>
      <c r="E21" t="s">
        <v>977</v>
      </c>
      <c r="F21">
        <v>75.400000000000006</v>
      </c>
      <c r="G21">
        <v>2098.6999999999998</v>
      </c>
    </row>
    <row r="22" spans="1:7" x14ac:dyDescent="0.2">
      <c r="A22" t="s">
        <v>47</v>
      </c>
      <c r="B22">
        <v>0</v>
      </c>
      <c r="C22">
        <v>7.5</v>
      </c>
      <c r="D22" t="s">
        <v>983</v>
      </c>
      <c r="E22" t="s">
        <v>975</v>
      </c>
      <c r="F22">
        <v>78.400000000000006</v>
      </c>
      <c r="G22">
        <v>2095.6999999999998</v>
      </c>
    </row>
    <row r="23" spans="1:7" x14ac:dyDescent="0.2">
      <c r="A23" t="s">
        <v>48</v>
      </c>
      <c r="B23">
        <v>0</v>
      </c>
      <c r="C23">
        <v>4.9000000000000004</v>
      </c>
      <c r="D23" t="s">
        <v>983</v>
      </c>
      <c r="E23" t="s">
        <v>975</v>
      </c>
      <c r="F23">
        <v>83.3</v>
      </c>
      <c r="G23">
        <v>2090.8000000000002</v>
      </c>
    </row>
    <row r="24" spans="1:7" x14ac:dyDescent="0.2">
      <c r="A24" t="s">
        <v>985</v>
      </c>
      <c r="B24">
        <v>0</v>
      </c>
      <c r="C24">
        <v>7.6</v>
      </c>
      <c r="D24" t="s">
        <v>983</v>
      </c>
      <c r="E24" t="s">
        <v>975</v>
      </c>
      <c r="F24">
        <v>90.9</v>
      </c>
      <c r="G24">
        <v>2083.1999999999998</v>
      </c>
    </row>
    <row r="25" spans="1:7" x14ac:dyDescent="0.2">
      <c r="A25" t="s">
        <v>986</v>
      </c>
      <c r="B25">
        <v>0</v>
      </c>
      <c r="C25">
        <v>6.8</v>
      </c>
      <c r="D25" t="s">
        <v>983</v>
      </c>
      <c r="E25" t="s">
        <v>975</v>
      </c>
      <c r="F25">
        <v>97.7</v>
      </c>
      <c r="G25">
        <v>2076.4</v>
      </c>
    </row>
    <row r="26" spans="1:7" x14ac:dyDescent="0.2">
      <c r="A26" t="s">
        <v>49</v>
      </c>
      <c r="B26">
        <v>0</v>
      </c>
      <c r="C26">
        <v>5.3</v>
      </c>
      <c r="D26" t="s">
        <v>983</v>
      </c>
      <c r="E26" t="s">
        <v>975</v>
      </c>
      <c r="F26">
        <v>103</v>
      </c>
      <c r="G26">
        <v>2071.1</v>
      </c>
    </row>
    <row r="27" spans="1:7" x14ac:dyDescent="0.2">
      <c r="A27" t="s">
        <v>987</v>
      </c>
      <c r="B27">
        <v>10</v>
      </c>
      <c r="C27">
        <v>13.8</v>
      </c>
      <c r="D27" t="s">
        <v>983</v>
      </c>
      <c r="E27" t="s">
        <v>975</v>
      </c>
      <c r="F27">
        <v>106.8</v>
      </c>
      <c r="G27">
        <v>2067.3000000000002</v>
      </c>
    </row>
    <row r="28" spans="1:7" x14ac:dyDescent="0.2">
      <c r="A28" t="s">
        <v>795</v>
      </c>
      <c r="B28">
        <v>0.5</v>
      </c>
      <c r="C28">
        <v>8</v>
      </c>
      <c r="D28" t="s">
        <v>983</v>
      </c>
      <c r="E28" t="s">
        <v>975</v>
      </c>
      <c r="F28">
        <v>111</v>
      </c>
      <c r="G28">
        <v>2063.1</v>
      </c>
    </row>
    <row r="29" spans="1:7" x14ac:dyDescent="0.2">
      <c r="A29" t="s">
        <v>50</v>
      </c>
      <c r="B29">
        <v>0</v>
      </c>
      <c r="C29">
        <v>12.6</v>
      </c>
      <c r="D29" t="s">
        <v>983</v>
      </c>
      <c r="E29" t="s">
        <v>975</v>
      </c>
      <c r="F29">
        <v>122.6</v>
      </c>
      <c r="G29">
        <v>2051.5</v>
      </c>
    </row>
    <row r="30" spans="1:7" x14ac:dyDescent="0.2">
      <c r="A30" t="s">
        <v>51</v>
      </c>
      <c r="B30">
        <v>0</v>
      </c>
      <c r="C30">
        <v>5.8</v>
      </c>
      <c r="D30" t="s">
        <v>983</v>
      </c>
      <c r="E30" t="s">
        <v>975</v>
      </c>
      <c r="F30">
        <v>128.4</v>
      </c>
      <c r="G30">
        <v>2045.7</v>
      </c>
    </row>
    <row r="31" spans="1:7" x14ac:dyDescent="0.2">
      <c r="A31" t="s">
        <v>988</v>
      </c>
      <c r="B31">
        <v>0</v>
      </c>
      <c r="C31">
        <v>4.9000000000000004</v>
      </c>
      <c r="D31" t="s">
        <v>983</v>
      </c>
      <c r="E31" t="s">
        <v>975</v>
      </c>
      <c r="F31">
        <v>133.30000000000001</v>
      </c>
      <c r="G31">
        <v>2040.8</v>
      </c>
    </row>
    <row r="32" spans="1:7" x14ac:dyDescent="0.2">
      <c r="A32" t="s">
        <v>52</v>
      </c>
      <c r="B32">
        <v>0</v>
      </c>
      <c r="C32">
        <v>7.7</v>
      </c>
      <c r="D32" t="s">
        <v>983</v>
      </c>
      <c r="E32" t="s">
        <v>975</v>
      </c>
      <c r="F32">
        <v>141</v>
      </c>
      <c r="G32">
        <v>2033.1</v>
      </c>
    </row>
    <row r="33" spans="1:7" x14ac:dyDescent="0.2">
      <c r="A33" t="s">
        <v>989</v>
      </c>
      <c r="B33">
        <v>0</v>
      </c>
      <c r="C33">
        <v>9.1</v>
      </c>
      <c r="D33" t="s">
        <v>983</v>
      </c>
      <c r="E33" t="s">
        <v>975</v>
      </c>
      <c r="F33">
        <v>150.1</v>
      </c>
      <c r="G33">
        <v>2024</v>
      </c>
    </row>
    <row r="34" spans="1:7" x14ac:dyDescent="0.2">
      <c r="A34" t="s">
        <v>54</v>
      </c>
      <c r="B34">
        <v>0</v>
      </c>
      <c r="C34">
        <v>6.1</v>
      </c>
      <c r="D34" t="s">
        <v>983</v>
      </c>
      <c r="E34" t="s">
        <v>975</v>
      </c>
      <c r="F34">
        <v>156.19999999999999</v>
      </c>
      <c r="G34">
        <v>2017.9</v>
      </c>
    </row>
    <row r="35" spans="1:7" x14ac:dyDescent="0.2">
      <c r="A35" t="s">
        <v>990</v>
      </c>
      <c r="B35">
        <v>2</v>
      </c>
      <c r="C35">
        <v>7.5</v>
      </c>
      <c r="D35" t="s">
        <v>983</v>
      </c>
      <c r="E35" t="s">
        <v>975</v>
      </c>
      <c r="F35">
        <v>161.69999999999999</v>
      </c>
      <c r="G35">
        <v>2012.4</v>
      </c>
    </row>
    <row r="36" spans="1:7" x14ac:dyDescent="0.2">
      <c r="A36" t="s">
        <v>55</v>
      </c>
      <c r="B36">
        <v>0</v>
      </c>
      <c r="C36">
        <v>6.6</v>
      </c>
      <c r="D36" t="s">
        <v>983</v>
      </c>
      <c r="E36" t="s">
        <v>975</v>
      </c>
      <c r="F36">
        <v>162.80000000000001</v>
      </c>
      <c r="G36">
        <v>2011.3</v>
      </c>
    </row>
    <row r="37" spans="1:7" x14ac:dyDescent="0.2">
      <c r="A37" t="s">
        <v>56</v>
      </c>
      <c r="B37">
        <v>0</v>
      </c>
      <c r="C37">
        <v>11.3</v>
      </c>
      <c r="D37" t="s">
        <v>983</v>
      </c>
      <c r="E37" t="s">
        <v>975</v>
      </c>
      <c r="F37">
        <v>174.1</v>
      </c>
      <c r="G37">
        <v>2000</v>
      </c>
    </row>
    <row r="38" spans="1:7" x14ac:dyDescent="0.2">
      <c r="A38" t="s">
        <v>57</v>
      </c>
      <c r="B38">
        <v>0</v>
      </c>
      <c r="C38">
        <v>2.5</v>
      </c>
      <c r="D38" t="s">
        <v>983</v>
      </c>
      <c r="E38" t="s">
        <v>975</v>
      </c>
      <c r="F38">
        <v>176.6</v>
      </c>
      <c r="G38">
        <v>1997.5</v>
      </c>
    </row>
    <row r="39" spans="1:7" x14ac:dyDescent="0.2">
      <c r="A39" t="s">
        <v>58</v>
      </c>
      <c r="B39">
        <v>0.2</v>
      </c>
      <c r="C39">
        <v>3.1</v>
      </c>
      <c r="D39" t="s">
        <v>983</v>
      </c>
      <c r="E39" t="s">
        <v>975</v>
      </c>
      <c r="F39">
        <v>179.7</v>
      </c>
      <c r="G39">
        <v>1994.4</v>
      </c>
    </row>
    <row r="40" spans="1:7" x14ac:dyDescent="0.2">
      <c r="A40" t="s">
        <v>59</v>
      </c>
      <c r="B40">
        <v>0</v>
      </c>
      <c r="C40">
        <v>6.5</v>
      </c>
      <c r="D40" t="s">
        <v>983</v>
      </c>
      <c r="E40" t="s">
        <v>975</v>
      </c>
      <c r="F40">
        <v>186</v>
      </c>
      <c r="G40">
        <v>1988.1</v>
      </c>
    </row>
    <row r="41" spans="1:7" x14ac:dyDescent="0.2">
      <c r="A41" t="s">
        <v>991</v>
      </c>
      <c r="B41">
        <v>0</v>
      </c>
      <c r="C41">
        <v>5.5</v>
      </c>
      <c r="D41" t="s">
        <v>983</v>
      </c>
      <c r="E41" t="s">
        <v>975</v>
      </c>
      <c r="F41">
        <v>191.3</v>
      </c>
      <c r="G41">
        <v>1982.8</v>
      </c>
    </row>
    <row r="42" spans="1:7" x14ac:dyDescent="0.2">
      <c r="A42" t="s">
        <v>60</v>
      </c>
      <c r="B42">
        <v>0</v>
      </c>
      <c r="C42">
        <v>1.7</v>
      </c>
      <c r="D42" t="s">
        <v>983</v>
      </c>
      <c r="E42" t="s">
        <v>975</v>
      </c>
      <c r="F42">
        <v>193</v>
      </c>
      <c r="G42">
        <v>1981.1</v>
      </c>
    </row>
    <row r="43" spans="1:7" x14ac:dyDescent="0.2">
      <c r="A43" t="s">
        <v>61</v>
      </c>
      <c r="B43">
        <v>0.5</v>
      </c>
      <c r="C43">
        <v>6.8</v>
      </c>
      <c r="D43" t="s">
        <v>983</v>
      </c>
      <c r="E43" t="s">
        <v>975</v>
      </c>
      <c r="F43">
        <v>199.8</v>
      </c>
      <c r="G43">
        <v>1974.3</v>
      </c>
    </row>
    <row r="44" spans="1:7" x14ac:dyDescent="0.2">
      <c r="A44" t="s">
        <v>62</v>
      </c>
      <c r="B44">
        <v>0</v>
      </c>
      <c r="C44">
        <v>8</v>
      </c>
      <c r="D44" t="s">
        <v>983</v>
      </c>
      <c r="E44" t="s">
        <v>975</v>
      </c>
      <c r="F44">
        <v>206.8</v>
      </c>
      <c r="G44">
        <v>1967.3</v>
      </c>
    </row>
    <row r="45" spans="1:7" x14ac:dyDescent="0.2">
      <c r="A45" t="s">
        <v>63</v>
      </c>
      <c r="B45">
        <v>0.4</v>
      </c>
      <c r="C45">
        <v>7.8</v>
      </c>
      <c r="D45" t="s">
        <v>983</v>
      </c>
      <c r="E45" t="s">
        <v>975</v>
      </c>
      <c r="F45">
        <v>214.6</v>
      </c>
      <c r="G45">
        <v>1959.5</v>
      </c>
    </row>
    <row r="46" spans="1:7" x14ac:dyDescent="0.2">
      <c r="A46" t="s">
        <v>290</v>
      </c>
      <c r="B46">
        <v>0</v>
      </c>
      <c r="C46">
        <v>5.6</v>
      </c>
      <c r="D46" t="s">
        <v>983</v>
      </c>
      <c r="E46" t="s">
        <v>975</v>
      </c>
      <c r="F46">
        <v>219.4</v>
      </c>
      <c r="G46">
        <v>1954.7</v>
      </c>
    </row>
    <row r="47" spans="1:7" x14ac:dyDescent="0.2">
      <c r="A47" t="s">
        <v>64</v>
      </c>
      <c r="B47">
        <v>0</v>
      </c>
      <c r="C47">
        <v>7.7</v>
      </c>
      <c r="D47" t="s">
        <v>983</v>
      </c>
      <c r="E47" t="s">
        <v>975</v>
      </c>
      <c r="F47">
        <v>227.1</v>
      </c>
      <c r="G47">
        <v>1947</v>
      </c>
    </row>
    <row r="48" spans="1:7" x14ac:dyDescent="0.2">
      <c r="A48" t="s">
        <v>65</v>
      </c>
      <c r="B48">
        <v>0</v>
      </c>
      <c r="C48">
        <v>7.1</v>
      </c>
      <c r="D48" t="s">
        <v>983</v>
      </c>
      <c r="E48" t="s">
        <v>975</v>
      </c>
      <c r="F48">
        <v>234.2</v>
      </c>
      <c r="G48">
        <v>1939.9</v>
      </c>
    </row>
    <row r="49" spans="1:7" x14ac:dyDescent="0.2">
      <c r="A49" t="s">
        <v>66</v>
      </c>
      <c r="B49">
        <v>0</v>
      </c>
      <c r="C49">
        <v>10.7</v>
      </c>
      <c r="D49" t="s">
        <v>983</v>
      </c>
      <c r="E49" t="s">
        <v>975</v>
      </c>
      <c r="F49">
        <v>244.7</v>
      </c>
      <c r="G49">
        <v>1929.4</v>
      </c>
    </row>
    <row r="50" spans="1:7" x14ac:dyDescent="0.2">
      <c r="A50" t="s">
        <v>67</v>
      </c>
      <c r="B50">
        <v>0</v>
      </c>
      <c r="C50">
        <v>11.5</v>
      </c>
      <c r="D50" t="s">
        <v>983</v>
      </c>
      <c r="E50" t="s">
        <v>975</v>
      </c>
      <c r="F50">
        <v>256</v>
      </c>
      <c r="G50">
        <v>1918.1</v>
      </c>
    </row>
    <row r="51" spans="1:7" x14ac:dyDescent="0.2">
      <c r="A51" t="s">
        <v>68</v>
      </c>
      <c r="B51">
        <v>0</v>
      </c>
      <c r="C51">
        <v>1.8</v>
      </c>
      <c r="D51" t="s">
        <v>983</v>
      </c>
      <c r="E51" t="s">
        <v>975</v>
      </c>
      <c r="F51">
        <v>257.8</v>
      </c>
      <c r="G51">
        <v>1916.3</v>
      </c>
    </row>
    <row r="52" spans="1:7" x14ac:dyDescent="0.2">
      <c r="A52" t="s">
        <v>69</v>
      </c>
      <c r="B52">
        <v>0</v>
      </c>
      <c r="C52">
        <v>9.9</v>
      </c>
      <c r="D52" t="s">
        <v>983</v>
      </c>
      <c r="E52" t="s">
        <v>975</v>
      </c>
      <c r="F52">
        <v>267.7</v>
      </c>
      <c r="G52">
        <v>1906.4</v>
      </c>
    </row>
    <row r="53" spans="1:7" x14ac:dyDescent="0.2">
      <c r="A53" t="s">
        <v>992</v>
      </c>
      <c r="B53">
        <v>0</v>
      </c>
      <c r="C53">
        <v>3.2</v>
      </c>
      <c r="D53" t="s">
        <v>983</v>
      </c>
      <c r="E53" t="s">
        <v>975</v>
      </c>
      <c r="F53">
        <v>270.89999999999998</v>
      </c>
      <c r="G53">
        <v>1903.2</v>
      </c>
    </row>
    <row r="54" spans="1:7" x14ac:dyDescent="0.2">
      <c r="A54" t="s">
        <v>70</v>
      </c>
      <c r="B54">
        <v>0</v>
      </c>
      <c r="C54">
        <v>14.2</v>
      </c>
      <c r="D54" t="s">
        <v>983</v>
      </c>
      <c r="E54" t="s">
        <v>975</v>
      </c>
      <c r="F54">
        <v>281.89999999999998</v>
      </c>
      <c r="G54">
        <v>1892.2</v>
      </c>
    </row>
    <row r="55" spans="1:7" x14ac:dyDescent="0.2">
      <c r="A55" t="s">
        <v>71</v>
      </c>
      <c r="B55">
        <v>0</v>
      </c>
      <c r="C55">
        <v>8.6</v>
      </c>
      <c r="D55" t="s">
        <v>983</v>
      </c>
      <c r="E55" t="s">
        <v>975</v>
      </c>
      <c r="F55">
        <v>290.5</v>
      </c>
      <c r="G55">
        <v>1883.6</v>
      </c>
    </row>
    <row r="56" spans="1:7" x14ac:dyDescent="0.2">
      <c r="A56" t="s">
        <v>993</v>
      </c>
      <c r="B56">
        <v>0</v>
      </c>
      <c r="C56">
        <v>6.7</v>
      </c>
      <c r="D56" t="s">
        <v>983</v>
      </c>
      <c r="E56" t="s">
        <v>975</v>
      </c>
      <c r="F56">
        <v>297.3</v>
      </c>
      <c r="G56">
        <v>1876.8</v>
      </c>
    </row>
    <row r="57" spans="1:7" x14ac:dyDescent="0.2">
      <c r="A57" t="s">
        <v>72</v>
      </c>
      <c r="B57">
        <v>0.1</v>
      </c>
      <c r="C57">
        <v>5.9</v>
      </c>
      <c r="D57" t="s">
        <v>983</v>
      </c>
      <c r="E57" t="s">
        <v>975</v>
      </c>
      <c r="F57">
        <v>303.2</v>
      </c>
      <c r="G57">
        <v>1870.9</v>
      </c>
    </row>
    <row r="58" spans="1:7" x14ac:dyDescent="0.2">
      <c r="A58" t="s">
        <v>73</v>
      </c>
      <c r="B58">
        <v>0</v>
      </c>
      <c r="C58">
        <v>8.8000000000000007</v>
      </c>
      <c r="D58" t="s">
        <v>983</v>
      </c>
      <c r="E58" t="s">
        <v>975</v>
      </c>
      <c r="F58">
        <v>312.10000000000002</v>
      </c>
      <c r="G58">
        <v>1862</v>
      </c>
    </row>
    <row r="59" spans="1:7" x14ac:dyDescent="0.2">
      <c r="A59" t="s">
        <v>74</v>
      </c>
      <c r="B59">
        <v>0</v>
      </c>
      <c r="C59">
        <v>10.199999999999999</v>
      </c>
      <c r="D59" t="s">
        <v>983</v>
      </c>
      <c r="E59" t="s">
        <v>975</v>
      </c>
      <c r="F59">
        <v>322</v>
      </c>
      <c r="G59">
        <v>1852.1</v>
      </c>
    </row>
    <row r="60" spans="1:7" x14ac:dyDescent="0.2">
      <c r="A60" t="s">
        <v>75</v>
      </c>
      <c r="B60">
        <v>0</v>
      </c>
      <c r="C60">
        <v>10.6</v>
      </c>
      <c r="D60" t="s">
        <v>983</v>
      </c>
      <c r="E60" t="s">
        <v>975</v>
      </c>
      <c r="F60">
        <v>332.6</v>
      </c>
      <c r="G60">
        <v>1841.5</v>
      </c>
    </row>
    <row r="61" spans="1:7" x14ac:dyDescent="0.2">
      <c r="A61" t="s">
        <v>994</v>
      </c>
      <c r="B61">
        <v>3.8</v>
      </c>
      <c r="C61">
        <v>10.1</v>
      </c>
      <c r="D61" t="s">
        <v>983</v>
      </c>
      <c r="E61" t="s">
        <v>975</v>
      </c>
      <c r="F61">
        <v>338.3</v>
      </c>
      <c r="G61">
        <v>1835.8</v>
      </c>
    </row>
    <row r="62" spans="1:7" x14ac:dyDescent="0.2">
      <c r="A62" t="s">
        <v>76</v>
      </c>
      <c r="B62">
        <v>0</v>
      </c>
      <c r="C62">
        <v>10.5</v>
      </c>
      <c r="D62" t="s">
        <v>983</v>
      </c>
      <c r="E62" t="s">
        <v>975</v>
      </c>
      <c r="F62">
        <v>343.1</v>
      </c>
      <c r="G62">
        <v>1831</v>
      </c>
    </row>
    <row r="63" spans="1:7" x14ac:dyDescent="0.2">
      <c r="A63" t="s">
        <v>77</v>
      </c>
      <c r="B63">
        <v>0</v>
      </c>
      <c r="C63">
        <v>12.1</v>
      </c>
      <c r="D63" t="s">
        <v>983</v>
      </c>
      <c r="E63" t="s">
        <v>975</v>
      </c>
      <c r="F63">
        <v>355.2</v>
      </c>
      <c r="G63">
        <v>1818.9</v>
      </c>
    </row>
    <row r="64" spans="1:7" x14ac:dyDescent="0.2">
      <c r="A64" t="s">
        <v>78</v>
      </c>
      <c r="B64">
        <v>0.1</v>
      </c>
      <c r="C64">
        <v>8.8000000000000007</v>
      </c>
      <c r="D64" t="s">
        <v>983</v>
      </c>
      <c r="E64" t="s">
        <v>975</v>
      </c>
      <c r="F64">
        <v>364.1</v>
      </c>
      <c r="G64">
        <v>1810</v>
      </c>
    </row>
    <row r="65" spans="1:7" x14ac:dyDescent="0.2">
      <c r="A65" t="s">
        <v>79</v>
      </c>
      <c r="B65">
        <v>0</v>
      </c>
      <c r="C65">
        <v>6.5</v>
      </c>
      <c r="D65" t="s">
        <v>983</v>
      </c>
      <c r="E65" t="s">
        <v>975</v>
      </c>
      <c r="F65">
        <v>370.4</v>
      </c>
      <c r="G65">
        <v>1803.7</v>
      </c>
    </row>
    <row r="66" spans="1:7" x14ac:dyDescent="0.2">
      <c r="A66" t="s">
        <v>80</v>
      </c>
      <c r="B66">
        <v>0</v>
      </c>
      <c r="C66">
        <v>4.8</v>
      </c>
      <c r="D66" t="s">
        <v>983</v>
      </c>
      <c r="E66" t="s">
        <v>975</v>
      </c>
      <c r="F66">
        <v>375.2</v>
      </c>
      <c r="G66">
        <v>1798.9</v>
      </c>
    </row>
    <row r="67" spans="1:7" x14ac:dyDescent="0.2">
      <c r="A67" t="s">
        <v>81</v>
      </c>
      <c r="B67">
        <v>0.3</v>
      </c>
      <c r="C67">
        <v>2</v>
      </c>
      <c r="D67" t="s">
        <v>983</v>
      </c>
      <c r="E67" t="s">
        <v>975</v>
      </c>
      <c r="F67">
        <v>377.2</v>
      </c>
      <c r="G67">
        <v>1796.9</v>
      </c>
    </row>
    <row r="68" spans="1:7" x14ac:dyDescent="0.2">
      <c r="A68" t="s">
        <v>995</v>
      </c>
      <c r="B68">
        <v>2.5</v>
      </c>
      <c r="C68">
        <v>0.3</v>
      </c>
      <c r="D68" t="s">
        <v>983</v>
      </c>
      <c r="E68" t="s">
        <v>975</v>
      </c>
      <c r="F68">
        <v>384.5</v>
      </c>
      <c r="G68">
        <v>1789.6</v>
      </c>
    </row>
    <row r="69" spans="1:7" x14ac:dyDescent="0.2">
      <c r="A69" t="s">
        <v>996</v>
      </c>
      <c r="B69">
        <v>0</v>
      </c>
      <c r="C69">
        <v>8.5</v>
      </c>
      <c r="D69" t="s">
        <v>983</v>
      </c>
      <c r="E69" t="s">
        <v>975</v>
      </c>
      <c r="F69">
        <v>385.1</v>
      </c>
      <c r="G69">
        <v>1789</v>
      </c>
    </row>
    <row r="70" spans="1:7" x14ac:dyDescent="0.2">
      <c r="A70" t="s">
        <v>997</v>
      </c>
      <c r="B70">
        <v>3.4</v>
      </c>
      <c r="C70">
        <v>3.9</v>
      </c>
      <c r="D70" t="s">
        <v>983</v>
      </c>
      <c r="E70" t="s">
        <v>975</v>
      </c>
      <c r="F70">
        <v>385.6</v>
      </c>
      <c r="G70">
        <v>1788.5</v>
      </c>
    </row>
    <row r="71" spans="1:7" x14ac:dyDescent="0.2">
      <c r="A71" t="s">
        <v>82</v>
      </c>
      <c r="B71">
        <v>0</v>
      </c>
      <c r="C71">
        <v>18</v>
      </c>
      <c r="D71" t="s">
        <v>796</v>
      </c>
      <c r="E71" t="s">
        <v>975</v>
      </c>
      <c r="F71">
        <v>403.1</v>
      </c>
      <c r="G71">
        <v>1771</v>
      </c>
    </row>
    <row r="72" spans="1:7" x14ac:dyDescent="0.2">
      <c r="A72" t="s">
        <v>998</v>
      </c>
      <c r="B72">
        <v>0</v>
      </c>
      <c r="C72">
        <v>6.3</v>
      </c>
      <c r="D72" t="s">
        <v>796</v>
      </c>
      <c r="E72" t="s">
        <v>975</v>
      </c>
      <c r="F72">
        <v>409.2</v>
      </c>
      <c r="G72">
        <v>1764.9</v>
      </c>
    </row>
    <row r="73" spans="1:7" x14ac:dyDescent="0.2">
      <c r="A73" t="s">
        <v>83</v>
      </c>
      <c r="B73">
        <v>0</v>
      </c>
      <c r="C73">
        <v>8</v>
      </c>
      <c r="D73" t="s">
        <v>796</v>
      </c>
      <c r="E73" t="s">
        <v>975</v>
      </c>
      <c r="F73">
        <v>411.1</v>
      </c>
      <c r="G73">
        <v>1763</v>
      </c>
    </row>
    <row r="74" spans="1:7" x14ac:dyDescent="0.2">
      <c r="A74" t="s">
        <v>999</v>
      </c>
      <c r="B74">
        <v>2.6</v>
      </c>
      <c r="C74">
        <v>9.6</v>
      </c>
      <c r="D74" t="s">
        <v>796</v>
      </c>
      <c r="E74" t="s">
        <v>975</v>
      </c>
      <c r="F74">
        <v>418.1</v>
      </c>
      <c r="G74">
        <v>1756</v>
      </c>
    </row>
    <row r="75" spans="1:7" x14ac:dyDescent="0.2">
      <c r="A75" t="s">
        <v>1000</v>
      </c>
      <c r="B75">
        <v>0</v>
      </c>
      <c r="C75">
        <v>8.9</v>
      </c>
      <c r="D75" t="s">
        <v>796</v>
      </c>
      <c r="E75" t="s">
        <v>975</v>
      </c>
      <c r="F75">
        <v>420</v>
      </c>
      <c r="G75">
        <v>1754.1</v>
      </c>
    </row>
    <row r="76" spans="1:7" x14ac:dyDescent="0.2">
      <c r="A76" t="s">
        <v>84</v>
      </c>
      <c r="B76">
        <v>0</v>
      </c>
      <c r="C76">
        <v>7.3</v>
      </c>
      <c r="D76" t="s">
        <v>796</v>
      </c>
      <c r="E76" t="s">
        <v>975</v>
      </c>
      <c r="F76">
        <v>426.7</v>
      </c>
      <c r="G76">
        <v>1747.4</v>
      </c>
    </row>
    <row r="77" spans="1:7" x14ac:dyDescent="0.2">
      <c r="A77" t="s">
        <v>85</v>
      </c>
      <c r="B77">
        <v>0</v>
      </c>
      <c r="C77">
        <v>7.3</v>
      </c>
      <c r="D77" t="s">
        <v>796</v>
      </c>
      <c r="E77" t="s">
        <v>977</v>
      </c>
      <c r="F77">
        <v>433.5</v>
      </c>
      <c r="G77">
        <v>1740.6</v>
      </c>
    </row>
    <row r="78" spans="1:7" x14ac:dyDescent="0.2">
      <c r="A78" t="s">
        <v>86</v>
      </c>
      <c r="B78">
        <v>0</v>
      </c>
      <c r="C78">
        <v>8</v>
      </c>
      <c r="D78" t="s">
        <v>796</v>
      </c>
      <c r="E78" t="s">
        <v>975</v>
      </c>
      <c r="F78">
        <v>441.5</v>
      </c>
      <c r="G78">
        <v>1732.6</v>
      </c>
    </row>
    <row r="79" spans="1:7" x14ac:dyDescent="0.2">
      <c r="A79" t="s">
        <v>1001</v>
      </c>
      <c r="B79">
        <v>3</v>
      </c>
      <c r="C79">
        <v>6.5</v>
      </c>
      <c r="D79" t="s">
        <v>796</v>
      </c>
      <c r="E79" t="s">
        <v>975</v>
      </c>
      <c r="F79">
        <v>445</v>
      </c>
      <c r="G79">
        <v>1729.1</v>
      </c>
    </row>
    <row r="80" spans="1:7" x14ac:dyDescent="0.2">
      <c r="A80" t="s">
        <v>87</v>
      </c>
      <c r="B80">
        <v>0</v>
      </c>
      <c r="C80">
        <v>8.3000000000000007</v>
      </c>
      <c r="D80" t="s">
        <v>796</v>
      </c>
      <c r="E80" t="s">
        <v>977</v>
      </c>
      <c r="F80">
        <v>449.8</v>
      </c>
      <c r="G80">
        <v>1724.3</v>
      </c>
    </row>
    <row r="81" spans="1:7" x14ac:dyDescent="0.2">
      <c r="A81" t="s">
        <v>1002</v>
      </c>
      <c r="B81">
        <v>0</v>
      </c>
      <c r="C81">
        <v>6.5</v>
      </c>
      <c r="D81" t="s">
        <v>797</v>
      </c>
      <c r="E81" t="s">
        <v>977</v>
      </c>
      <c r="F81">
        <v>456.3</v>
      </c>
      <c r="G81">
        <v>1717.8</v>
      </c>
    </row>
    <row r="82" spans="1:7" x14ac:dyDescent="0.2">
      <c r="A82" t="s">
        <v>1003</v>
      </c>
      <c r="B82">
        <v>0</v>
      </c>
      <c r="C82">
        <v>10</v>
      </c>
      <c r="D82" t="s">
        <v>797</v>
      </c>
      <c r="E82" t="s">
        <v>975</v>
      </c>
      <c r="F82">
        <v>459.8</v>
      </c>
      <c r="G82">
        <v>1714.3</v>
      </c>
    </row>
    <row r="83" spans="1:7" x14ac:dyDescent="0.2">
      <c r="A83" t="s">
        <v>88</v>
      </c>
      <c r="B83">
        <v>0.2</v>
      </c>
      <c r="C83">
        <v>19.600000000000001</v>
      </c>
      <c r="D83" t="s">
        <v>797</v>
      </c>
      <c r="E83" t="s">
        <v>975</v>
      </c>
      <c r="F83">
        <v>469.4</v>
      </c>
      <c r="G83">
        <v>1704.7</v>
      </c>
    </row>
    <row r="84" spans="1:7" x14ac:dyDescent="0.2">
      <c r="A84" t="s">
        <v>89</v>
      </c>
      <c r="B84">
        <v>0</v>
      </c>
      <c r="C84">
        <v>6.6</v>
      </c>
      <c r="D84" t="s">
        <v>797</v>
      </c>
      <c r="E84" t="s">
        <v>975</v>
      </c>
      <c r="F84">
        <v>475.6</v>
      </c>
      <c r="G84">
        <v>1698.5</v>
      </c>
    </row>
    <row r="85" spans="1:7" x14ac:dyDescent="0.2">
      <c r="A85" t="s">
        <v>90</v>
      </c>
      <c r="B85">
        <v>0</v>
      </c>
      <c r="C85">
        <v>12.2</v>
      </c>
      <c r="D85" t="s">
        <v>797</v>
      </c>
      <c r="E85" t="s">
        <v>975</v>
      </c>
      <c r="F85">
        <v>487.8</v>
      </c>
      <c r="G85">
        <v>1686.3</v>
      </c>
    </row>
    <row r="86" spans="1:7" x14ac:dyDescent="0.2">
      <c r="A86" t="s">
        <v>91</v>
      </c>
      <c r="B86">
        <v>0</v>
      </c>
      <c r="C86">
        <v>5.3</v>
      </c>
      <c r="D86" t="s">
        <v>797</v>
      </c>
      <c r="E86" t="s">
        <v>975</v>
      </c>
      <c r="F86">
        <v>493.1</v>
      </c>
      <c r="G86">
        <v>1681</v>
      </c>
    </row>
    <row r="87" spans="1:7" x14ac:dyDescent="0.2">
      <c r="A87" t="s">
        <v>92</v>
      </c>
      <c r="B87">
        <v>0</v>
      </c>
      <c r="C87">
        <v>5.9</v>
      </c>
      <c r="D87" t="s">
        <v>797</v>
      </c>
      <c r="E87" t="s">
        <v>975</v>
      </c>
      <c r="F87">
        <v>498.8</v>
      </c>
      <c r="G87">
        <v>1675.3</v>
      </c>
    </row>
    <row r="88" spans="1:7" x14ac:dyDescent="0.2">
      <c r="A88" t="s">
        <v>1004</v>
      </c>
      <c r="B88">
        <v>2.6</v>
      </c>
      <c r="C88">
        <v>12.8</v>
      </c>
      <c r="D88" t="s">
        <v>797</v>
      </c>
      <c r="E88" t="s">
        <v>975</v>
      </c>
      <c r="F88">
        <v>509</v>
      </c>
      <c r="G88">
        <v>1665.1</v>
      </c>
    </row>
    <row r="89" spans="1:7" x14ac:dyDescent="0.2">
      <c r="A89" t="s">
        <v>1005</v>
      </c>
      <c r="B89">
        <v>0</v>
      </c>
      <c r="C89">
        <v>0.2</v>
      </c>
      <c r="D89" t="s">
        <v>797</v>
      </c>
      <c r="E89" t="s">
        <v>975</v>
      </c>
      <c r="F89">
        <v>510.5</v>
      </c>
      <c r="G89">
        <v>1663.6</v>
      </c>
    </row>
    <row r="90" spans="1:7" x14ac:dyDescent="0.2">
      <c r="A90" t="s">
        <v>93</v>
      </c>
      <c r="B90">
        <v>0.1</v>
      </c>
      <c r="C90">
        <v>2.7</v>
      </c>
      <c r="D90" t="s">
        <v>797</v>
      </c>
      <c r="E90" t="s">
        <v>975</v>
      </c>
      <c r="F90">
        <v>512.9</v>
      </c>
      <c r="G90">
        <v>1661.2</v>
      </c>
    </row>
    <row r="91" spans="1:7" x14ac:dyDescent="0.2">
      <c r="A91" t="s">
        <v>94</v>
      </c>
      <c r="B91">
        <v>0</v>
      </c>
      <c r="C91">
        <v>10.7</v>
      </c>
      <c r="D91" t="s">
        <v>797</v>
      </c>
      <c r="E91" t="s">
        <v>975</v>
      </c>
      <c r="F91">
        <v>523.5</v>
      </c>
      <c r="G91">
        <v>1650.6</v>
      </c>
    </row>
    <row r="92" spans="1:7" x14ac:dyDescent="0.2">
      <c r="A92" t="s">
        <v>1006</v>
      </c>
      <c r="B92">
        <v>3.2</v>
      </c>
      <c r="C92">
        <v>3.2</v>
      </c>
      <c r="D92" t="s">
        <v>797</v>
      </c>
      <c r="E92" t="s">
        <v>975</v>
      </c>
      <c r="F92">
        <v>523.6</v>
      </c>
      <c r="G92">
        <v>1650.5</v>
      </c>
    </row>
    <row r="93" spans="1:7" x14ac:dyDescent="0.2">
      <c r="A93" t="s">
        <v>95</v>
      </c>
      <c r="B93">
        <v>0</v>
      </c>
      <c r="C93">
        <v>7.1</v>
      </c>
      <c r="D93" t="s">
        <v>797</v>
      </c>
      <c r="E93" t="s">
        <v>975</v>
      </c>
      <c r="F93">
        <v>530.6</v>
      </c>
      <c r="G93">
        <v>1643.5</v>
      </c>
    </row>
    <row r="94" spans="1:7" x14ac:dyDescent="0.2">
      <c r="A94" t="s">
        <v>1007</v>
      </c>
      <c r="B94">
        <v>3.2</v>
      </c>
      <c r="C94">
        <v>7.7</v>
      </c>
      <c r="D94" t="s">
        <v>797</v>
      </c>
      <c r="E94" t="s">
        <v>975</v>
      </c>
      <c r="F94">
        <v>535.1</v>
      </c>
      <c r="G94">
        <v>1639</v>
      </c>
    </row>
    <row r="95" spans="1:7" x14ac:dyDescent="0.2">
      <c r="A95" t="s">
        <v>1008</v>
      </c>
      <c r="B95">
        <v>0</v>
      </c>
      <c r="C95">
        <v>7.2</v>
      </c>
      <c r="D95" t="s">
        <v>797</v>
      </c>
      <c r="E95" t="s">
        <v>977</v>
      </c>
      <c r="F95">
        <v>537.79999999999995</v>
      </c>
      <c r="G95">
        <v>1636.3</v>
      </c>
    </row>
    <row r="96" spans="1:7" x14ac:dyDescent="0.2">
      <c r="A96" t="s">
        <v>1009</v>
      </c>
      <c r="B96">
        <v>5.2</v>
      </c>
      <c r="C96">
        <v>14.7</v>
      </c>
      <c r="D96" t="s">
        <v>797</v>
      </c>
      <c r="E96" t="s">
        <v>975</v>
      </c>
      <c r="F96">
        <v>546.9</v>
      </c>
      <c r="G96">
        <v>1627.2</v>
      </c>
    </row>
    <row r="97" spans="1:7" x14ac:dyDescent="0.2">
      <c r="A97" t="s">
        <v>96</v>
      </c>
      <c r="B97">
        <v>0</v>
      </c>
      <c r="C97">
        <v>11.2</v>
      </c>
      <c r="D97" t="s">
        <v>797</v>
      </c>
      <c r="E97" t="s">
        <v>975</v>
      </c>
      <c r="F97">
        <v>549</v>
      </c>
      <c r="G97">
        <v>1625.1</v>
      </c>
    </row>
    <row r="98" spans="1:7" x14ac:dyDescent="0.2">
      <c r="A98" t="s">
        <v>97</v>
      </c>
      <c r="B98">
        <v>0</v>
      </c>
      <c r="C98">
        <v>9</v>
      </c>
      <c r="D98" t="s">
        <v>797</v>
      </c>
      <c r="E98" t="s">
        <v>977</v>
      </c>
      <c r="F98">
        <v>558</v>
      </c>
      <c r="G98">
        <v>1616.1</v>
      </c>
    </row>
    <row r="99" spans="1:7" x14ac:dyDescent="0.2">
      <c r="A99" t="s">
        <v>98</v>
      </c>
      <c r="B99">
        <v>0</v>
      </c>
      <c r="C99">
        <v>10</v>
      </c>
      <c r="D99" t="s">
        <v>797</v>
      </c>
      <c r="E99" t="s">
        <v>975</v>
      </c>
      <c r="F99">
        <v>568</v>
      </c>
      <c r="G99">
        <v>1606.1</v>
      </c>
    </row>
    <row r="100" spans="1:7" x14ac:dyDescent="0.2">
      <c r="A100" t="s">
        <v>1010</v>
      </c>
      <c r="B100">
        <v>1.8</v>
      </c>
      <c r="C100">
        <v>13.8</v>
      </c>
      <c r="D100" t="s">
        <v>797</v>
      </c>
      <c r="E100" t="s">
        <v>975</v>
      </c>
      <c r="F100">
        <v>579.5</v>
      </c>
      <c r="G100">
        <v>1594.6</v>
      </c>
    </row>
    <row r="101" spans="1:7" x14ac:dyDescent="0.2">
      <c r="A101" t="s">
        <v>1011</v>
      </c>
      <c r="B101">
        <v>2.5</v>
      </c>
      <c r="C101">
        <v>14.5</v>
      </c>
      <c r="D101" t="s">
        <v>797</v>
      </c>
      <c r="E101" t="s">
        <v>975</v>
      </c>
      <c r="F101">
        <v>580.20000000000005</v>
      </c>
      <c r="G101">
        <v>1593.9</v>
      </c>
    </row>
    <row r="102" spans="1:7" x14ac:dyDescent="0.2">
      <c r="A102" t="s">
        <v>99</v>
      </c>
      <c r="B102">
        <v>0.3</v>
      </c>
      <c r="C102">
        <v>14.1</v>
      </c>
      <c r="D102" t="s">
        <v>797</v>
      </c>
      <c r="E102" t="s">
        <v>975</v>
      </c>
      <c r="F102">
        <v>582.1</v>
      </c>
      <c r="G102">
        <v>1592</v>
      </c>
    </row>
    <row r="103" spans="1:7" x14ac:dyDescent="0.2">
      <c r="A103" t="s">
        <v>100</v>
      </c>
      <c r="B103">
        <v>0</v>
      </c>
      <c r="C103">
        <v>10.1</v>
      </c>
      <c r="D103" t="s">
        <v>797</v>
      </c>
      <c r="E103" t="s">
        <v>975</v>
      </c>
      <c r="F103">
        <v>591.6</v>
      </c>
      <c r="G103">
        <v>1582.5</v>
      </c>
    </row>
    <row r="104" spans="1:7" x14ac:dyDescent="0.2">
      <c r="A104" t="s">
        <v>101</v>
      </c>
      <c r="B104">
        <v>0</v>
      </c>
      <c r="C104">
        <v>14.2</v>
      </c>
      <c r="D104" t="s">
        <v>797</v>
      </c>
      <c r="E104" t="s">
        <v>975</v>
      </c>
      <c r="F104">
        <v>605.79999999999995</v>
      </c>
      <c r="G104">
        <v>1568.3</v>
      </c>
    </row>
    <row r="105" spans="1:7" x14ac:dyDescent="0.2">
      <c r="A105" t="s">
        <v>1012</v>
      </c>
      <c r="B105">
        <v>0</v>
      </c>
      <c r="C105">
        <v>8.4</v>
      </c>
      <c r="D105" t="s">
        <v>797</v>
      </c>
      <c r="E105" t="s">
        <v>975</v>
      </c>
      <c r="F105">
        <v>614.20000000000005</v>
      </c>
      <c r="G105">
        <v>1559.9</v>
      </c>
    </row>
    <row r="106" spans="1:7" x14ac:dyDescent="0.2">
      <c r="A106" t="s">
        <v>1013</v>
      </c>
      <c r="B106">
        <v>1</v>
      </c>
      <c r="C106">
        <v>8.8000000000000007</v>
      </c>
      <c r="D106" t="s">
        <v>797</v>
      </c>
      <c r="E106" t="s">
        <v>975</v>
      </c>
      <c r="F106">
        <v>622</v>
      </c>
      <c r="G106">
        <v>1552.1</v>
      </c>
    </row>
    <row r="107" spans="1:7" x14ac:dyDescent="0.2">
      <c r="A107" t="s">
        <v>102</v>
      </c>
      <c r="B107">
        <v>0</v>
      </c>
      <c r="C107">
        <v>15.1</v>
      </c>
      <c r="D107" t="s">
        <v>797</v>
      </c>
      <c r="E107" t="s">
        <v>975</v>
      </c>
      <c r="F107">
        <v>629.29999999999995</v>
      </c>
      <c r="G107">
        <v>1544.8</v>
      </c>
    </row>
    <row r="108" spans="1:7" x14ac:dyDescent="0.2">
      <c r="A108" t="s">
        <v>1014</v>
      </c>
      <c r="B108">
        <v>0</v>
      </c>
      <c r="C108">
        <v>12.3</v>
      </c>
      <c r="D108" t="s">
        <v>797</v>
      </c>
      <c r="E108" t="s">
        <v>975</v>
      </c>
      <c r="F108">
        <v>641.6</v>
      </c>
      <c r="G108">
        <v>1532.5</v>
      </c>
    </row>
    <row r="109" spans="1:7" x14ac:dyDescent="0.2">
      <c r="A109" t="s">
        <v>103</v>
      </c>
      <c r="B109">
        <v>0</v>
      </c>
      <c r="C109">
        <v>3.9</v>
      </c>
      <c r="D109" t="s">
        <v>797</v>
      </c>
      <c r="E109" t="s">
        <v>975</v>
      </c>
      <c r="F109">
        <v>645.5</v>
      </c>
      <c r="G109">
        <v>1528.6</v>
      </c>
    </row>
    <row r="110" spans="1:7" x14ac:dyDescent="0.2">
      <c r="A110" t="s">
        <v>104</v>
      </c>
      <c r="B110">
        <v>0</v>
      </c>
      <c r="C110">
        <v>8.8000000000000007</v>
      </c>
      <c r="D110" t="s">
        <v>797</v>
      </c>
      <c r="E110" t="s">
        <v>975</v>
      </c>
      <c r="F110">
        <v>654.29999999999995</v>
      </c>
      <c r="G110">
        <v>1519.8</v>
      </c>
    </row>
    <row r="111" spans="1:7" x14ac:dyDescent="0.2">
      <c r="A111" t="s">
        <v>105</v>
      </c>
      <c r="B111">
        <v>0</v>
      </c>
      <c r="C111">
        <v>5.8</v>
      </c>
      <c r="D111" t="s">
        <v>797</v>
      </c>
      <c r="E111" t="s">
        <v>975</v>
      </c>
      <c r="F111">
        <v>660.1</v>
      </c>
      <c r="G111">
        <v>1514</v>
      </c>
    </row>
    <row r="112" spans="1:7" x14ac:dyDescent="0.2">
      <c r="A112" t="s">
        <v>106</v>
      </c>
      <c r="B112">
        <v>0.3</v>
      </c>
      <c r="C112">
        <v>6.4</v>
      </c>
      <c r="D112" t="s">
        <v>797</v>
      </c>
      <c r="E112" t="s">
        <v>975</v>
      </c>
      <c r="F112">
        <v>666.5</v>
      </c>
      <c r="G112">
        <v>1507.6</v>
      </c>
    </row>
    <row r="113" spans="1:7" x14ac:dyDescent="0.2">
      <c r="A113" t="s">
        <v>107</v>
      </c>
      <c r="B113">
        <v>0</v>
      </c>
      <c r="C113">
        <v>6.3</v>
      </c>
      <c r="D113" t="s">
        <v>797</v>
      </c>
      <c r="E113" t="s">
        <v>975</v>
      </c>
      <c r="F113">
        <v>672.5</v>
      </c>
      <c r="G113">
        <v>1501.6</v>
      </c>
    </row>
    <row r="114" spans="1:7" x14ac:dyDescent="0.2">
      <c r="A114" t="s">
        <v>1015</v>
      </c>
      <c r="B114">
        <v>0.3</v>
      </c>
      <c r="C114">
        <v>10.199999999999999</v>
      </c>
      <c r="D114" t="s">
        <v>797</v>
      </c>
      <c r="E114" t="s">
        <v>975</v>
      </c>
      <c r="F114">
        <v>682.9</v>
      </c>
      <c r="G114">
        <v>1491.2</v>
      </c>
    </row>
    <row r="115" spans="1:7" x14ac:dyDescent="0.2">
      <c r="A115" t="s">
        <v>1016</v>
      </c>
      <c r="B115">
        <v>1</v>
      </c>
      <c r="C115">
        <v>12.4</v>
      </c>
      <c r="D115" t="s">
        <v>797</v>
      </c>
      <c r="E115" t="s">
        <v>975</v>
      </c>
      <c r="F115">
        <v>694.3</v>
      </c>
      <c r="G115">
        <v>1479.8</v>
      </c>
    </row>
    <row r="116" spans="1:7" x14ac:dyDescent="0.2">
      <c r="A116" t="s">
        <v>798</v>
      </c>
      <c r="B116">
        <v>0</v>
      </c>
      <c r="C116">
        <v>12.4</v>
      </c>
      <c r="D116" t="s">
        <v>797</v>
      </c>
      <c r="E116" t="s">
        <v>977</v>
      </c>
      <c r="F116">
        <v>695.3</v>
      </c>
      <c r="G116">
        <v>1478.8</v>
      </c>
    </row>
    <row r="117" spans="1:7" x14ac:dyDescent="0.2">
      <c r="A117" t="s">
        <v>108</v>
      </c>
      <c r="B117">
        <v>0</v>
      </c>
      <c r="C117">
        <v>1</v>
      </c>
      <c r="D117" t="s">
        <v>797</v>
      </c>
      <c r="E117" t="s">
        <v>975</v>
      </c>
      <c r="F117">
        <v>696.3</v>
      </c>
      <c r="G117">
        <v>1477.8</v>
      </c>
    </row>
    <row r="118" spans="1:7" x14ac:dyDescent="0.2">
      <c r="A118" t="s">
        <v>109</v>
      </c>
      <c r="B118">
        <v>0</v>
      </c>
      <c r="C118">
        <v>2.2000000000000002</v>
      </c>
      <c r="D118" t="s">
        <v>797</v>
      </c>
      <c r="E118" t="s">
        <v>975</v>
      </c>
      <c r="F118">
        <v>698.5</v>
      </c>
      <c r="G118">
        <v>1475.6</v>
      </c>
    </row>
    <row r="119" spans="1:7" x14ac:dyDescent="0.2">
      <c r="A119" t="s">
        <v>110</v>
      </c>
      <c r="B119">
        <v>0</v>
      </c>
      <c r="C119">
        <v>6</v>
      </c>
      <c r="D119" t="s">
        <v>797</v>
      </c>
      <c r="E119" t="s">
        <v>975</v>
      </c>
      <c r="F119">
        <v>704.5</v>
      </c>
      <c r="G119">
        <v>1469.6</v>
      </c>
    </row>
    <row r="120" spans="1:7" x14ac:dyDescent="0.2">
      <c r="A120" t="s">
        <v>1017</v>
      </c>
      <c r="B120">
        <v>2.2999999999999998</v>
      </c>
      <c r="C120">
        <v>11.7</v>
      </c>
      <c r="D120" t="s">
        <v>797</v>
      </c>
      <c r="E120" t="s">
        <v>975</v>
      </c>
      <c r="F120">
        <v>713.9</v>
      </c>
      <c r="G120">
        <v>1460.2</v>
      </c>
    </row>
    <row r="121" spans="1:7" x14ac:dyDescent="0.2">
      <c r="A121" t="s">
        <v>1018</v>
      </c>
      <c r="B121">
        <v>1.2</v>
      </c>
      <c r="C121">
        <v>10.6</v>
      </c>
      <c r="D121" t="s">
        <v>797</v>
      </c>
      <c r="E121" t="s">
        <v>975</v>
      </c>
      <c r="F121">
        <v>713.9</v>
      </c>
      <c r="G121">
        <v>1460.2</v>
      </c>
    </row>
    <row r="122" spans="1:7" x14ac:dyDescent="0.2">
      <c r="A122" t="s">
        <v>1019</v>
      </c>
      <c r="B122">
        <v>0.8</v>
      </c>
      <c r="C122">
        <v>11.7</v>
      </c>
      <c r="D122" t="s">
        <v>797</v>
      </c>
      <c r="E122" t="s">
        <v>975</v>
      </c>
      <c r="F122">
        <v>715.4</v>
      </c>
      <c r="G122">
        <v>1458.7</v>
      </c>
    </row>
    <row r="123" spans="1:7" x14ac:dyDescent="0.2">
      <c r="A123" t="s">
        <v>111</v>
      </c>
      <c r="B123">
        <v>0</v>
      </c>
      <c r="C123">
        <v>14.4</v>
      </c>
      <c r="D123" t="s">
        <v>797</v>
      </c>
      <c r="E123" t="s">
        <v>975</v>
      </c>
      <c r="F123">
        <v>718.9</v>
      </c>
      <c r="G123">
        <v>1455.2</v>
      </c>
    </row>
    <row r="124" spans="1:7" x14ac:dyDescent="0.2">
      <c r="A124" t="s">
        <v>1020</v>
      </c>
      <c r="B124">
        <v>0</v>
      </c>
      <c r="C124">
        <v>6.2</v>
      </c>
      <c r="D124" t="s">
        <v>797</v>
      </c>
      <c r="E124" t="s">
        <v>975</v>
      </c>
      <c r="F124">
        <v>725.1</v>
      </c>
      <c r="G124">
        <v>1449</v>
      </c>
    </row>
    <row r="125" spans="1:7" x14ac:dyDescent="0.2">
      <c r="A125" t="s">
        <v>112</v>
      </c>
      <c r="B125">
        <v>0.2</v>
      </c>
      <c r="C125">
        <v>7.5</v>
      </c>
      <c r="D125" t="s">
        <v>797</v>
      </c>
      <c r="E125" t="s">
        <v>975</v>
      </c>
      <c r="F125">
        <v>732.6</v>
      </c>
      <c r="G125">
        <v>1441.5</v>
      </c>
    </row>
    <row r="126" spans="1:7" ht="14.25" customHeight="1" x14ac:dyDescent="0.2">
      <c r="A126" t="s">
        <v>1021</v>
      </c>
      <c r="B126">
        <v>5</v>
      </c>
      <c r="C126">
        <v>7.7</v>
      </c>
      <c r="D126" t="s">
        <v>797</v>
      </c>
      <c r="E126" t="s">
        <v>975</v>
      </c>
      <c r="F126">
        <v>735.6</v>
      </c>
      <c r="G126">
        <v>1438.5</v>
      </c>
    </row>
    <row r="127" spans="1:7" ht="17.25" customHeight="1" x14ac:dyDescent="0.2">
      <c r="A127" t="s">
        <v>113</v>
      </c>
      <c r="B127">
        <v>0</v>
      </c>
      <c r="C127">
        <v>6.6</v>
      </c>
      <c r="D127" t="s">
        <v>797</v>
      </c>
      <c r="E127" t="s">
        <v>977</v>
      </c>
      <c r="F127">
        <v>738.8</v>
      </c>
      <c r="G127">
        <v>1435.3</v>
      </c>
    </row>
    <row r="128" spans="1:7" x14ac:dyDescent="0.2">
      <c r="A128" t="s">
        <v>116</v>
      </c>
      <c r="B128">
        <v>0</v>
      </c>
      <c r="C128">
        <v>5.3</v>
      </c>
      <c r="D128" t="s">
        <v>797</v>
      </c>
      <c r="E128" t="s">
        <v>975</v>
      </c>
      <c r="F128">
        <v>745</v>
      </c>
      <c r="G128">
        <v>1418.1</v>
      </c>
    </row>
    <row r="129" spans="1:7" x14ac:dyDescent="0.2">
      <c r="A129" t="s">
        <v>114</v>
      </c>
      <c r="B129">
        <v>0</v>
      </c>
      <c r="C129">
        <v>6.9</v>
      </c>
      <c r="D129" t="s">
        <v>797</v>
      </c>
      <c r="E129" t="s">
        <v>975</v>
      </c>
      <c r="F129">
        <v>745.7</v>
      </c>
      <c r="G129">
        <v>1428.4</v>
      </c>
    </row>
    <row r="130" spans="1:7" x14ac:dyDescent="0.2">
      <c r="A130" t="s">
        <v>115</v>
      </c>
      <c r="B130">
        <v>0</v>
      </c>
      <c r="C130">
        <v>5</v>
      </c>
      <c r="D130" t="s">
        <v>797</v>
      </c>
      <c r="E130" t="s">
        <v>975</v>
      </c>
      <c r="F130">
        <v>750.7</v>
      </c>
      <c r="G130">
        <v>1423.4</v>
      </c>
    </row>
    <row r="131" spans="1:7" x14ac:dyDescent="0.2">
      <c r="A131" t="s">
        <v>117</v>
      </c>
      <c r="B131">
        <v>0</v>
      </c>
      <c r="C131">
        <v>12.4</v>
      </c>
      <c r="D131" t="s">
        <v>797</v>
      </c>
      <c r="E131" t="s">
        <v>975</v>
      </c>
      <c r="F131">
        <v>768.4</v>
      </c>
      <c r="G131">
        <v>1405.7</v>
      </c>
    </row>
    <row r="132" spans="1:7" x14ac:dyDescent="0.2">
      <c r="A132" t="s">
        <v>1022</v>
      </c>
      <c r="B132">
        <v>0.6</v>
      </c>
      <c r="C132">
        <v>6.2</v>
      </c>
      <c r="D132" t="s">
        <v>797</v>
      </c>
      <c r="E132" t="s">
        <v>975</v>
      </c>
      <c r="F132">
        <v>769.4</v>
      </c>
      <c r="G132">
        <v>1377.7</v>
      </c>
    </row>
    <row r="133" spans="1:7" x14ac:dyDescent="0.2">
      <c r="A133" t="s">
        <v>1023</v>
      </c>
      <c r="B133">
        <v>4.5999999999999996</v>
      </c>
      <c r="C133">
        <v>7.2</v>
      </c>
      <c r="D133" t="s">
        <v>797</v>
      </c>
      <c r="E133" t="s">
        <v>975</v>
      </c>
      <c r="F133">
        <v>770.6</v>
      </c>
      <c r="G133">
        <v>1403.5</v>
      </c>
    </row>
    <row r="134" spans="1:7" x14ac:dyDescent="0.2">
      <c r="A134" t="s">
        <v>1024</v>
      </c>
      <c r="B134">
        <v>6.4</v>
      </c>
      <c r="C134">
        <v>9.4</v>
      </c>
      <c r="D134" t="s">
        <v>797</v>
      </c>
      <c r="E134" t="s">
        <v>975</v>
      </c>
      <c r="F134">
        <v>770.6</v>
      </c>
      <c r="G134">
        <v>1403.5</v>
      </c>
    </row>
    <row r="135" spans="1:7" x14ac:dyDescent="0.2">
      <c r="A135" t="s">
        <v>118</v>
      </c>
      <c r="B135">
        <v>0</v>
      </c>
      <c r="C135">
        <v>3.9</v>
      </c>
      <c r="D135" t="s">
        <v>797</v>
      </c>
      <c r="E135" t="s">
        <v>975</v>
      </c>
      <c r="F135">
        <v>772.3</v>
      </c>
      <c r="G135">
        <v>1401.8</v>
      </c>
    </row>
    <row r="136" spans="1:7" x14ac:dyDescent="0.2">
      <c r="A136" t="s">
        <v>119</v>
      </c>
      <c r="B136">
        <v>0.2</v>
      </c>
      <c r="C136">
        <v>9</v>
      </c>
      <c r="D136" t="s">
        <v>797</v>
      </c>
      <c r="E136" t="s">
        <v>975</v>
      </c>
      <c r="F136">
        <v>781.3</v>
      </c>
      <c r="G136">
        <v>1392.8</v>
      </c>
    </row>
    <row r="137" spans="1:7" x14ac:dyDescent="0.2">
      <c r="A137" t="s">
        <v>1025</v>
      </c>
      <c r="B137">
        <v>9.3000000000000007</v>
      </c>
      <c r="C137">
        <v>11.1</v>
      </c>
      <c r="D137" t="s">
        <v>797</v>
      </c>
      <c r="E137" t="s">
        <v>975</v>
      </c>
      <c r="F137">
        <v>782</v>
      </c>
      <c r="G137">
        <v>1392.1</v>
      </c>
    </row>
    <row r="138" spans="1:7" x14ac:dyDescent="0.2">
      <c r="A138" t="s">
        <v>120</v>
      </c>
      <c r="B138">
        <v>0</v>
      </c>
      <c r="C138">
        <v>9.3000000000000007</v>
      </c>
      <c r="D138" t="s">
        <v>797</v>
      </c>
      <c r="E138" t="s">
        <v>975</v>
      </c>
      <c r="F138">
        <v>790.2</v>
      </c>
      <c r="G138">
        <v>1383.9</v>
      </c>
    </row>
    <row r="139" spans="1:7" x14ac:dyDescent="0.2">
      <c r="A139" t="s">
        <v>121</v>
      </c>
      <c r="B139">
        <v>0</v>
      </c>
      <c r="C139">
        <v>10.8</v>
      </c>
      <c r="D139" t="s">
        <v>797</v>
      </c>
      <c r="E139" t="s">
        <v>975</v>
      </c>
      <c r="F139">
        <v>806</v>
      </c>
      <c r="G139">
        <v>1368.1</v>
      </c>
    </row>
    <row r="140" spans="1:7" x14ac:dyDescent="0.2">
      <c r="A140" t="s">
        <v>1026</v>
      </c>
      <c r="B140">
        <v>2.5</v>
      </c>
      <c r="C140">
        <v>4.8</v>
      </c>
      <c r="D140" t="s">
        <v>797</v>
      </c>
      <c r="E140" t="s">
        <v>975</v>
      </c>
      <c r="F140">
        <v>808.3</v>
      </c>
      <c r="G140">
        <v>1365.8</v>
      </c>
    </row>
    <row r="141" spans="1:7" x14ac:dyDescent="0.2">
      <c r="A141" t="s">
        <v>122</v>
      </c>
      <c r="B141">
        <v>0</v>
      </c>
      <c r="C141">
        <v>6.9</v>
      </c>
      <c r="D141" t="s">
        <v>797</v>
      </c>
      <c r="E141" t="s">
        <v>975</v>
      </c>
      <c r="F141">
        <v>812.9</v>
      </c>
      <c r="G141">
        <v>1361.2</v>
      </c>
    </row>
    <row r="142" spans="1:7" x14ac:dyDescent="0.2">
      <c r="A142" t="s">
        <v>123</v>
      </c>
      <c r="B142">
        <v>0</v>
      </c>
      <c r="C142">
        <v>7.4</v>
      </c>
      <c r="D142" t="s">
        <v>797</v>
      </c>
      <c r="E142" t="s">
        <v>975</v>
      </c>
      <c r="F142">
        <v>820.3</v>
      </c>
      <c r="G142">
        <v>1353.8</v>
      </c>
    </row>
    <row r="143" spans="1:7" x14ac:dyDescent="0.2">
      <c r="A143" t="s">
        <v>124</v>
      </c>
      <c r="B143">
        <v>0</v>
      </c>
      <c r="C143">
        <v>6.2</v>
      </c>
      <c r="D143" t="s">
        <v>797</v>
      </c>
      <c r="E143" t="s">
        <v>975</v>
      </c>
      <c r="F143">
        <v>826.5</v>
      </c>
      <c r="G143">
        <v>1347.6</v>
      </c>
    </row>
    <row r="144" spans="1:7" x14ac:dyDescent="0.2">
      <c r="A144" t="s">
        <v>1027</v>
      </c>
      <c r="B144">
        <v>0</v>
      </c>
      <c r="C144">
        <v>16.100000000000001</v>
      </c>
      <c r="D144" t="s">
        <v>797</v>
      </c>
      <c r="E144" t="s">
        <v>975</v>
      </c>
      <c r="F144">
        <v>842.6</v>
      </c>
      <c r="G144">
        <v>1331.5</v>
      </c>
    </row>
    <row r="145" spans="1:7" x14ac:dyDescent="0.2">
      <c r="A145" t="s">
        <v>1028</v>
      </c>
      <c r="B145">
        <v>4.5</v>
      </c>
      <c r="C145">
        <v>9.4</v>
      </c>
      <c r="D145" t="s">
        <v>797</v>
      </c>
      <c r="E145" t="s">
        <v>975</v>
      </c>
      <c r="F145">
        <v>847.6</v>
      </c>
      <c r="G145">
        <v>1326.5</v>
      </c>
    </row>
    <row r="146" spans="1:7" x14ac:dyDescent="0.2">
      <c r="A146" t="s">
        <v>125</v>
      </c>
      <c r="B146">
        <v>0.3</v>
      </c>
      <c r="C146">
        <v>12.3</v>
      </c>
      <c r="D146" t="s">
        <v>797</v>
      </c>
      <c r="E146" t="s">
        <v>975</v>
      </c>
      <c r="F146">
        <v>854.9</v>
      </c>
      <c r="G146">
        <v>1319.2</v>
      </c>
    </row>
    <row r="147" spans="1:7" x14ac:dyDescent="0.2">
      <c r="A147" t="s">
        <v>126</v>
      </c>
      <c r="B147">
        <v>0.2</v>
      </c>
      <c r="C147">
        <v>13.5</v>
      </c>
      <c r="D147" t="s">
        <v>797</v>
      </c>
      <c r="E147" t="s">
        <v>975</v>
      </c>
      <c r="F147">
        <v>867.8</v>
      </c>
      <c r="G147">
        <v>1306.3</v>
      </c>
    </row>
    <row r="148" spans="1:7" x14ac:dyDescent="0.2">
      <c r="A148" t="s">
        <v>127</v>
      </c>
      <c r="B148">
        <v>0.1</v>
      </c>
      <c r="C148">
        <v>13.5</v>
      </c>
      <c r="D148" t="s">
        <v>797</v>
      </c>
      <c r="E148" t="s">
        <v>975</v>
      </c>
      <c r="F148">
        <v>880.9</v>
      </c>
      <c r="G148">
        <v>1293.2</v>
      </c>
    </row>
    <row r="149" spans="1:7" x14ac:dyDescent="0.2">
      <c r="A149" t="s">
        <v>128</v>
      </c>
      <c r="B149">
        <v>0.1</v>
      </c>
      <c r="C149">
        <v>8.4</v>
      </c>
      <c r="D149" t="s">
        <v>797</v>
      </c>
      <c r="E149" t="s">
        <v>975</v>
      </c>
      <c r="F149">
        <v>889.1</v>
      </c>
      <c r="G149">
        <v>1285</v>
      </c>
    </row>
    <row r="150" spans="1:7" x14ac:dyDescent="0.2">
      <c r="A150" t="s">
        <v>129</v>
      </c>
      <c r="B150">
        <v>0.1</v>
      </c>
      <c r="C150">
        <v>12.6</v>
      </c>
      <c r="D150" t="s">
        <v>797</v>
      </c>
      <c r="E150" t="s">
        <v>975</v>
      </c>
      <c r="F150">
        <v>901.5</v>
      </c>
      <c r="G150">
        <v>1272.5999999999999</v>
      </c>
    </row>
    <row r="151" spans="1:7" x14ac:dyDescent="0.2">
      <c r="A151" t="s">
        <v>130</v>
      </c>
      <c r="B151">
        <v>0.2</v>
      </c>
      <c r="C151">
        <v>11.8</v>
      </c>
      <c r="D151" t="s">
        <v>797</v>
      </c>
      <c r="E151" t="s">
        <v>975</v>
      </c>
      <c r="F151">
        <v>913.1</v>
      </c>
      <c r="G151">
        <v>1261</v>
      </c>
    </row>
    <row r="152" spans="1:7" x14ac:dyDescent="0.2">
      <c r="A152" t="s">
        <v>131</v>
      </c>
      <c r="B152">
        <v>0.2</v>
      </c>
      <c r="C152">
        <v>15.7</v>
      </c>
      <c r="D152" t="s">
        <v>797</v>
      </c>
      <c r="E152" t="s">
        <v>975</v>
      </c>
      <c r="F152">
        <v>928.4</v>
      </c>
      <c r="G152">
        <v>1245.7</v>
      </c>
    </row>
    <row r="153" spans="1:7" x14ac:dyDescent="0.2">
      <c r="A153" t="s">
        <v>132</v>
      </c>
      <c r="B153">
        <v>0.2</v>
      </c>
      <c r="C153">
        <v>13.5</v>
      </c>
      <c r="D153" t="s">
        <v>797</v>
      </c>
      <c r="E153" t="s">
        <v>975</v>
      </c>
      <c r="F153">
        <v>941.5</v>
      </c>
      <c r="G153">
        <v>1232.5999999999999</v>
      </c>
    </row>
    <row r="154" spans="1:7" x14ac:dyDescent="0.2">
      <c r="A154" t="s">
        <v>1029</v>
      </c>
      <c r="B154">
        <v>0</v>
      </c>
      <c r="C154">
        <v>10.7</v>
      </c>
      <c r="D154" t="s">
        <v>797</v>
      </c>
      <c r="E154" t="s">
        <v>975</v>
      </c>
      <c r="F154">
        <v>951.8</v>
      </c>
      <c r="G154">
        <v>1222.3</v>
      </c>
    </row>
    <row r="155" spans="1:7" x14ac:dyDescent="0.2">
      <c r="A155" t="s">
        <v>1030</v>
      </c>
      <c r="B155">
        <v>4.2</v>
      </c>
      <c r="C155">
        <v>7.1</v>
      </c>
      <c r="D155" t="s">
        <v>797</v>
      </c>
      <c r="E155" t="s">
        <v>975</v>
      </c>
      <c r="F155">
        <v>954.7</v>
      </c>
      <c r="G155">
        <v>1219.4000000000001</v>
      </c>
    </row>
    <row r="156" spans="1:7" x14ac:dyDescent="0.2">
      <c r="A156" t="s">
        <v>1031</v>
      </c>
      <c r="B156">
        <v>0</v>
      </c>
      <c r="C156">
        <v>8.1</v>
      </c>
      <c r="D156" t="s">
        <v>797</v>
      </c>
      <c r="E156" t="s">
        <v>975</v>
      </c>
      <c r="F156">
        <v>959.9</v>
      </c>
      <c r="G156">
        <v>1214.2</v>
      </c>
    </row>
    <row r="157" spans="1:7" x14ac:dyDescent="0.2">
      <c r="A157" t="s">
        <v>1032</v>
      </c>
      <c r="B157">
        <v>1</v>
      </c>
      <c r="C157">
        <v>4</v>
      </c>
      <c r="D157" t="s">
        <v>797</v>
      </c>
      <c r="E157" t="s">
        <v>975</v>
      </c>
      <c r="F157">
        <v>962.9</v>
      </c>
      <c r="G157">
        <v>1211.2</v>
      </c>
    </row>
    <row r="158" spans="1:7" x14ac:dyDescent="0.2">
      <c r="A158" t="s">
        <v>133</v>
      </c>
      <c r="B158">
        <v>0</v>
      </c>
      <c r="C158">
        <v>5.5</v>
      </c>
      <c r="D158" t="s">
        <v>797</v>
      </c>
      <c r="E158" t="s">
        <v>975</v>
      </c>
      <c r="F158">
        <v>965.4</v>
      </c>
      <c r="G158">
        <v>1208.7</v>
      </c>
    </row>
    <row r="159" spans="1:7" x14ac:dyDescent="0.2">
      <c r="A159" t="s">
        <v>1033</v>
      </c>
      <c r="B159">
        <v>0.2</v>
      </c>
      <c r="C159">
        <v>4.5999999999999996</v>
      </c>
      <c r="D159" t="s">
        <v>797</v>
      </c>
      <c r="E159" t="s">
        <v>975</v>
      </c>
      <c r="F159">
        <v>970</v>
      </c>
      <c r="G159">
        <v>1204.0999999999999</v>
      </c>
    </row>
    <row r="160" spans="1:7" x14ac:dyDescent="0.2">
      <c r="A160" t="s">
        <v>1034</v>
      </c>
      <c r="B160">
        <v>1.3</v>
      </c>
      <c r="C160">
        <v>3.8</v>
      </c>
      <c r="D160" t="s">
        <v>797</v>
      </c>
      <c r="E160" t="s">
        <v>975</v>
      </c>
      <c r="F160">
        <v>972.1</v>
      </c>
      <c r="G160">
        <v>1202</v>
      </c>
    </row>
    <row r="161" spans="1:7" x14ac:dyDescent="0.2">
      <c r="A161" t="s">
        <v>134</v>
      </c>
      <c r="B161">
        <v>0</v>
      </c>
      <c r="C161">
        <v>9.1999999999999993</v>
      </c>
      <c r="D161" t="s">
        <v>797</v>
      </c>
      <c r="E161" t="s">
        <v>975</v>
      </c>
      <c r="F161">
        <v>978.8</v>
      </c>
      <c r="G161">
        <v>1195.3</v>
      </c>
    </row>
    <row r="162" spans="1:7" x14ac:dyDescent="0.2">
      <c r="A162" t="s">
        <v>135</v>
      </c>
      <c r="B162">
        <v>0</v>
      </c>
      <c r="C162">
        <v>6.9</v>
      </c>
      <c r="D162" t="s">
        <v>797</v>
      </c>
      <c r="E162" t="s">
        <v>975</v>
      </c>
      <c r="F162">
        <v>985.7</v>
      </c>
      <c r="G162">
        <v>1188.4000000000001</v>
      </c>
    </row>
    <row r="163" spans="1:7" x14ac:dyDescent="0.2">
      <c r="A163" t="s">
        <v>799</v>
      </c>
      <c r="B163">
        <v>0.2</v>
      </c>
      <c r="C163">
        <v>3.2</v>
      </c>
      <c r="D163" t="s">
        <v>797</v>
      </c>
      <c r="E163" t="s">
        <v>975</v>
      </c>
      <c r="F163">
        <v>988.7</v>
      </c>
      <c r="G163">
        <v>1185.4000000000001</v>
      </c>
    </row>
    <row r="164" spans="1:7" x14ac:dyDescent="0.2">
      <c r="A164" t="s">
        <v>1035</v>
      </c>
      <c r="B164">
        <v>1.7</v>
      </c>
      <c r="C164">
        <v>2.5</v>
      </c>
      <c r="D164" t="s">
        <v>797</v>
      </c>
      <c r="E164" t="s">
        <v>975</v>
      </c>
      <c r="F164">
        <v>989.3</v>
      </c>
      <c r="G164">
        <v>1184.8</v>
      </c>
    </row>
    <row r="165" spans="1:7" x14ac:dyDescent="0.2">
      <c r="A165" t="s">
        <v>1036</v>
      </c>
      <c r="B165">
        <v>0</v>
      </c>
      <c r="C165">
        <v>4.2</v>
      </c>
      <c r="D165" t="s">
        <v>1037</v>
      </c>
      <c r="E165" t="s">
        <v>977</v>
      </c>
      <c r="F165">
        <v>991.8</v>
      </c>
      <c r="G165">
        <v>1182.3</v>
      </c>
    </row>
    <row r="166" spans="1:7" x14ac:dyDescent="0.2">
      <c r="A166" t="s">
        <v>1038</v>
      </c>
      <c r="B166">
        <v>0</v>
      </c>
      <c r="C166">
        <v>11.2</v>
      </c>
      <c r="D166" t="s">
        <v>1037</v>
      </c>
      <c r="E166" t="s">
        <v>975</v>
      </c>
      <c r="F166">
        <v>996.6</v>
      </c>
      <c r="G166">
        <v>1177.5</v>
      </c>
    </row>
    <row r="167" spans="1:7" x14ac:dyDescent="0.2">
      <c r="A167" t="s">
        <v>1039</v>
      </c>
      <c r="B167">
        <v>0</v>
      </c>
      <c r="C167">
        <v>3.6</v>
      </c>
      <c r="D167" t="s">
        <v>1037</v>
      </c>
      <c r="E167" t="s">
        <v>975</v>
      </c>
      <c r="F167">
        <v>999.8</v>
      </c>
      <c r="G167">
        <v>1174.3</v>
      </c>
    </row>
    <row r="168" spans="1:7" x14ac:dyDescent="0.2">
      <c r="A168" t="s">
        <v>1040</v>
      </c>
      <c r="B168">
        <v>0.5</v>
      </c>
      <c r="C168">
        <v>8.6999999999999993</v>
      </c>
      <c r="D168" t="s">
        <v>1037</v>
      </c>
      <c r="E168" t="s">
        <v>975</v>
      </c>
      <c r="F168">
        <v>1008.6</v>
      </c>
      <c r="G168">
        <v>1165.5</v>
      </c>
    </row>
    <row r="169" spans="1:7" x14ac:dyDescent="0.2">
      <c r="A169" t="s">
        <v>1041</v>
      </c>
      <c r="B169">
        <v>0</v>
      </c>
      <c r="C169">
        <v>1.2</v>
      </c>
      <c r="D169" t="s">
        <v>800</v>
      </c>
      <c r="E169" t="s">
        <v>977</v>
      </c>
      <c r="F169">
        <v>1009.3</v>
      </c>
      <c r="G169">
        <v>1164.8</v>
      </c>
    </row>
    <row r="170" spans="1:7" x14ac:dyDescent="0.2">
      <c r="A170" t="s">
        <v>136</v>
      </c>
      <c r="B170">
        <v>0.1</v>
      </c>
      <c r="C170">
        <v>16</v>
      </c>
      <c r="D170" t="s">
        <v>800</v>
      </c>
      <c r="E170" t="s">
        <v>975</v>
      </c>
      <c r="F170">
        <v>1015.6</v>
      </c>
      <c r="G170">
        <v>1158.5</v>
      </c>
    </row>
    <row r="171" spans="1:7" x14ac:dyDescent="0.2">
      <c r="A171" t="s">
        <v>1042</v>
      </c>
      <c r="B171">
        <v>1.2</v>
      </c>
      <c r="C171">
        <v>5</v>
      </c>
      <c r="D171" t="s">
        <v>800</v>
      </c>
      <c r="E171" t="s">
        <v>975</v>
      </c>
      <c r="F171">
        <v>1019.3</v>
      </c>
      <c r="G171">
        <v>1154.8</v>
      </c>
    </row>
    <row r="172" spans="1:7" x14ac:dyDescent="0.2">
      <c r="A172" t="s">
        <v>137</v>
      </c>
      <c r="B172">
        <v>0.3</v>
      </c>
      <c r="C172">
        <v>4.5</v>
      </c>
      <c r="D172" t="s">
        <v>800</v>
      </c>
      <c r="E172" t="s">
        <v>975</v>
      </c>
      <c r="F172">
        <v>1020</v>
      </c>
      <c r="G172">
        <v>1154.0999999999999</v>
      </c>
    </row>
    <row r="173" spans="1:7" x14ac:dyDescent="0.2">
      <c r="A173" t="s">
        <v>138</v>
      </c>
      <c r="B173">
        <v>0.2</v>
      </c>
      <c r="C173">
        <v>5.5</v>
      </c>
      <c r="D173" t="s">
        <v>800</v>
      </c>
      <c r="E173" t="s">
        <v>975</v>
      </c>
      <c r="F173">
        <v>1024.9000000000001</v>
      </c>
      <c r="G173">
        <v>1149.2</v>
      </c>
    </row>
    <row r="174" spans="1:7" x14ac:dyDescent="0.2">
      <c r="A174" t="s">
        <v>1043</v>
      </c>
      <c r="B174">
        <v>2.2999999999999998</v>
      </c>
      <c r="C174">
        <v>4.3</v>
      </c>
      <c r="D174" t="s">
        <v>800</v>
      </c>
      <c r="E174" t="s">
        <v>975</v>
      </c>
      <c r="F174">
        <v>1026.7</v>
      </c>
      <c r="G174">
        <v>1147.4000000000001</v>
      </c>
    </row>
    <row r="175" spans="1:7" x14ac:dyDescent="0.2">
      <c r="A175" t="s">
        <v>139</v>
      </c>
      <c r="B175">
        <v>0.1</v>
      </c>
      <c r="C175">
        <v>7.7</v>
      </c>
      <c r="D175" t="s">
        <v>800</v>
      </c>
      <c r="E175" t="s">
        <v>975</v>
      </c>
      <c r="F175">
        <v>1032.3</v>
      </c>
      <c r="G175">
        <v>1141.8</v>
      </c>
    </row>
    <row r="176" spans="1:7" x14ac:dyDescent="0.2">
      <c r="A176" t="s">
        <v>1044</v>
      </c>
      <c r="B176">
        <v>2.4</v>
      </c>
      <c r="C176">
        <v>10.5</v>
      </c>
      <c r="D176" t="s">
        <v>800</v>
      </c>
      <c r="E176" t="s">
        <v>975</v>
      </c>
      <c r="F176">
        <v>1040.2</v>
      </c>
      <c r="G176">
        <v>1133.9000000000001</v>
      </c>
    </row>
    <row r="177" spans="1:7" x14ac:dyDescent="0.2">
      <c r="A177" t="s">
        <v>1045</v>
      </c>
      <c r="B177">
        <v>0</v>
      </c>
      <c r="C177">
        <v>8.1999999999999993</v>
      </c>
      <c r="D177" t="s">
        <v>800</v>
      </c>
      <c r="E177" t="s">
        <v>975</v>
      </c>
      <c r="F177">
        <v>1040.4000000000001</v>
      </c>
      <c r="G177">
        <v>1133.7</v>
      </c>
    </row>
    <row r="178" spans="1:7" x14ac:dyDescent="0.2">
      <c r="A178" t="s">
        <v>140</v>
      </c>
      <c r="B178">
        <v>1.4</v>
      </c>
      <c r="C178">
        <v>8</v>
      </c>
      <c r="D178" t="s">
        <v>800</v>
      </c>
      <c r="E178" t="s">
        <v>975</v>
      </c>
      <c r="F178">
        <v>1045.2</v>
      </c>
      <c r="G178">
        <v>1128.9000000000001</v>
      </c>
    </row>
    <row r="179" spans="1:7" ht="18.75" customHeight="1" x14ac:dyDescent="0.2">
      <c r="A179" t="s">
        <v>1046</v>
      </c>
      <c r="B179">
        <v>0</v>
      </c>
      <c r="C179">
        <v>1.8</v>
      </c>
      <c r="D179" t="s">
        <v>800</v>
      </c>
      <c r="E179" t="s">
        <v>977</v>
      </c>
      <c r="F179">
        <v>1049.5999999999999</v>
      </c>
      <c r="G179">
        <v>1124.5</v>
      </c>
    </row>
    <row r="180" spans="1:7" x14ac:dyDescent="0.2">
      <c r="A180" t="s">
        <v>1047</v>
      </c>
      <c r="B180">
        <v>0</v>
      </c>
      <c r="C180">
        <v>1.8</v>
      </c>
      <c r="D180" t="s">
        <v>800</v>
      </c>
      <c r="E180" t="s">
        <v>977</v>
      </c>
      <c r="F180">
        <v>1049.8</v>
      </c>
      <c r="G180">
        <v>1124.3</v>
      </c>
    </row>
    <row r="181" spans="1:7" x14ac:dyDescent="0.2">
      <c r="A181" t="s">
        <v>1048</v>
      </c>
      <c r="B181">
        <v>0</v>
      </c>
      <c r="C181">
        <v>9.6</v>
      </c>
      <c r="D181" t="s">
        <v>801</v>
      </c>
      <c r="E181" t="s">
        <v>975</v>
      </c>
      <c r="F181">
        <v>1054.5</v>
      </c>
      <c r="G181">
        <v>1119.5999999999999</v>
      </c>
    </row>
    <row r="182" spans="1:7" x14ac:dyDescent="0.2">
      <c r="A182" t="s">
        <v>141</v>
      </c>
      <c r="B182">
        <v>0</v>
      </c>
      <c r="C182">
        <v>2.4</v>
      </c>
      <c r="D182" t="s">
        <v>801</v>
      </c>
      <c r="E182" t="s">
        <v>975</v>
      </c>
      <c r="F182">
        <v>1056.9000000000001</v>
      </c>
      <c r="G182">
        <v>1117.2</v>
      </c>
    </row>
    <row r="183" spans="1:7" x14ac:dyDescent="0.2">
      <c r="A183" t="s">
        <v>1049</v>
      </c>
      <c r="B183">
        <v>0</v>
      </c>
      <c r="C183">
        <v>1.2</v>
      </c>
      <c r="D183" t="s">
        <v>801</v>
      </c>
      <c r="E183" t="s">
        <v>975</v>
      </c>
      <c r="F183">
        <v>1058.0999999999999</v>
      </c>
      <c r="G183">
        <v>1116</v>
      </c>
    </row>
    <row r="184" spans="1:7" ht="17.25" customHeight="1" x14ac:dyDescent="0.2">
      <c r="A184" t="s">
        <v>142</v>
      </c>
      <c r="B184">
        <v>0.2</v>
      </c>
      <c r="C184">
        <v>6.8</v>
      </c>
      <c r="D184" t="s">
        <v>801</v>
      </c>
      <c r="E184" t="s">
        <v>975</v>
      </c>
      <c r="F184">
        <v>1064.9000000000001</v>
      </c>
      <c r="G184">
        <v>1109.2</v>
      </c>
    </row>
    <row r="185" spans="1:7" x14ac:dyDescent="0.2">
      <c r="A185" t="s">
        <v>1050</v>
      </c>
      <c r="B185">
        <v>3.5</v>
      </c>
      <c r="C185">
        <v>6.7</v>
      </c>
      <c r="D185" t="s">
        <v>801</v>
      </c>
      <c r="E185" t="s">
        <v>975</v>
      </c>
      <c r="F185">
        <v>1067.7</v>
      </c>
      <c r="G185">
        <v>1106.4000000000001</v>
      </c>
    </row>
    <row r="186" spans="1:7" x14ac:dyDescent="0.2">
      <c r="A186" t="s">
        <v>143</v>
      </c>
      <c r="B186">
        <v>0</v>
      </c>
      <c r="C186">
        <v>5.8</v>
      </c>
      <c r="D186" t="s">
        <v>801</v>
      </c>
      <c r="E186" t="s">
        <v>975</v>
      </c>
      <c r="F186">
        <v>1070.3</v>
      </c>
      <c r="G186">
        <v>1103.8</v>
      </c>
    </row>
    <row r="187" spans="1:7" x14ac:dyDescent="0.2">
      <c r="A187" t="s">
        <v>802</v>
      </c>
      <c r="B187">
        <v>0</v>
      </c>
      <c r="C187">
        <v>7.4</v>
      </c>
      <c r="D187" t="s">
        <v>801</v>
      </c>
      <c r="E187" t="s">
        <v>975</v>
      </c>
      <c r="F187">
        <v>1077.7</v>
      </c>
      <c r="G187">
        <v>1096.4000000000001</v>
      </c>
    </row>
    <row r="188" spans="1:7" x14ac:dyDescent="0.2">
      <c r="A188" t="s">
        <v>144</v>
      </c>
      <c r="B188">
        <v>0</v>
      </c>
      <c r="C188">
        <v>6.3</v>
      </c>
      <c r="D188" t="s">
        <v>801</v>
      </c>
      <c r="E188" t="s">
        <v>975</v>
      </c>
      <c r="F188">
        <v>1084</v>
      </c>
      <c r="G188">
        <v>1090.0999999999999</v>
      </c>
    </row>
    <row r="189" spans="1:7" x14ac:dyDescent="0.2">
      <c r="A189" t="s">
        <v>1051</v>
      </c>
      <c r="B189">
        <v>0.2</v>
      </c>
      <c r="C189">
        <v>11.1</v>
      </c>
      <c r="D189" t="s">
        <v>801</v>
      </c>
      <c r="E189" t="s">
        <v>975</v>
      </c>
      <c r="F189">
        <v>1095.0999999999999</v>
      </c>
      <c r="G189">
        <v>1079</v>
      </c>
    </row>
    <row r="190" spans="1:7" x14ac:dyDescent="0.2">
      <c r="A190" t="s">
        <v>1052</v>
      </c>
      <c r="B190">
        <v>5</v>
      </c>
      <c r="C190">
        <v>6.4</v>
      </c>
      <c r="D190" t="s">
        <v>801</v>
      </c>
      <c r="E190" t="s">
        <v>975</v>
      </c>
      <c r="F190">
        <v>1096.3</v>
      </c>
      <c r="G190">
        <v>1077.8</v>
      </c>
    </row>
    <row r="191" spans="1:7" x14ac:dyDescent="0.2">
      <c r="A191" t="s">
        <v>1053</v>
      </c>
      <c r="B191">
        <v>2.5</v>
      </c>
      <c r="C191">
        <v>5.9</v>
      </c>
      <c r="D191" t="s">
        <v>801</v>
      </c>
      <c r="E191" t="s">
        <v>975</v>
      </c>
      <c r="F191">
        <v>1098.3</v>
      </c>
      <c r="G191">
        <v>1075.8</v>
      </c>
    </row>
    <row r="192" spans="1:7" x14ac:dyDescent="0.2">
      <c r="A192" t="s">
        <v>145</v>
      </c>
      <c r="B192">
        <v>0</v>
      </c>
      <c r="C192">
        <v>8.5</v>
      </c>
      <c r="D192" t="s">
        <v>801</v>
      </c>
      <c r="E192" t="s">
        <v>975</v>
      </c>
      <c r="F192">
        <v>1103.2</v>
      </c>
      <c r="G192">
        <v>1070.9000000000001</v>
      </c>
    </row>
    <row r="193" spans="1:7" x14ac:dyDescent="0.2">
      <c r="A193" t="s">
        <v>1054</v>
      </c>
      <c r="B193">
        <v>0</v>
      </c>
      <c r="C193">
        <v>12.4</v>
      </c>
      <c r="D193" t="s">
        <v>801</v>
      </c>
      <c r="E193" t="s">
        <v>975</v>
      </c>
      <c r="F193">
        <v>1107.0999999999999</v>
      </c>
      <c r="G193">
        <v>1067</v>
      </c>
    </row>
    <row r="194" spans="1:7" x14ac:dyDescent="0.2">
      <c r="A194" t="s">
        <v>146</v>
      </c>
      <c r="B194">
        <v>0</v>
      </c>
      <c r="C194">
        <v>18.2</v>
      </c>
      <c r="D194" t="s">
        <v>801</v>
      </c>
      <c r="E194" t="s">
        <v>975</v>
      </c>
      <c r="F194">
        <v>1121.4000000000001</v>
      </c>
      <c r="G194">
        <v>1052.7</v>
      </c>
    </row>
    <row r="195" spans="1:7" x14ac:dyDescent="0.2">
      <c r="A195" t="s">
        <v>1055</v>
      </c>
      <c r="B195">
        <v>0</v>
      </c>
      <c r="C195">
        <v>7.3</v>
      </c>
      <c r="D195" t="s">
        <v>801</v>
      </c>
      <c r="E195" t="s">
        <v>975</v>
      </c>
      <c r="F195">
        <v>1128.7</v>
      </c>
      <c r="G195">
        <v>1045.4000000000001</v>
      </c>
    </row>
    <row r="196" spans="1:7" x14ac:dyDescent="0.2">
      <c r="A196" t="s">
        <v>1056</v>
      </c>
      <c r="B196">
        <v>0</v>
      </c>
      <c r="C196">
        <v>4.0999999999999996</v>
      </c>
      <c r="D196" t="s">
        <v>801</v>
      </c>
      <c r="E196" t="s">
        <v>975</v>
      </c>
      <c r="F196">
        <v>1132.8</v>
      </c>
      <c r="G196">
        <v>1041.3</v>
      </c>
    </row>
    <row r="197" spans="1:7" x14ac:dyDescent="0.2">
      <c r="A197" t="s">
        <v>147</v>
      </c>
      <c r="B197">
        <v>0</v>
      </c>
      <c r="C197">
        <v>8.6</v>
      </c>
      <c r="D197" t="s">
        <v>801</v>
      </c>
      <c r="E197" t="s">
        <v>975</v>
      </c>
      <c r="F197">
        <v>1137.3</v>
      </c>
      <c r="G197">
        <v>1036.8</v>
      </c>
    </row>
    <row r="198" spans="1:7" x14ac:dyDescent="0.2">
      <c r="A198" t="s">
        <v>148</v>
      </c>
      <c r="B198">
        <v>0</v>
      </c>
      <c r="C198">
        <v>6.8</v>
      </c>
      <c r="D198" t="s">
        <v>801</v>
      </c>
      <c r="E198" t="s">
        <v>975</v>
      </c>
      <c r="F198">
        <v>1144.0999999999999</v>
      </c>
      <c r="G198">
        <v>1030</v>
      </c>
    </row>
    <row r="199" spans="1:7" x14ac:dyDescent="0.2">
      <c r="A199" t="s">
        <v>149</v>
      </c>
      <c r="B199">
        <v>0</v>
      </c>
      <c r="C199">
        <v>17.8</v>
      </c>
      <c r="D199" t="s">
        <v>801</v>
      </c>
      <c r="E199" t="s">
        <v>975</v>
      </c>
      <c r="F199">
        <v>1161.9000000000001</v>
      </c>
      <c r="G199">
        <v>1012.2</v>
      </c>
    </row>
    <row r="200" spans="1:7" x14ac:dyDescent="0.2">
      <c r="A200" t="s">
        <v>150</v>
      </c>
      <c r="B200">
        <v>0</v>
      </c>
      <c r="C200">
        <v>13.6</v>
      </c>
      <c r="D200" t="s">
        <v>801</v>
      </c>
      <c r="E200" t="s">
        <v>975</v>
      </c>
      <c r="F200">
        <v>1174.9000000000001</v>
      </c>
      <c r="G200">
        <v>999.2</v>
      </c>
    </row>
    <row r="201" spans="1:7" x14ac:dyDescent="0.2">
      <c r="A201" t="s">
        <v>151</v>
      </c>
      <c r="B201">
        <v>0</v>
      </c>
      <c r="C201">
        <v>4.2</v>
      </c>
      <c r="D201" t="s">
        <v>801</v>
      </c>
      <c r="E201" t="s">
        <v>975</v>
      </c>
      <c r="F201">
        <v>1179</v>
      </c>
      <c r="G201">
        <v>995.1</v>
      </c>
    </row>
    <row r="202" spans="1:7" x14ac:dyDescent="0.2">
      <c r="A202" t="s">
        <v>1057</v>
      </c>
      <c r="B202">
        <v>3.7</v>
      </c>
      <c r="C202">
        <v>3.8</v>
      </c>
      <c r="D202" t="s">
        <v>801</v>
      </c>
      <c r="E202" t="s">
        <v>975</v>
      </c>
      <c r="F202">
        <v>1179</v>
      </c>
      <c r="G202">
        <v>995.1</v>
      </c>
    </row>
    <row r="203" spans="1:7" x14ac:dyDescent="0.2">
      <c r="A203" t="s">
        <v>152</v>
      </c>
      <c r="B203">
        <v>0.3</v>
      </c>
      <c r="C203">
        <v>15.4</v>
      </c>
      <c r="D203" t="s">
        <v>801</v>
      </c>
      <c r="E203" t="s">
        <v>975</v>
      </c>
      <c r="F203">
        <v>1194.4000000000001</v>
      </c>
      <c r="G203">
        <v>978.7</v>
      </c>
    </row>
    <row r="204" spans="1:7" x14ac:dyDescent="0.2">
      <c r="A204" t="s">
        <v>1058</v>
      </c>
      <c r="B204">
        <v>3.6</v>
      </c>
      <c r="C204">
        <v>5.8</v>
      </c>
      <c r="D204" t="s">
        <v>801</v>
      </c>
      <c r="E204" t="s">
        <v>975</v>
      </c>
      <c r="F204">
        <v>1196</v>
      </c>
      <c r="G204">
        <v>978.1</v>
      </c>
    </row>
    <row r="205" spans="1:7" x14ac:dyDescent="0.2">
      <c r="A205" t="s">
        <v>1059</v>
      </c>
      <c r="B205">
        <v>0.5</v>
      </c>
      <c r="C205">
        <v>9.4</v>
      </c>
      <c r="D205" t="s">
        <v>801</v>
      </c>
      <c r="E205" t="s">
        <v>975</v>
      </c>
      <c r="F205">
        <v>1202.7</v>
      </c>
      <c r="G205">
        <v>971.4</v>
      </c>
    </row>
    <row r="206" spans="1:7" x14ac:dyDescent="0.2">
      <c r="A206" t="s">
        <v>153</v>
      </c>
      <c r="B206">
        <v>0</v>
      </c>
      <c r="C206">
        <v>15</v>
      </c>
      <c r="D206" t="s">
        <v>801</v>
      </c>
      <c r="E206" t="s">
        <v>975</v>
      </c>
      <c r="F206">
        <v>1208.8</v>
      </c>
      <c r="G206">
        <v>965.3</v>
      </c>
    </row>
    <row r="207" spans="1:7" ht="18.75" customHeight="1" x14ac:dyDescent="0.2">
      <c r="A207" t="s">
        <v>1060</v>
      </c>
      <c r="B207">
        <v>1.5</v>
      </c>
      <c r="C207">
        <v>4.9000000000000004</v>
      </c>
      <c r="D207" t="s">
        <v>801</v>
      </c>
      <c r="E207" t="s">
        <v>975</v>
      </c>
      <c r="F207">
        <v>1212.2</v>
      </c>
      <c r="G207">
        <v>961.9</v>
      </c>
    </row>
    <row r="208" spans="1:7" x14ac:dyDescent="0.2">
      <c r="A208" t="s">
        <v>154</v>
      </c>
      <c r="B208">
        <v>0.2</v>
      </c>
      <c r="C208">
        <v>9.3000000000000007</v>
      </c>
      <c r="D208" t="s">
        <v>801</v>
      </c>
      <c r="E208" t="s">
        <v>975</v>
      </c>
      <c r="F208">
        <v>1218.0999999999999</v>
      </c>
      <c r="G208">
        <v>856</v>
      </c>
    </row>
    <row r="209" spans="1:7" x14ac:dyDescent="0.2">
      <c r="A209" t="s">
        <v>1061</v>
      </c>
      <c r="B209">
        <v>0</v>
      </c>
      <c r="C209">
        <v>7.6</v>
      </c>
      <c r="D209" t="s">
        <v>801</v>
      </c>
      <c r="E209" t="s">
        <v>975</v>
      </c>
      <c r="F209">
        <v>1225.3</v>
      </c>
      <c r="G209">
        <v>948.8</v>
      </c>
    </row>
    <row r="210" spans="1:7" x14ac:dyDescent="0.2">
      <c r="A210" t="s">
        <v>155</v>
      </c>
      <c r="B210">
        <v>0</v>
      </c>
      <c r="C210">
        <v>10</v>
      </c>
      <c r="D210" t="s">
        <v>801</v>
      </c>
      <c r="E210" t="s">
        <v>975</v>
      </c>
      <c r="F210">
        <v>1235.3</v>
      </c>
      <c r="G210">
        <v>938.8</v>
      </c>
    </row>
    <row r="211" spans="1:7" x14ac:dyDescent="0.2">
      <c r="A211" t="s">
        <v>1062</v>
      </c>
      <c r="B211">
        <v>2.2000000000000002</v>
      </c>
      <c r="C211">
        <v>4.5999999999999996</v>
      </c>
      <c r="D211" t="s">
        <v>801</v>
      </c>
      <c r="E211" t="s">
        <v>975</v>
      </c>
      <c r="F211">
        <v>1237.7</v>
      </c>
      <c r="G211">
        <v>936.4</v>
      </c>
    </row>
    <row r="212" spans="1:7" x14ac:dyDescent="0.2">
      <c r="A212" t="s">
        <v>156</v>
      </c>
      <c r="B212">
        <v>0</v>
      </c>
      <c r="C212">
        <v>6.8</v>
      </c>
      <c r="D212" t="s">
        <v>801</v>
      </c>
      <c r="E212" t="s">
        <v>975</v>
      </c>
      <c r="F212">
        <v>1242.0999999999999</v>
      </c>
      <c r="G212">
        <v>932</v>
      </c>
    </row>
    <row r="213" spans="1:7" x14ac:dyDescent="0.2">
      <c r="A213" t="s">
        <v>1063</v>
      </c>
      <c r="B213">
        <v>2</v>
      </c>
      <c r="C213">
        <v>2.6</v>
      </c>
      <c r="D213" t="s">
        <v>801</v>
      </c>
      <c r="E213" t="s">
        <v>975</v>
      </c>
      <c r="F213">
        <v>1242.7</v>
      </c>
      <c r="G213">
        <v>931.4</v>
      </c>
    </row>
    <row r="214" spans="1:7" x14ac:dyDescent="0.2">
      <c r="A214" t="s">
        <v>1064</v>
      </c>
      <c r="B214">
        <v>2</v>
      </c>
      <c r="C214">
        <v>2.7</v>
      </c>
      <c r="D214" t="s">
        <v>801</v>
      </c>
      <c r="E214" t="s">
        <v>975</v>
      </c>
      <c r="F214">
        <v>1242.8</v>
      </c>
      <c r="G214">
        <v>931.3</v>
      </c>
    </row>
    <row r="215" spans="1:7" x14ac:dyDescent="0.2">
      <c r="A215" t="s">
        <v>1065</v>
      </c>
      <c r="B215">
        <v>1.5</v>
      </c>
      <c r="C215">
        <v>7.5</v>
      </c>
      <c r="D215" t="s">
        <v>801</v>
      </c>
      <c r="E215" t="s">
        <v>975</v>
      </c>
      <c r="F215">
        <v>1248</v>
      </c>
      <c r="G215">
        <v>926.1</v>
      </c>
    </row>
    <row r="216" spans="1:7" x14ac:dyDescent="0.2">
      <c r="A216" t="s">
        <v>157</v>
      </c>
      <c r="B216">
        <v>0.1</v>
      </c>
      <c r="C216">
        <v>16.8</v>
      </c>
      <c r="D216" t="s">
        <v>801</v>
      </c>
      <c r="E216" t="s">
        <v>975</v>
      </c>
      <c r="F216">
        <v>1258.5999999999999</v>
      </c>
      <c r="G216">
        <v>915.2</v>
      </c>
    </row>
    <row r="217" spans="1:7" x14ac:dyDescent="0.2">
      <c r="A217" t="s">
        <v>1066</v>
      </c>
      <c r="B217">
        <v>1</v>
      </c>
      <c r="C217">
        <v>5.7</v>
      </c>
      <c r="D217" t="s">
        <v>801</v>
      </c>
      <c r="E217" t="s">
        <v>975</v>
      </c>
      <c r="F217">
        <v>1263.4000000000001</v>
      </c>
      <c r="G217">
        <v>910.7</v>
      </c>
    </row>
    <row r="218" spans="1:7" x14ac:dyDescent="0.2">
      <c r="A218" t="s">
        <v>1067</v>
      </c>
      <c r="B218">
        <v>0</v>
      </c>
      <c r="C218">
        <v>0.3</v>
      </c>
      <c r="D218" t="s">
        <v>801</v>
      </c>
      <c r="E218" t="s">
        <v>977</v>
      </c>
      <c r="F218">
        <v>1272.2</v>
      </c>
      <c r="G218">
        <v>894.9</v>
      </c>
    </row>
    <row r="219" spans="1:7" x14ac:dyDescent="0.2">
      <c r="A219" t="s">
        <v>158</v>
      </c>
      <c r="B219">
        <v>0</v>
      </c>
      <c r="C219">
        <v>13.9</v>
      </c>
      <c r="D219" t="s">
        <v>801</v>
      </c>
      <c r="E219" t="s">
        <v>975</v>
      </c>
      <c r="F219">
        <v>1272.5999999999999</v>
      </c>
      <c r="G219">
        <v>901.5</v>
      </c>
    </row>
    <row r="220" spans="1:7" x14ac:dyDescent="0.2">
      <c r="A220" t="s">
        <v>1068</v>
      </c>
      <c r="B220">
        <v>0.1</v>
      </c>
      <c r="C220">
        <v>6.5</v>
      </c>
      <c r="D220" t="s">
        <v>801</v>
      </c>
      <c r="E220" t="s">
        <v>975</v>
      </c>
      <c r="F220">
        <v>1279</v>
      </c>
      <c r="G220">
        <v>895.1</v>
      </c>
    </row>
    <row r="221" spans="1:7" x14ac:dyDescent="0.2">
      <c r="A221" t="s">
        <v>159</v>
      </c>
      <c r="B221">
        <v>0.2</v>
      </c>
      <c r="C221">
        <v>31.4</v>
      </c>
      <c r="D221" t="s">
        <v>803</v>
      </c>
      <c r="E221" t="s">
        <v>975</v>
      </c>
      <c r="F221">
        <v>1304</v>
      </c>
      <c r="G221">
        <v>870.1</v>
      </c>
    </row>
    <row r="222" spans="1:7" x14ac:dyDescent="0.2">
      <c r="A222" t="s">
        <v>1069</v>
      </c>
      <c r="B222">
        <v>3.4</v>
      </c>
      <c r="C222">
        <v>7.2</v>
      </c>
      <c r="D222" t="s">
        <v>803</v>
      </c>
      <c r="E222" t="s">
        <v>975</v>
      </c>
      <c r="F222">
        <v>1307.4000000000001</v>
      </c>
      <c r="G222">
        <v>866.7</v>
      </c>
    </row>
    <row r="223" spans="1:7" x14ac:dyDescent="0.2">
      <c r="A223" t="s">
        <v>160</v>
      </c>
      <c r="B223">
        <v>0.1</v>
      </c>
      <c r="C223">
        <v>6.9</v>
      </c>
      <c r="D223" t="s">
        <v>803</v>
      </c>
      <c r="E223" t="s">
        <v>975</v>
      </c>
      <c r="F223">
        <v>1310.5</v>
      </c>
      <c r="G223">
        <v>863.6</v>
      </c>
    </row>
    <row r="224" spans="1:7" x14ac:dyDescent="0.2">
      <c r="A224" t="s">
        <v>161</v>
      </c>
      <c r="B224">
        <v>0</v>
      </c>
      <c r="C224">
        <v>5.9</v>
      </c>
      <c r="D224" t="s">
        <v>803</v>
      </c>
      <c r="E224" t="s">
        <v>975</v>
      </c>
      <c r="F224">
        <v>1316.2</v>
      </c>
      <c r="G224">
        <v>857.9</v>
      </c>
    </row>
    <row r="225" spans="1:7" x14ac:dyDescent="0.2">
      <c r="A225" t="s">
        <v>162</v>
      </c>
      <c r="B225">
        <v>0.4</v>
      </c>
      <c r="C225">
        <v>3.3</v>
      </c>
      <c r="D225" t="s">
        <v>803</v>
      </c>
      <c r="E225" t="s">
        <v>975</v>
      </c>
      <c r="F225">
        <v>1319.5</v>
      </c>
      <c r="G225">
        <v>854.6</v>
      </c>
    </row>
    <row r="226" spans="1:7" x14ac:dyDescent="0.2">
      <c r="A226" t="s">
        <v>163</v>
      </c>
      <c r="B226">
        <v>0.1</v>
      </c>
      <c r="C226">
        <v>4.8</v>
      </c>
      <c r="D226" t="s">
        <v>803</v>
      </c>
      <c r="E226" t="s">
        <v>975</v>
      </c>
      <c r="F226">
        <v>1323.5</v>
      </c>
      <c r="G226">
        <v>850.6</v>
      </c>
    </row>
    <row r="227" spans="1:7" x14ac:dyDescent="0.2">
      <c r="A227" t="s">
        <v>1070</v>
      </c>
      <c r="B227">
        <v>0.4</v>
      </c>
      <c r="C227">
        <v>7.5</v>
      </c>
      <c r="D227" t="s">
        <v>803</v>
      </c>
      <c r="E227" t="s">
        <v>975</v>
      </c>
      <c r="F227">
        <v>1330.5</v>
      </c>
      <c r="G227">
        <v>843.6</v>
      </c>
    </row>
    <row r="228" spans="1:7" x14ac:dyDescent="0.2">
      <c r="A228" t="s">
        <v>164</v>
      </c>
      <c r="B228">
        <v>0</v>
      </c>
      <c r="C228">
        <v>12.5</v>
      </c>
      <c r="D228" t="s">
        <v>803</v>
      </c>
      <c r="E228" t="s">
        <v>977</v>
      </c>
      <c r="F228">
        <v>1335.8</v>
      </c>
      <c r="G228">
        <v>838.3</v>
      </c>
    </row>
    <row r="229" spans="1:7" x14ac:dyDescent="0.2">
      <c r="A229" t="s">
        <v>1071</v>
      </c>
      <c r="B229">
        <v>1.1000000000000001</v>
      </c>
      <c r="C229">
        <v>6.3</v>
      </c>
      <c r="D229" t="s">
        <v>803</v>
      </c>
      <c r="E229" t="s">
        <v>975</v>
      </c>
      <c r="F229">
        <v>1338.5</v>
      </c>
      <c r="G229">
        <v>835.6</v>
      </c>
    </row>
    <row r="230" spans="1:7" x14ac:dyDescent="0.2">
      <c r="A230" t="s">
        <v>1072</v>
      </c>
      <c r="B230">
        <v>2.4</v>
      </c>
      <c r="C230">
        <v>9.8000000000000007</v>
      </c>
      <c r="D230" t="s">
        <v>803</v>
      </c>
      <c r="E230" t="s">
        <v>975</v>
      </c>
      <c r="F230">
        <v>1342.3</v>
      </c>
      <c r="G230">
        <v>831.8</v>
      </c>
    </row>
    <row r="231" spans="1:7" x14ac:dyDescent="0.2">
      <c r="A231" t="s">
        <v>1073</v>
      </c>
      <c r="B231">
        <v>1.8</v>
      </c>
      <c r="C231">
        <v>12.3</v>
      </c>
      <c r="D231" t="s">
        <v>803</v>
      </c>
      <c r="E231" t="s">
        <v>975</v>
      </c>
      <c r="F231">
        <v>1345.4</v>
      </c>
      <c r="G231">
        <v>828.7</v>
      </c>
    </row>
    <row r="232" spans="1:7" x14ac:dyDescent="0.2">
      <c r="A232" t="s">
        <v>165</v>
      </c>
      <c r="B232">
        <v>0</v>
      </c>
      <c r="C232">
        <v>11.8</v>
      </c>
      <c r="D232" t="s">
        <v>804</v>
      </c>
      <c r="E232" t="s">
        <v>975</v>
      </c>
      <c r="F232">
        <v>1347.6</v>
      </c>
      <c r="G232">
        <v>826.5</v>
      </c>
    </row>
    <row r="233" spans="1:7" x14ac:dyDescent="0.2">
      <c r="A233" t="s">
        <v>1074</v>
      </c>
      <c r="B233">
        <v>3.7</v>
      </c>
      <c r="C233">
        <v>19.5</v>
      </c>
      <c r="D233" t="s">
        <v>803</v>
      </c>
      <c r="E233" t="s">
        <v>975</v>
      </c>
      <c r="F233">
        <v>1351.6</v>
      </c>
      <c r="G233">
        <v>822.5</v>
      </c>
    </row>
    <row r="234" spans="1:7" x14ac:dyDescent="0.2">
      <c r="A234" t="s">
        <v>1075</v>
      </c>
      <c r="B234">
        <v>0</v>
      </c>
      <c r="C234">
        <v>3.7</v>
      </c>
      <c r="D234" t="s">
        <v>803</v>
      </c>
      <c r="E234" t="s">
        <v>977</v>
      </c>
      <c r="F234">
        <v>1351.6</v>
      </c>
      <c r="G234">
        <v>822.5</v>
      </c>
    </row>
    <row r="235" spans="1:7" x14ac:dyDescent="0.2">
      <c r="A235" t="s">
        <v>1076</v>
      </c>
      <c r="B235">
        <v>1.6</v>
      </c>
      <c r="C235">
        <v>11.5</v>
      </c>
      <c r="D235" t="s">
        <v>804</v>
      </c>
      <c r="E235" t="s">
        <v>975</v>
      </c>
      <c r="F235">
        <v>1357.5</v>
      </c>
      <c r="G235">
        <v>816.6</v>
      </c>
    </row>
    <row r="236" spans="1:7" x14ac:dyDescent="0.2">
      <c r="A236" t="s">
        <v>1077</v>
      </c>
      <c r="B236">
        <v>2</v>
      </c>
      <c r="C236">
        <v>11.9</v>
      </c>
      <c r="D236" t="s">
        <v>804</v>
      </c>
      <c r="E236" t="s">
        <v>975</v>
      </c>
      <c r="F236">
        <v>1357.5</v>
      </c>
      <c r="G236">
        <v>816.6</v>
      </c>
    </row>
    <row r="237" spans="1:7" x14ac:dyDescent="0.2">
      <c r="A237" t="s">
        <v>166</v>
      </c>
      <c r="B237">
        <v>0</v>
      </c>
      <c r="C237">
        <v>12</v>
      </c>
      <c r="D237" t="s">
        <v>804</v>
      </c>
      <c r="E237" t="s">
        <v>975</v>
      </c>
      <c r="F237">
        <v>1359.6</v>
      </c>
      <c r="G237">
        <v>814.5</v>
      </c>
    </row>
    <row r="238" spans="1:7" x14ac:dyDescent="0.2">
      <c r="A238" t="s">
        <v>1078</v>
      </c>
      <c r="B238">
        <v>0.7</v>
      </c>
      <c r="C238">
        <v>10.6</v>
      </c>
      <c r="D238" t="s">
        <v>804</v>
      </c>
      <c r="E238" t="s">
        <v>975</v>
      </c>
      <c r="F238">
        <v>1369.5</v>
      </c>
      <c r="G238">
        <v>804.6</v>
      </c>
    </row>
    <row r="239" spans="1:7" x14ac:dyDescent="0.2">
      <c r="A239" t="s">
        <v>1079</v>
      </c>
      <c r="B239">
        <v>2.1</v>
      </c>
      <c r="C239">
        <v>12</v>
      </c>
      <c r="D239" t="s">
        <v>804</v>
      </c>
      <c r="E239" t="s">
        <v>975</v>
      </c>
      <c r="F239">
        <v>1369.5</v>
      </c>
      <c r="G239">
        <v>804.6</v>
      </c>
    </row>
    <row r="240" spans="1:7" x14ac:dyDescent="0.2">
      <c r="A240" t="s">
        <v>167</v>
      </c>
      <c r="B240">
        <v>0</v>
      </c>
      <c r="C240">
        <v>14.3</v>
      </c>
      <c r="D240" t="s">
        <v>804</v>
      </c>
      <c r="E240" t="s">
        <v>977</v>
      </c>
      <c r="F240">
        <v>1373.9</v>
      </c>
      <c r="G240">
        <v>800.2</v>
      </c>
    </row>
    <row r="241" spans="1:7" x14ac:dyDescent="0.2">
      <c r="A241" t="s">
        <v>168</v>
      </c>
      <c r="B241">
        <v>0</v>
      </c>
      <c r="C241">
        <v>5.3</v>
      </c>
      <c r="D241" t="s">
        <v>804</v>
      </c>
      <c r="E241" t="s">
        <v>977</v>
      </c>
      <c r="F241">
        <v>1379.2</v>
      </c>
      <c r="G241">
        <v>794.9</v>
      </c>
    </row>
    <row r="242" spans="1:7" x14ac:dyDescent="0.2">
      <c r="A242" t="s">
        <v>169</v>
      </c>
      <c r="B242">
        <v>0.6</v>
      </c>
      <c r="C242">
        <v>3.7</v>
      </c>
      <c r="D242" t="s">
        <v>804</v>
      </c>
      <c r="E242" t="s">
        <v>977</v>
      </c>
      <c r="F242">
        <v>1382.9</v>
      </c>
      <c r="G242">
        <v>791.2</v>
      </c>
    </row>
    <row r="243" spans="1:7" x14ac:dyDescent="0.2">
      <c r="A243" t="s">
        <v>1080</v>
      </c>
      <c r="B243">
        <v>0.3</v>
      </c>
      <c r="C243">
        <v>5.9</v>
      </c>
      <c r="D243" t="s">
        <v>804</v>
      </c>
      <c r="E243" t="s">
        <v>975</v>
      </c>
      <c r="F243">
        <v>1387.3</v>
      </c>
      <c r="G243">
        <v>786.8</v>
      </c>
    </row>
    <row r="244" spans="1:7" x14ac:dyDescent="0.2">
      <c r="A244" t="s">
        <v>1081</v>
      </c>
      <c r="B244">
        <v>0.7</v>
      </c>
      <c r="C244">
        <v>7.7</v>
      </c>
      <c r="D244" t="s">
        <v>804</v>
      </c>
      <c r="E244" t="s">
        <v>975</v>
      </c>
      <c r="F244">
        <v>1388.1</v>
      </c>
      <c r="G244">
        <v>786</v>
      </c>
    </row>
    <row r="245" spans="1:7" x14ac:dyDescent="0.2">
      <c r="A245" t="s">
        <v>1082</v>
      </c>
      <c r="B245">
        <v>4.5</v>
      </c>
      <c r="C245">
        <v>16.7</v>
      </c>
      <c r="D245" t="s">
        <v>804</v>
      </c>
      <c r="E245" t="s">
        <v>975</v>
      </c>
      <c r="F245">
        <v>1393.9</v>
      </c>
      <c r="G245">
        <v>780.2</v>
      </c>
    </row>
    <row r="246" spans="1:7" x14ac:dyDescent="0.2">
      <c r="A246" t="s">
        <v>170</v>
      </c>
      <c r="B246">
        <v>0</v>
      </c>
      <c r="C246">
        <v>31.6</v>
      </c>
      <c r="D246" t="s">
        <v>804</v>
      </c>
      <c r="E246" t="s">
        <v>975</v>
      </c>
      <c r="F246">
        <v>1413.3</v>
      </c>
      <c r="G246">
        <v>760.8</v>
      </c>
    </row>
    <row r="247" spans="1:7" x14ac:dyDescent="0.2">
      <c r="A247" t="s">
        <v>1083</v>
      </c>
      <c r="B247">
        <v>1.9</v>
      </c>
      <c r="C247">
        <v>7.2</v>
      </c>
      <c r="D247" t="s">
        <v>804</v>
      </c>
      <c r="E247" t="s">
        <v>975</v>
      </c>
      <c r="F247">
        <v>1418.4</v>
      </c>
      <c r="G247">
        <v>755.7</v>
      </c>
    </row>
    <row r="248" spans="1:7" x14ac:dyDescent="0.2">
      <c r="A248" t="s">
        <v>1084</v>
      </c>
      <c r="B248">
        <v>0</v>
      </c>
      <c r="C248">
        <v>9</v>
      </c>
      <c r="D248" t="s">
        <v>804</v>
      </c>
      <c r="E248" t="s">
        <v>975</v>
      </c>
      <c r="F248">
        <v>1422.3</v>
      </c>
      <c r="G248">
        <v>751.8</v>
      </c>
    </row>
    <row r="249" spans="1:7" x14ac:dyDescent="0.2">
      <c r="A249" t="s">
        <v>1085</v>
      </c>
      <c r="B249">
        <v>3.1</v>
      </c>
      <c r="C249">
        <v>6.4</v>
      </c>
      <c r="D249" t="s">
        <v>804</v>
      </c>
      <c r="E249" t="s">
        <v>975</v>
      </c>
      <c r="F249">
        <v>1425.6</v>
      </c>
      <c r="G249">
        <v>748.5</v>
      </c>
    </row>
    <row r="250" spans="1:7" x14ac:dyDescent="0.2">
      <c r="A250" t="s">
        <v>171</v>
      </c>
      <c r="B250">
        <v>0</v>
      </c>
      <c r="C250">
        <v>7.6</v>
      </c>
      <c r="D250" t="s">
        <v>804</v>
      </c>
      <c r="E250" t="s">
        <v>975</v>
      </c>
      <c r="F250">
        <v>1429.9</v>
      </c>
      <c r="G250">
        <v>744.2</v>
      </c>
    </row>
    <row r="251" spans="1:7" x14ac:dyDescent="0.2">
      <c r="A251" t="s">
        <v>1086</v>
      </c>
      <c r="B251">
        <v>2.9</v>
      </c>
      <c r="C251">
        <v>4</v>
      </c>
      <c r="D251" t="s">
        <v>804</v>
      </c>
      <c r="E251" t="s">
        <v>975</v>
      </c>
      <c r="F251">
        <v>1430.6</v>
      </c>
      <c r="G251">
        <v>743.5</v>
      </c>
    </row>
    <row r="252" spans="1:7" x14ac:dyDescent="0.2">
      <c r="A252" t="s">
        <v>172</v>
      </c>
      <c r="B252">
        <v>0</v>
      </c>
      <c r="C252">
        <v>9</v>
      </c>
      <c r="D252" t="s">
        <v>804</v>
      </c>
      <c r="E252" t="s">
        <v>975</v>
      </c>
      <c r="F252">
        <v>1438.9</v>
      </c>
      <c r="G252">
        <v>735.2</v>
      </c>
    </row>
    <row r="253" spans="1:7" x14ac:dyDescent="0.2">
      <c r="A253" t="s">
        <v>1087</v>
      </c>
      <c r="B253">
        <v>0</v>
      </c>
      <c r="C253">
        <v>3.3</v>
      </c>
      <c r="D253" t="s">
        <v>804</v>
      </c>
      <c r="E253" t="s">
        <v>977</v>
      </c>
      <c r="F253">
        <v>1440.1</v>
      </c>
      <c r="G253">
        <v>734</v>
      </c>
    </row>
    <row r="254" spans="1:7" ht="28.5" customHeight="1" x14ac:dyDescent="0.2">
      <c r="A254" t="s">
        <v>1088</v>
      </c>
      <c r="B254">
        <v>3.3</v>
      </c>
      <c r="C254">
        <v>4.5</v>
      </c>
      <c r="D254" t="s">
        <v>804</v>
      </c>
      <c r="E254" t="s">
        <v>975</v>
      </c>
      <c r="F254">
        <v>1440.1</v>
      </c>
      <c r="G254">
        <v>734</v>
      </c>
    </row>
    <row r="255" spans="1:7" x14ac:dyDescent="0.2">
      <c r="A255" t="s">
        <v>173</v>
      </c>
      <c r="B255">
        <v>0</v>
      </c>
      <c r="C255">
        <v>4</v>
      </c>
      <c r="D255" t="s">
        <v>805</v>
      </c>
      <c r="E255" t="s">
        <v>975</v>
      </c>
      <c r="F255">
        <v>1442.9</v>
      </c>
      <c r="G255">
        <v>731.2</v>
      </c>
    </row>
    <row r="256" spans="1:7" x14ac:dyDescent="0.2">
      <c r="A256" t="s">
        <v>174</v>
      </c>
      <c r="B256">
        <v>0</v>
      </c>
      <c r="C256">
        <v>8.4</v>
      </c>
      <c r="D256" t="s">
        <v>805</v>
      </c>
      <c r="E256" t="s">
        <v>975</v>
      </c>
      <c r="F256">
        <v>1451.3</v>
      </c>
      <c r="G256">
        <v>722.8</v>
      </c>
    </row>
    <row r="257" spans="1:7" x14ac:dyDescent="0.2">
      <c r="A257" t="s">
        <v>1089</v>
      </c>
      <c r="B257">
        <v>0.8</v>
      </c>
      <c r="C257">
        <v>1.1000000000000001</v>
      </c>
      <c r="D257" t="s">
        <v>805</v>
      </c>
      <c r="E257" t="s">
        <v>975</v>
      </c>
      <c r="F257">
        <v>1451.6</v>
      </c>
      <c r="G257">
        <v>722.5</v>
      </c>
    </row>
    <row r="258" spans="1:7" x14ac:dyDescent="0.2">
      <c r="A258" t="s">
        <v>175</v>
      </c>
      <c r="B258">
        <v>0</v>
      </c>
      <c r="C258">
        <v>7.3</v>
      </c>
      <c r="D258" t="s">
        <v>805</v>
      </c>
      <c r="E258" t="s">
        <v>975</v>
      </c>
      <c r="F258">
        <v>1458.6</v>
      </c>
      <c r="G258">
        <v>715.5</v>
      </c>
    </row>
    <row r="259" spans="1:7" x14ac:dyDescent="0.2">
      <c r="A259" t="s">
        <v>1090</v>
      </c>
      <c r="B259">
        <v>0.9</v>
      </c>
      <c r="C259">
        <v>5</v>
      </c>
      <c r="D259" t="s">
        <v>805</v>
      </c>
      <c r="E259" t="s">
        <v>975</v>
      </c>
      <c r="F259">
        <v>1462.7</v>
      </c>
      <c r="G259">
        <v>711.4</v>
      </c>
    </row>
    <row r="260" spans="1:7" x14ac:dyDescent="0.2">
      <c r="A260" t="s">
        <v>1091</v>
      </c>
      <c r="B260">
        <v>2.2000000000000002</v>
      </c>
      <c r="C260">
        <v>11.1</v>
      </c>
      <c r="D260" t="s">
        <v>805</v>
      </c>
      <c r="E260" t="s">
        <v>975</v>
      </c>
      <c r="F260">
        <v>1467.5</v>
      </c>
      <c r="G260">
        <v>706.6</v>
      </c>
    </row>
    <row r="261" spans="1:7" x14ac:dyDescent="0.2">
      <c r="A261" t="s">
        <v>176</v>
      </c>
      <c r="B261">
        <v>0</v>
      </c>
      <c r="C261">
        <v>10</v>
      </c>
      <c r="D261" t="s">
        <v>805</v>
      </c>
      <c r="E261" t="s">
        <v>975</v>
      </c>
      <c r="F261">
        <v>1468.6</v>
      </c>
      <c r="G261">
        <v>705.5</v>
      </c>
    </row>
    <row r="262" spans="1:7" x14ac:dyDescent="0.2">
      <c r="A262" t="s">
        <v>1092</v>
      </c>
      <c r="B262">
        <v>0.5</v>
      </c>
      <c r="C262">
        <v>8.8000000000000007</v>
      </c>
      <c r="D262" t="s">
        <v>805</v>
      </c>
      <c r="E262" t="s">
        <v>975</v>
      </c>
      <c r="F262">
        <v>1476.8</v>
      </c>
      <c r="G262">
        <v>697.3</v>
      </c>
    </row>
    <row r="263" spans="1:7" x14ac:dyDescent="0.2">
      <c r="A263" t="s">
        <v>177</v>
      </c>
      <c r="B263">
        <v>0.5</v>
      </c>
      <c r="C263">
        <v>12.8</v>
      </c>
      <c r="D263" t="s">
        <v>805</v>
      </c>
      <c r="E263" t="s">
        <v>975</v>
      </c>
      <c r="F263">
        <v>1481.4</v>
      </c>
      <c r="G263">
        <v>692.7</v>
      </c>
    </row>
    <row r="264" spans="1:7" x14ac:dyDescent="0.2">
      <c r="A264" t="s">
        <v>1093</v>
      </c>
      <c r="B264">
        <v>0.8</v>
      </c>
      <c r="C264">
        <v>5.4</v>
      </c>
      <c r="D264" t="s">
        <v>805</v>
      </c>
      <c r="E264" t="s">
        <v>975</v>
      </c>
      <c r="F264">
        <v>1485</v>
      </c>
      <c r="G264">
        <v>689.1</v>
      </c>
    </row>
    <row r="265" spans="1:7" x14ac:dyDescent="0.2">
      <c r="A265" t="s">
        <v>178</v>
      </c>
      <c r="B265">
        <v>0</v>
      </c>
      <c r="C265">
        <v>8</v>
      </c>
      <c r="D265" t="s">
        <v>805</v>
      </c>
      <c r="E265" t="s">
        <v>975</v>
      </c>
      <c r="F265">
        <v>1488.4</v>
      </c>
      <c r="G265">
        <v>685.7</v>
      </c>
    </row>
    <row r="266" spans="1:7" x14ac:dyDescent="0.2">
      <c r="A266" t="s">
        <v>179</v>
      </c>
      <c r="B266">
        <v>0</v>
      </c>
      <c r="C266">
        <v>1.2</v>
      </c>
      <c r="D266" t="s">
        <v>805</v>
      </c>
      <c r="E266" t="s">
        <v>975</v>
      </c>
      <c r="F266">
        <v>1489.6</v>
      </c>
      <c r="G266">
        <v>684.5</v>
      </c>
    </row>
    <row r="267" spans="1:7" x14ac:dyDescent="0.2">
      <c r="A267" t="s">
        <v>1094</v>
      </c>
      <c r="B267">
        <v>0</v>
      </c>
      <c r="C267">
        <v>2.1</v>
      </c>
      <c r="D267" t="s">
        <v>805</v>
      </c>
      <c r="E267" t="s">
        <v>977</v>
      </c>
      <c r="F267">
        <v>1491.7</v>
      </c>
      <c r="G267">
        <v>682.4</v>
      </c>
    </row>
    <row r="268" spans="1:7" x14ac:dyDescent="0.2">
      <c r="A268" t="s">
        <v>1095</v>
      </c>
      <c r="B268">
        <v>0</v>
      </c>
      <c r="C268">
        <v>8.8000000000000007</v>
      </c>
      <c r="D268" t="s">
        <v>806</v>
      </c>
      <c r="E268" t="s">
        <v>975</v>
      </c>
      <c r="F268">
        <v>1498.4</v>
      </c>
      <c r="G268">
        <v>675.7</v>
      </c>
    </row>
    <row r="269" spans="1:7" x14ac:dyDescent="0.2">
      <c r="A269" t="s">
        <v>180</v>
      </c>
      <c r="B269">
        <v>0</v>
      </c>
      <c r="C269">
        <v>0.1</v>
      </c>
      <c r="D269" t="s">
        <v>806</v>
      </c>
      <c r="E269" t="s">
        <v>975</v>
      </c>
      <c r="F269">
        <v>1498.5</v>
      </c>
      <c r="G269">
        <v>675.6</v>
      </c>
    </row>
    <row r="270" spans="1:7" x14ac:dyDescent="0.2">
      <c r="A270" t="s">
        <v>1096</v>
      </c>
      <c r="B270">
        <v>1.2</v>
      </c>
      <c r="C270">
        <v>5.5</v>
      </c>
      <c r="D270" t="s">
        <v>806</v>
      </c>
      <c r="E270" t="s">
        <v>975</v>
      </c>
      <c r="F270">
        <v>1502.8</v>
      </c>
      <c r="G270">
        <v>671.3</v>
      </c>
    </row>
    <row r="271" spans="1:7" x14ac:dyDescent="0.2">
      <c r="A271" t="s">
        <v>1097</v>
      </c>
      <c r="B271">
        <v>3.2</v>
      </c>
      <c r="C271">
        <v>11.1</v>
      </c>
      <c r="D271" t="s">
        <v>806</v>
      </c>
      <c r="E271" t="s">
        <v>975</v>
      </c>
      <c r="F271">
        <v>1506.2</v>
      </c>
      <c r="G271">
        <v>667.7</v>
      </c>
    </row>
    <row r="272" spans="1:7" x14ac:dyDescent="0.2">
      <c r="A272" t="s">
        <v>181</v>
      </c>
      <c r="B272">
        <v>0</v>
      </c>
      <c r="C272">
        <v>14.3</v>
      </c>
      <c r="D272" t="s">
        <v>806</v>
      </c>
      <c r="E272" t="s">
        <v>975</v>
      </c>
      <c r="F272">
        <v>1512.8</v>
      </c>
      <c r="G272">
        <v>661.3</v>
      </c>
    </row>
    <row r="273" spans="1:7" x14ac:dyDescent="0.2">
      <c r="A273" t="s">
        <v>1098</v>
      </c>
      <c r="B273">
        <v>4</v>
      </c>
      <c r="C273">
        <v>6</v>
      </c>
      <c r="D273" t="s">
        <v>806</v>
      </c>
      <c r="E273" t="s">
        <v>975</v>
      </c>
      <c r="F273">
        <v>1514.8</v>
      </c>
      <c r="G273">
        <v>659.3</v>
      </c>
    </row>
    <row r="274" spans="1:7" x14ac:dyDescent="0.2">
      <c r="A274" t="s">
        <v>1099</v>
      </c>
      <c r="B274">
        <v>0</v>
      </c>
      <c r="C274">
        <v>5.3</v>
      </c>
      <c r="D274" t="s">
        <v>806</v>
      </c>
      <c r="E274" t="s">
        <v>975</v>
      </c>
      <c r="F274">
        <v>1518.1</v>
      </c>
      <c r="G274">
        <v>656</v>
      </c>
    </row>
    <row r="275" spans="1:7" x14ac:dyDescent="0.2">
      <c r="A275" t="s">
        <v>182</v>
      </c>
      <c r="B275">
        <v>0.3</v>
      </c>
      <c r="C275">
        <v>2.1</v>
      </c>
      <c r="D275" t="s">
        <v>806</v>
      </c>
      <c r="E275" t="s">
        <v>975</v>
      </c>
      <c r="F275">
        <v>1520.2</v>
      </c>
      <c r="G275">
        <v>653.9</v>
      </c>
    </row>
    <row r="276" spans="1:7" x14ac:dyDescent="0.2">
      <c r="A276" t="s">
        <v>1100</v>
      </c>
      <c r="B276">
        <v>0.9</v>
      </c>
      <c r="C276">
        <v>8.1999999999999993</v>
      </c>
      <c r="D276" t="s">
        <v>806</v>
      </c>
      <c r="E276" t="s">
        <v>975</v>
      </c>
      <c r="F276">
        <v>1526.9</v>
      </c>
      <c r="G276">
        <v>647.20000000000005</v>
      </c>
    </row>
    <row r="277" spans="1:7" x14ac:dyDescent="0.2">
      <c r="A277" t="s">
        <v>183</v>
      </c>
      <c r="B277">
        <v>0.5</v>
      </c>
      <c r="C277">
        <v>14.8</v>
      </c>
      <c r="D277" t="s">
        <v>806</v>
      </c>
      <c r="E277" t="s">
        <v>975</v>
      </c>
      <c r="F277">
        <v>1534.4</v>
      </c>
      <c r="G277">
        <v>639.70000000000005</v>
      </c>
    </row>
    <row r="278" spans="1:7" ht="18.75" customHeight="1" x14ac:dyDescent="0.2">
      <c r="A278" t="s">
        <v>1101</v>
      </c>
      <c r="B278">
        <v>5</v>
      </c>
      <c r="C278">
        <v>7.1</v>
      </c>
      <c r="D278" t="s">
        <v>806</v>
      </c>
      <c r="E278" t="s">
        <v>975</v>
      </c>
      <c r="F278">
        <v>1535.5</v>
      </c>
      <c r="G278">
        <v>638.6</v>
      </c>
    </row>
    <row r="279" spans="1:7" x14ac:dyDescent="0.2">
      <c r="A279" t="s">
        <v>184</v>
      </c>
      <c r="B279">
        <v>0</v>
      </c>
      <c r="C279">
        <v>9.3000000000000007</v>
      </c>
      <c r="D279" t="s">
        <v>806</v>
      </c>
      <c r="E279" t="s">
        <v>975</v>
      </c>
      <c r="F279">
        <v>1542.7</v>
      </c>
      <c r="G279">
        <v>631.4</v>
      </c>
    </row>
    <row r="280" spans="1:7" x14ac:dyDescent="0.2">
      <c r="A280" t="s">
        <v>1102</v>
      </c>
      <c r="B280">
        <v>5</v>
      </c>
      <c r="C280">
        <v>7.2</v>
      </c>
      <c r="D280" t="s">
        <v>806</v>
      </c>
      <c r="E280" t="s">
        <v>975</v>
      </c>
      <c r="F280">
        <v>1544.9</v>
      </c>
      <c r="G280">
        <v>929.2</v>
      </c>
    </row>
    <row r="281" spans="1:7" x14ac:dyDescent="0.2">
      <c r="A281" t="s">
        <v>185</v>
      </c>
      <c r="B281">
        <v>0.2</v>
      </c>
      <c r="C281">
        <v>9</v>
      </c>
      <c r="D281" t="s">
        <v>806</v>
      </c>
      <c r="E281" t="s">
        <v>975</v>
      </c>
      <c r="F281">
        <v>1551.7</v>
      </c>
      <c r="G281">
        <v>6224</v>
      </c>
    </row>
    <row r="282" spans="1:7" x14ac:dyDescent="0.2">
      <c r="A282" t="s">
        <v>1103</v>
      </c>
      <c r="B282">
        <v>0.3</v>
      </c>
      <c r="C282">
        <v>3.5</v>
      </c>
      <c r="D282" t="s">
        <v>806</v>
      </c>
      <c r="E282" t="s">
        <v>975</v>
      </c>
      <c r="F282">
        <v>1554.5</v>
      </c>
      <c r="G282">
        <v>619.6</v>
      </c>
    </row>
    <row r="283" spans="1:7" x14ac:dyDescent="0.2">
      <c r="A283" t="s">
        <v>1104</v>
      </c>
      <c r="B283">
        <v>0.5</v>
      </c>
      <c r="C283">
        <v>9.6</v>
      </c>
      <c r="D283" t="s">
        <v>806</v>
      </c>
      <c r="E283" t="s">
        <v>975</v>
      </c>
      <c r="F283">
        <v>1563.8</v>
      </c>
      <c r="G283">
        <v>610.29999999999995</v>
      </c>
    </row>
    <row r="284" spans="1:7" x14ac:dyDescent="0.2">
      <c r="A284" t="s">
        <v>1105</v>
      </c>
      <c r="B284">
        <v>0.2</v>
      </c>
      <c r="C284">
        <v>17.100000000000001</v>
      </c>
      <c r="D284" t="s">
        <v>806</v>
      </c>
      <c r="E284" t="s">
        <v>975</v>
      </c>
      <c r="F284">
        <v>1568.4</v>
      </c>
      <c r="G284">
        <v>605.70000000000005</v>
      </c>
    </row>
    <row r="285" spans="1:7" x14ac:dyDescent="0.2">
      <c r="A285" t="s">
        <v>186</v>
      </c>
      <c r="B285">
        <v>0</v>
      </c>
      <c r="C285">
        <v>3.5</v>
      </c>
      <c r="D285" t="s">
        <v>806</v>
      </c>
      <c r="E285" t="s">
        <v>975</v>
      </c>
      <c r="F285">
        <v>1571.5</v>
      </c>
      <c r="G285">
        <v>602.6</v>
      </c>
    </row>
    <row r="286" spans="1:7" x14ac:dyDescent="0.2">
      <c r="A286" t="s">
        <v>187</v>
      </c>
      <c r="B286">
        <v>0.3</v>
      </c>
      <c r="C286">
        <v>7.1</v>
      </c>
      <c r="D286" t="s">
        <v>806</v>
      </c>
      <c r="E286" t="s">
        <v>975</v>
      </c>
      <c r="F286">
        <v>1575.1</v>
      </c>
      <c r="G286">
        <v>599</v>
      </c>
    </row>
    <row r="287" spans="1:7" ht="16.5" customHeight="1" x14ac:dyDescent="0.2">
      <c r="A287" t="s">
        <v>1106</v>
      </c>
      <c r="B287">
        <v>2.5</v>
      </c>
      <c r="C287">
        <v>5.8</v>
      </c>
      <c r="D287" t="s">
        <v>806</v>
      </c>
      <c r="E287" t="s">
        <v>975</v>
      </c>
      <c r="F287">
        <v>1577.8</v>
      </c>
      <c r="G287">
        <v>596.29999999999995</v>
      </c>
    </row>
    <row r="288" spans="1:7" ht="15.75" customHeight="1" x14ac:dyDescent="0.2">
      <c r="A288" t="s">
        <v>1107</v>
      </c>
      <c r="B288">
        <v>0</v>
      </c>
      <c r="C288">
        <v>7.1</v>
      </c>
      <c r="D288" t="s">
        <v>807</v>
      </c>
      <c r="E288" t="s">
        <v>977</v>
      </c>
      <c r="F288">
        <v>1581.9</v>
      </c>
      <c r="G288">
        <v>592.20000000000005</v>
      </c>
    </row>
    <row r="289" spans="1:7" x14ac:dyDescent="0.2">
      <c r="A289" t="s">
        <v>188</v>
      </c>
      <c r="B289">
        <v>0.2</v>
      </c>
      <c r="C289">
        <v>10.4</v>
      </c>
      <c r="D289" t="s">
        <v>807</v>
      </c>
      <c r="E289" t="s">
        <v>975</v>
      </c>
      <c r="F289">
        <v>1584.9</v>
      </c>
      <c r="G289">
        <v>589.20000000000005</v>
      </c>
    </row>
    <row r="290" spans="1:7" x14ac:dyDescent="0.2">
      <c r="A290" t="s">
        <v>189</v>
      </c>
      <c r="B290">
        <v>0</v>
      </c>
      <c r="C290">
        <v>7.4</v>
      </c>
      <c r="D290" t="s">
        <v>807</v>
      </c>
      <c r="E290" t="s">
        <v>975</v>
      </c>
      <c r="F290">
        <v>1591.9</v>
      </c>
      <c r="G290">
        <v>582.20000000000005</v>
      </c>
    </row>
    <row r="291" spans="1:7" x14ac:dyDescent="0.2">
      <c r="A291" t="s">
        <v>1108</v>
      </c>
      <c r="B291">
        <v>5.0999999999999996</v>
      </c>
      <c r="C291">
        <v>9.4</v>
      </c>
      <c r="D291" t="s">
        <v>807</v>
      </c>
      <c r="E291" t="s">
        <v>975</v>
      </c>
      <c r="F291">
        <v>1596.2</v>
      </c>
      <c r="G291">
        <v>577.9</v>
      </c>
    </row>
    <row r="292" spans="1:7" x14ac:dyDescent="0.2">
      <c r="A292" t="s">
        <v>190</v>
      </c>
      <c r="B292">
        <v>0</v>
      </c>
      <c r="C292">
        <v>5.9</v>
      </c>
      <c r="D292" t="s">
        <v>807</v>
      </c>
      <c r="E292" t="s">
        <v>975</v>
      </c>
      <c r="F292">
        <v>1597.8</v>
      </c>
      <c r="G292">
        <v>576.29999999999995</v>
      </c>
    </row>
    <row r="293" spans="1:7" x14ac:dyDescent="0.2">
      <c r="A293" t="s">
        <v>191</v>
      </c>
      <c r="B293">
        <v>0</v>
      </c>
      <c r="C293">
        <v>8.5</v>
      </c>
      <c r="D293" t="s">
        <v>807</v>
      </c>
      <c r="E293" t="s">
        <v>975</v>
      </c>
      <c r="F293">
        <v>1606.3</v>
      </c>
      <c r="G293">
        <v>567.79999999999995</v>
      </c>
    </row>
    <row r="294" spans="1:7" x14ac:dyDescent="0.2">
      <c r="A294" t="s">
        <v>1109</v>
      </c>
      <c r="B294">
        <v>0</v>
      </c>
      <c r="C294">
        <v>4.3</v>
      </c>
      <c r="D294" t="s">
        <v>807</v>
      </c>
      <c r="E294" t="s">
        <v>975</v>
      </c>
      <c r="F294">
        <v>1610.6</v>
      </c>
      <c r="G294">
        <v>563.5</v>
      </c>
    </row>
    <row r="295" spans="1:7" x14ac:dyDescent="0.2">
      <c r="A295" t="s">
        <v>192</v>
      </c>
      <c r="B295">
        <v>0</v>
      </c>
      <c r="C295">
        <v>4.5999999999999996</v>
      </c>
      <c r="D295" t="s">
        <v>807</v>
      </c>
      <c r="E295" t="s">
        <v>975</v>
      </c>
      <c r="F295">
        <v>1615.2</v>
      </c>
      <c r="G295">
        <v>558.9</v>
      </c>
    </row>
    <row r="296" spans="1:7" x14ac:dyDescent="0.2">
      <c r="A296" t="s">
        <v>193</v>
      </c>
      <c r="B296">
        <v>0.2</v>
      </c>
      <c r="C296">
        <v>10.7</v>
      </c>
      <c r="D296" t="s">
        <v>807</v>
      </c>
      <c r="E296" t="s">
        <v>975</v>
      </c>
      <c r="F296">
        <v>1625.9</v>
      </c>
      <c r="G296">
        <v>548.20000000000005</v>
      </c>
    </row>
    <row r="297" spans="1:7" x14ac:dyDescent="0.2">
      <c r="A297" t="s">
        <v>194</v>
      </c>
      <c r="B297">
        <v>0.5</v>
      </c>
      <c r="C297">
        <v>5.5</v>
      </c>
      <c r="D297" t="s">
        <v>807</v>
      </c>
      <c r="E297" t="s">
        <v>975</v>
      </c>
      <c r="F297">
        <v>1631</v>
      </c>
      <c r="G297">
        <v>543.1</v>
      </c>
    </row>
    <row r="298" spans="1:7" x14ac:dyDescent="0.2">
      <c r="A298" t="s">
        <v>195</v>
      </c>
      <c r="B298">
        <v>0.1</v>
      </c>
      <c r="C298">
        <v>3.6</v>
      </c>
      <c r="D298" t="s">
        <v>807</v>
      </c>
      <c r="E298" t="s">
        <v>975</v>
      </c>
      <c r="F298">
        <v>1633.6</v>
      </c>
      <c r="G298">
        <v>540.5</v>
      </c>
    </row>
    <row r="299" spans="1:7" x14ac:dyDescent="0.2">
      <c r="A299" t="s">
        <v>1110</v>
      </c>
      <c r="B299">
        <v>5.5</v>
      </c>
      <c r="C299">
        <v>8.1999999999999993</v>
      </c>
      <c r="D299" t="s">
        <v>807</v>
      </c>
      <c r="E299" t="s">
        <v>975</v>
      </c>
      <c r="F299">
        <v>1636.3</v>
      </c>
      <c r="G299">
        <v>537.79999999999995</v>
      </c>
    </row>
    <row r="300" spans="1:7" x14ac:dyDescent="0.2">
      <c r="A300" t="s">
        <v>196</v>
      </c>
      <c r="B300">
        <v>0</v>
      </c>
      <c r="C300">
        <v>4.8</v>
      </c>
      <c r="D300" t="s">
        <v>807</v>
      </c>
      <c r="E300" t="s">
        <v>975</v>
      </c>
      <c r="F300">
        <v>1638.3</v>
      </c>
      <c r="G300">
        <v>535.79999999999995</v>
      </c>
    </row>
    <row r="301" spans="1:7" x14ac:dyDescent="0.2">
      <c r="A301" t="s">
        <v>1111</v>
      </c>
      <c r="B301">
        <v>4.3</v>
      </c>
      <c r="C301">
        <v>12.3</v>
      </c>
      <c r="D301" t="s">
        <v>807</v>
      </c>
      <c r="E301" t="s">
        <v>975</v>
      </c>
      <c r="F301">
        <v>1641.8</v>
      </c>
      <c r="G301">
        <v>532.29999999999995</v>
      </c>
    </row>
    <row r="302" spans="1:7" x14ac:dyDescent="0.2">
      <c r="A302" t="s">
        <v>197</v>
      </c>
      <c r="B302">
        <v>0</v>
      </c>
      <c r="C302">
        <v>8.1</v>
      </c>
      <c r="D302" t="s">
        <v>807</v>
      </c>
      <c r="E302" t="s">
        <v>975</v>
      </c>
      <c r="F302">
        <v>1646.4</v>
      </c>
      <c r="G302">
        <v>527.70000000000005</v>
      </c>
    </row>
    <row r="303" spans="1:7" x14ac:dyDescent="0.2">
      <c r="A303" t="s">
        <v>1112</v>
      </c>
      <c r="B303">
        <v>3.5</v>
      </c>
      <c r="C303">
        <v>4.8</v>
      </c>
      <c r="D303" t="s">
        <v>807</v>
      </c>
      <c r="E303" t="s">
        <v>975</v>
      </c>
      <c r="F303">
        <v>1651.1</v>
      </c>
      <c r="G303">
        <v>520</v>
      </c>
    </row>
    <row r="304" spans="1:7" x14ac:dyDescent="0.2">
      <c r="A304" t="s">
        <v>198</v>
      </c>
      <c r="B304">
        <v>0</v>
      </c>
      <c r="C304">
        <v>4.7</v>
      </c>
      <c r="D304" t="s">
        <v>807</v>
      </c>
      <c r="E304" t="s">
        <v>975</v>
      </c>
      <c r="F304">
        <v>1651.1</v>
      </c>
      <c r="G304">
        <v>523</v>
      </c>
    </row>
    <row r="305" spans="1:7" x14ac:dyDescent="0.2">
      <c r="A305" t="s">
        <v>200</v>
      </c>
      <c r="B305">
        <v>0</v>
      </c>
      <c r="C305">
        <v>1.2</v>
      </c>
      <c r="D305" t="s">
        <v>807</v>
      </c>
      <c r="E305" t="s">
        <v>975</v>
      </c>
      <c r="F305">
        <v>1652.8</v>
      </c>
      <c r="G305">
        <v>521.29999999999995</v>
      </c>
    </row>
    <row r="306" spans="1:7" x14ac:dyDescent="0.2">
      <c r="A306" t="s">
        <v>199</v>
      </c>
      <c r="B306">
        <v>1</v>
      </c>
      <c r="C306">
        <v>2.5</v>
      </c>
      <c r="D306" t="s">
        <v>807</v>
      </c>
      <c r="E306" t="s">
        <v>975</v>
      </c>
      <c r="F306">
        <v>1653.6</v>
      </c>
      <c r="G306">
        <v>520.5</v>
      </c>
    </row>
    <row r="307" spans="1:7" x14ac:dyDescent="0.2">
      <c r="A307" t="s">
        <v>201</v>
      </c>
      <c r="B307">
        <v>0</v>
      </c>
      <c r="C307">
        <v>3</v>
      </c>
      <c r="D307" t="s">
        <v>807</v>
      </c>
      <c r="E307" t="s">
        <v>977</v>
      </c>
      <c r="F307">
        <v>1655.8</v>
      </c>
      <c r="G307">
        <v>518.29999999999995</v>
      </c>
    </row>
    <row r="308" spans="1:7" x14ac:dyDescent="0.2">
      <c r="A308" t="s">
        <v>1113</v>
      </c>
      <c r="B308">
        <v>0</v>
      </c>
      <c r="C308">
        <v>0.7</v>
      </c>
      <c r="D308" t="s">
        <v>807</v>
      </c>
      <c r="E308" t="s">
        <v>977</v>
      </c>
      <c r="F308">
        <v>1656.5</v>
      </c>
      <c r="G308">
        <v>517.6</v>
      </c>
    </row>
    <row r="309" spans="1:7" x14ac:dyDescent="0.2">
      <c r="A309" t="s">
        <v>202</v>
      </c>
      <c r="B309">
        <v>0.2</v>
      </c>
      <c r="C309">
        <v>4.5999999999999996</v>
      </c>
      <c r="D309" t="s">
        <v>807</v>
      </c>
      <c r="E309" t="s">
        <v>975</v>
      </c>
      <c r="F309">
        <v>1661.1</v>
      </c>
      <c r="G309">
        <v>513</v>
      </c>
    </row>
    <row r="310" spans="1:7" x14ac:dyDescent="0.2">
      <c r="A310" t="s">
        <v>1114</v>
      </c>
      <c r="B310">
        <v>2.8</v>
      </c>
      <c r="C310">
        <v>4.2</v>
      </c>
      <c r="D310" t="s">
        <v>807</v>
      </c>
      <c r="E310" t="s">
        <v>975</v>
      </c>
      <c r="F310">
        <v>1662.4</v>
      </c>
      <c r="G310">
        <v>511.7</v>
      </c>
    </row>
    <row r="311" spans="1:7" x14ac:dyDescent="0.2">
      <c r="A311" t="s">
        <v>203</v>
      </c>
      <c r="B311">
        <v>0</v>
      </c>
      <c r="C311">
        <v>5.3</v>
      </c>
      <c r="D311" t="s">
        <v>807</v>
      </c>
      <c r="E311" t="s">
        <v>975</v>
      </c>
      <c r="F311">
        <v>1666</v>
      </c>
      <c r="G311">
        <v>508.1</v>
      </c>
    </row>
    <row r="312" spans="1:7" x14ac:dyDescent="0.2">
      <c r="A312" t="s">
        <v>1115</v>
      </c>
      <c r="B312">
        <v>4.2</v>
      </c>
      <c r="C312">
        <v>6.9</v>
      </c>
      <c r="D312" t="s">
        <v>807</v>
      </c>
      <c r="E312" t="s">
        <v>975</v>
      </c>
      <c r="F312">
        <v>1668.7</v>
      </c>
      <c r="G312">
        <v>505.4</v>
      </c>
    </row>
    <row r="313" spans="1:7" x14ac:dyDescent="0.2">
      <c r="A313" t="s">
        <v>1116</v>
      </c>
      <c r="B313">
        <v>0.1</v>
      </c>
      <c r="C313">
        <v>3.8</v>
      </c>
      <c r="D313" t="s">
        <v>807</v>
      </c>
      <c r="E313" t="s">
        <v>975</v>
      </c>
      <c r="F313">
        <v>1669.8</v>
      </c>
      <c r="G313">
        <v>504.3</v>
      </c>
    </row>
    <row r="314" spans="1:7" x14ac:dyDescent="0.2">
      <c r="A314" t="s">
        <v>204</v>
      </c>
      <c r="B314">
        <v>0</v>
      </c>
      <c r="C314">
        <v>5.8</v>
      </c>
      <c r="D314" t="s">
        <v>807</v>
      </c>
      <c r="E314" t="s">
        <v>975</v>
      </c>
      <c r="F314">
        <v>1675.5</v>
      </c>
      <c r="G314">
        <v>498.6</v>
      </c>
    </row>
    <row r="315" spans="1:7" x14ac:dyDescent="0.2">
      <c r="A315" t="s">
        <v>205</v>
      </c>
      <c r="B315">
        <v>0</v>
      </c>
      <c r="C315">
        <v>4.3</v>
      </c>
      <c r="D315" t="s">
        <v>807</v>
      </c>
      <c r="E315" t="s">
        <v>975</v>
      </c>
      <c r="F315">
        <v>1679.8</v>
      </c>
      <c r="G315">
        <v>494.3</v>
      </c>
    </row>
    <row r="316" spans="1:7" x14ac:dyDescent="0.2">
      <c r="A316" t="s">
        <v>1117</v>
      </c>
      <c r="B316">
        <v>0.5</v>
      </c>
      <c r="C316">
        <v>3</v>
      </c>
      <c r="D316" t="s">
        <v>807</v>
      </c>
      <c r="E316" t="s">
        <v>975</v>
      </c>
      <c r="F316">
        <v>1682.8</v>
      </c>
      <c r="G316">
        <v>491.3</v>
      </c>
    </row>
    <row r="317" spans="1:7" x14ac:dyDescent="0.2">
      <c r="A317" t="s">
        <v>206</v>
      </c>
      <c r="B317">
        <v>0.1</v>
      </c>
      <c r="C317">
        <v>2</v>
      </c>
      <c r="D317" t="s">
        <v>807</v>
      </c>
      <c r="E317" t="s">
        <v>975</v>
      </c>
      <c r="F317">
        <v>1684.2</v>
      </c>
      <c r="G317">
        <v>489.9</v>
      </c>
    </row>
    <row r="318" spans="1:7" x14ac:dyDescent="0.2">
      <c r="A318" t="s">
        <v>1118</v>
      </c>
      <c r="B318">
        <v>1</v>
      </c>
      <c r="C318">
        <v>5.2</v>
      </c>
      <c r="D318" t="s">
        <v>807</v>
      </c>
      <c r="E318" t="s">
        <v>975</v>
      </c>
      <c r="F318">
        <v>1686.1</v>
      </c>
      <c r="G318">
        <v>488</v>
      </c>
    </row>
    <row r="319" spans="1:7" x14ac:dyDescent="0.2">
      <c r="A319" t="s">
        <v>1119</v>
      </c>
      <c r="B319">
        <v>0.4</v>
      </c>
      <c r="C319">
        <v>3.4</v>
      </c>
      <c r="D319" t="s">
        <v>807</v>
      </c>
      <c r="E319" t="s">
        <v>975</v>
      </c>
      <c r="F319">
        <v>1687.5</v>
      </c>
      <c r="G319">
        <v>486.6</v>
      </c>
    </row>
    <row r="320" spans="1:7" x14ac:dyDescent="0.2">
      <c r="A320" t="s">
        <v>207</v>
      </c>
      <c r="B320">
        <v>0</v>
      </c>
      <c r="C320">
        <v>2.8</v>
      </c>
      <c r="D320" t="s">
        <v>807</v>
      </c>
      <c r="E320" t="s">
        <v>975</v>
      </c>
      <c r="F320">
        <v>1689.4</v>
      </c>
      <c r="G320">
        <v>484.7</v>
      </c>
    </row>
    <row r="321" spans="1:7" x14ac:dyDescent="0.2">
      <c r="A321" t="s">
        <v>208</v>
      </c>
      <c r="B321">
        <v>0.1</v>
      </c>
      <c r="C321">
        <v>9.5</v>
      </c>
      <c r="D321" t="s">
        <v>807</v>
      </c>
      <c r="E321" t="s">
        <v>975</v>
      </c>
      <c r="F321">
        <v>1696.2</v>
      </c>
      <c r="G321">
        <v>477.9</v>
      </c>
    </row>
    <row r="322" spans="1:7" x14ac:dyDescent="0.2">
      <c r="A322" t="s">
        <v>209</v>
      </c>
      <c r="B322">
        <v>0.2</v>
      </c>
      <c r="C322">
        <v>10.199999999999999</v>
      </c>
      <c r="D322" t="s">
        <v>807</v>
      </c>
      <c r="E322" t="s">
        <v>975</v>
      </c>
      <c r="F322">
        <v>1706.2</v>
      </c>
      <c r="G322">
        <v>467.9</v>
      </c>
    </row>
    <row r="323" spans="1:7" x14ac:dyDescent="0.2">
      <c r="A323" t="s">
        <v>1120</v>
      </c>
      <c r="B323">
        <v>3.1</v>
      </c>
      <c r="C323">
        <v>8.5</v>
      </c>
      <c r="D323" t="s">
        <v>807</v>
      </c>
      <c r="E323" t="s">
        <v>975</v>
      </c>
      <c r="F323">
        <v>1709.8</v>
      </c>
      <c r="G323">
        <v>464.3</v>
      </c>
    </row>
    <row r="324" spans="1:7" x14ac:dyDescent="0.2">
      <c r="A324" t="s">
        <v>1121</v>
      </c>
      <c r="B324">
        <v>1</v>
      </c>
      <c r="C324">
        <v>6.6</v>
      </c>
      <c r="D324" t="s">
        <v>807</v>
      </c>
      <c r="E324" t="s">
        <v>975</v>
      </c>
      <c r="F324">
        <v>1711.3</v>
      </c>
      <c r="G324">
        <v>462.8</v>
      </c>
    </row>
    <row r="325" spans="1:7" x14ac:dyDescent="0.2">
      <c r="A325" t="s">
        <v>210</v>
      </c>
      <c r="B325">
        <v>0</v>
      </c>
      <c r="C325">
        <v>11.8</v>
      </c>
      <c r="D325" t="s">
        <v>807</v>
      </c>
      <c r="E325" t="s">
        <v>975</v>
      </c>
      <c r="F325">
        <v>1717.6</v>
      </c>
      <c r="G325">
        <v>456.5</v>
      </c>
    </row>
    <row r="326" spans="1:7" x14ac:dyDescent="0.2">
      <c r="A326" t="s">
        <v>1122</v>
      </c>
      <c r="B326">
        <v>0</v>
      </c>
      <c r="C326">
        <v>5</v>
      </c>
      <c r="D326" t="s">
        <v>807</v>
      </c>
      <c r="E326" t="s">
        <v>975</v>
      </c>
      <c r="F326">
        <v>1722.4</v>
      </c>
      <c r="G326">
        <v>451.7</v>
      </c>
    </row>
    <row r="327" spans="1:7" x14ac:dyDescent="0.2">
      <c r="A327" t="s">
        <v>211</v>
      </c>
      <c r="B327">
        <v>0</v>
      </c>
      <c r="C327">
        <v>8.8000000000000007</v>
      </c>
      <c r="D327" t="s">
        <v>807</v>
      </c>
      <c r="E327" t="s">
        <v>975</v>
      </c>
      <c r="F327">
        <v>1726.4</v>
      </c>
      <c r="G327">
        <v>447.7</v>
      </c>
    </row>
    <row r="328" spans="1:7" x14ac:dyDescent="0.2">
      <c r="A328" t="s">
        <v>1123</v>
      </c>
      <c r="B328">
        <v>0</v>
      </c>
      <c r="C328">
        <v>5.3</v>
      </c>
      <c r="D328" t="s">
        <v>807</v>
      </c>
      <c r="E328" t="s">
        <v>975</v>
      </c>
      <c r="F328">
        <v>1731.7</v>
      </c>
      <c r="G328">
        <v>442.4</v>
      </c>
    </row>
    <row r="329" spans="1:7" x14ac:dyDescent="0.2">
      <c r="A329" t="s">
        <v>452</v>
      </c>
      <c r="B329">
        <v>0</v>
      </c>
      <c r="C329">
        <v>1.9</v>
      </c>
      <c r="D329" t="s">
        <v>808</v>
      </c>
      <c r="E329" t="s">
        <v>975</v>
      </c>
      <c r="F329">
        <v>1732.2</v>
      </c>
      <c r="G329">
        <v>441.9</v>
      </c>
    </row>
    <row r="330" spans="1:7" x14ac:dyDescent="0.2">
      <c r="A330" t="s">
        <v>1124</v>
      </c>
      <c r="B330">
        <v>0</v>
      </c>
      <c r="C330">
        <v>4.8</v>
      </c>
      <c r="D330" t="s">
        <v>808</v>
      </c>
      <c r="E330" t="s">
        <v>975</v>
      </c>
      <c r="F330">
        <v>1732.2</v>
      </c>
      <c r="G330">
        <v>441.9</v>
      </c>
    </row>
    <row r="331" spans="1:7" x14ac:dyDescent="0.2">
      <c r="A331" t="s">
        <v>212</v>
      </c>
      <c r="B331">
        <v>0.2</v>
      </c>
      <c r="C331">
        <v>7.5</v>
      </c>
      <c r="D331" t="s">
        <v>808</v>
      </c>
      <c r="E331" t="s">
        <v>975</v>
      </c>
      <c r="F331">
        <v>1733.9</v>
      </c>
      <c r="G331">
        <v>440.2</v>
      </c>
    </row>
    <row r="332" spans="1:7" x14ac:dyDescent="0.2">
      <c r="A332" t="s">
        <v>1125</v>
      </c>
      <c r="B332">
        <v>1.2</v>
      </c>
      <c r="C332">
        <v>5.8</v>
      </c>
      <c r="D332" t="s">
        <v>808</v>
      </c>
      <c r="E332" t="s">
        <v>975</v>
      </c>
      <c r="F332">
        <v>1738.1</v>
      </c>
      <c r="G332">
        <v>436</v>
      </c>
    </row>
    <row r="333" spans="1:7" x14ac:dyDescent="0.2">
      <c r="A333" t="s">
        <v>213</v>
      </c>
      <c r="B333">
        <v>0</v>
      </c>
      <c r="C333">
        <v>9.6999999999999993</v>
      </c>
      <c r="D333" t="s">
        <v>808</v>
      </c>
      <c r="E333" t="s">
        <v>975</v>
      </c>
      <c r="F333">
        <v>1743.2</v>
      </c>
      <c r="G333">
        <v>430.9</v>
      </c>
    </row>
    <row r="334" spans="1:7" x14ac:dyDescent="0.2">
      <c r="A334" t="s">
        <v>214</v>
      </c>
      <c r="B334">
        <v>0.2</v>
      </c>
      <c r="C334">
        <v>6.6</v>
      </c>
      <c r="D334" t="s">
        <v>808</v>
      </c>
      <c r="E334" t="s">
        <v>975</v>
      </c>
      <c r="F334">
        <v>1749.1</v>
      </c>
      <c r="G334">
        <v>425</v>
      </c>
    </row>
    <row r="335" spans="1:7" x14ac:dyDescent="0.2">
      <c r="A335" t="s">
        <v>1126</v>
      </c>
      <c r="B335">
        <v>1.2</v>
      </c>
      <c r="C335">
        <v>2.2999999999999998</v>
      </c>
      <c r="D335" t="s">
        <v>808</v>
      </c>
      <c r="E335" t="s">
        <v>975</v>
      </c>
      <c r="F335">
        <v>1749.8</v>
      </c>
      <c r="G335">
        <v>424.3</v>
      </c>
    </row>
    <row r="336" spans="1:7" x14ac:dyDescent="0.2">
      <c r="A336" t="s">
        <v>1127</v>
      </c>
      <c r="B336">
        <v>0</v>
      </c>
      <c r="C336">
        <v>6.9</v>
      </c>
      <c r="D336" t="s">
        <v>808</v>
      </c>
      <c r="E336" t="s">
        <v>975</v>
      </c>
      <c r="F336">
        <v>1755.4</v>
      </c>
      <c r="G336">
        <v>418.7</v>
      </c>
    </row>
    <row r="337" spans="1:7" x14ac:dyDescent="0.2">
      <c r="A337" t="s">
        <v>1128</v>
      </c>
      <c r="B337">
        <v>0</v>
      </c>
      <c r="C337">
        <v>7</v>
      </c>
      <c r="D337" t="s">
        <v>808</v>
      </c>
      <c r="E337" t="s">
        <v>975</v>
      </c>
      <c r="F337">
        <v>1755.5</v>
      </c>
      <c r="G337">
        <v>418.6</v>
      </c>
    </row>
    <row r="338" spans="1:7" x14ac:dyDescent="0.2">
      <c r="A338" t="s">
        <v>215</v>
      </c>
      <c r="B338">
        <v>0.3</v>
      </c>
      <c r="C338">
        <v>5.6</v>
      </c>
      <c r="D338" t="s">
        <v>808</v>
      </c>
      <c r="E338" t="s">
        <v>975</v>
      </c>
      <c r="F338">
        <v>1761.2</v>
      </c>
      <c r="G338">
        <v>412.9</v>
      </c>
    </row>
    <row r="339" spans="1:7" x14ac:dyDescent="0.2">
      <c r="A339" t="s">
        <v>1129</v>
      </c>
      <c r="B339">
        <v>4.3</v>
      </c>
      <c r="C339">
        <v>11.9</v>
      </c>
      <c r="D339" t="s">
        <v>808</v>
      </c>
      <c r="E339" t="s">
        <v>975</v>
      </c>
      <c r="F339">
        <v>1765.8</v>
      </c>
      <c r="G339">
        <v>408.3</v>
      </c>
    </row>
    <row r="340" spans="1:7" x14ac:dyDescent="0.2">
      <c r="A340" t="s">
        <v>1130</v>
      </c>
      <c r="B340">
        <v>0</v>
      </c>
      <c r="C340">
        <v>7.6</v>
      </c>
      <c r="D340" t="s">
        <v>808</v>
      </c>
      <c r="E340" t="s">
        <v>975</v>
      </c>
      <c r="F340">
        <v>1768.2</v>
      </c>
      <c r="G340">
        <v>405.9</v>
      </c>
    </row>
    <row r="341" spans="1:7" x14ac:dyDescent="0.2">
      <c r="A341" t="s">
        <v>923</v>
      </c>
      <c r="B341">
        <v>4</v>
      </c>
      <c r="C341">
        <v>13</v>
      </c>
      <c r="D341" t="s">
        <v>808</v>
      </c>
      <c r="E341" t="s">
        <v>975</v>
      </c>
      <c r="F341">
        <v>1770.6</v>
      </c>
      <c r="G341">
        <v>403.5</v>
      </c>
    </row>
    <row r="342" spans="1:7" x14ac:dyDescent="0.2">
      <c r="A342" t="s">
        <v>1131</v>
      </c>
      <c r="B342">
        <v>0.5</v>
      </c>
      <c r="C342">
        <v>9</v>
      </c>
      <c r="D342" t="s">
        <v>808</v>
      </c>
      <c r="E342" t="s">
        <v>975</v>
      </c>
      <c r="F342">
        <v>1775.6</v>
      </c>
      <c r="G342">
        <v>398.5</v>
      </c>
    </row>
    <row r="343" spans="1:7" x14ac:dyDescent="0.2">
      <c r="A343" t="s">
        <v>216</v>
      </c>
      <c r="B343">
        <v>0</v>
      </c>
      <c r="C343">
        <v>8.5</v>
      </c>
      <c r="D343" t="s">
        <v>808</v>
      </c>
      <c r="E343" t="s">
        <v>975</v>
      </c>
      <c r="F343">
        <v>1776.7</v>
      </c>
      <c r="G343">
        <v>397.4</v>
      </c>
    </row>
    <row r="344" spans="1:7" x14ac:dyDescent="0.2">
      <c r="A344" t="s">
        <v>217</v>
      </c>
      <c r="B344">
        <v>0</v>
      </c>
      <c r="C344">
        <v>6.8</v>
      </c>
      <c r="D344" t="s">
        <v>808</v>
      </c>
      <c r="E344" t="s">
        <v>975</v>
      </c>
      <c r="F344">
        <v>1783.5</v>
      </c>
      <c r="G344">
        <v>390.6</v>
      </c>
    </row>
    <row r="345" spans="1:7" x14ac:dyDescent="0.2">
      <c r="A345" t="s">
        <v>1132</v>
      </c>
      <c r="B345">
        <v>0</v>
      </c>
      <c r="C345">
        <v>9.1</v>
      </c>
      <c r="D345" t="s">
        <v>808</v>
      </c>
      <c r="E345" t="s">
        <v>975</v>
      </c>
      <c r="F345">
        <v>1792.6</v>
      </c>
      <c r="G345">
        <v>381.5</v>
      </c>
    </row>
    <row r="346" spans="1:7" x14ac:dyDescent="0.2">
      <c r="A346" t="s">
        <v>1133</v>
      </c>
      <c r="B346">
        <v>0</v>
      </c>
      <c r="C346">
        <v>4</v>
      </c>
      <c r="D346" t="s">
        <v>808</v>
      </c>
      <c r="E346" t="s">
        <v>975</v>
      </c>
      <c r="F346">
        <v>1796.8</v>
      </c>
      <c r="G346">
        <v>377.3</v>
      </c>
    </row>
    <row r="347" spans="1:7" x14ac:dyDescent="0.2">
      <c r="A347" t="s">
        <v>218</v>
      </c>
      <c r="B347">
        <v>0</v>
      </c>
      <c r="C347">
        <v>2.9</v>
      </c>
      <c r="D347" t="s">
        <v>808</v>
      </c>
      <c r="E347" t="s">
        <v>975</v>
      </c>
      <c r="F347">
        <v>1798.5</v>
      </c>
      <c r="G347">
        <v>375.6</v>
      </c>
    </row>
    <row r="348" spans="1:7" x14ac:dyDescent="0.2">
      <c r="A348" t="s">
        <v>1134</v>
      </c>
      <c r="B348">
        <v>5.8</v>
      </c>
      <c r="C348">
        <v>8.4</v>
      </c>
      <c r="D348" t="s">
        <v>808</v>
      </c>
      <c r="E348" t="s">
        <v>975</v>
      </c>
      <c r="F348">
        <v>1801.4</v>
      </c>
      <c r="G348">
        <v>372.7</v>
      </c>
    </row>
    <row r="349" spans="1:7" x14ac:dyDescent="0.2">
      <c r="A349" t="s">
        <v>1135</v>
      </c>
      <c r="B349">
        <v>0</v>
      </c>
      <c r="C349">
        <v>15.1</v>
      </c>
      <c r="D349" t="s">
        <v>808</v>
      </c>
      <c r="E349" t="s">
        <v>975</v>
      </c>
      <c r="F349">
        <v>1811.7</v>
      </c>
      <c r="G349">
        <v>362.4</v>
      </c>
    </row>
    <row r="350" spans="1:7" x14ac:dyDescent="0.2">
      <c r="A350" t="s">
        <v>219</v>
      </c>
      <c r="B350">
        <v>0</v>
      </c>
      <c r="C350">
        <v>2.7</v>
      </c>
      <c r="D350" t="s">
        <v>808</v>
      </c>
      <c r="E350" t="s">
        <v>975</v>
      </c>
      <c r="F350">
        <v>1814.4</v>
      </c>
      <c r="G350">
        <v>359.7</v>
      </c>
    </row>
    <row r="351" spans="1:7" x14ac:dyDescent="0.2">
      <c r="A351" t="s">
        <v>1136</v>
      </c>
      <c r="B351">
        <v>0.7</v>
      </c>
      <c r="C351">
        <v>6.2</v>
      </c>
      <c r="D351" t="s">
        <v>808</v>
      </c>
      <c r="E351" t="s">
        <v>975</v>
      </c>
      <c r="F351">
        <v>1817.9</v>
      </c>
      <c r="G351">
        <v>356.2</v>
      </c>
    </row>
    <row r="352" spans="1:7" x14ac:dyDescent="0.2">
      <c r="A352" t="s">
        <v>220</v>
      </c>
      <c r="B352">
        <v>0</v>
      </c>
      <c r="C352">
        <v>4.9000000000000004</v>
      </c>
      <c r="D352" t="s">
        <v>808</v>
      </c>
      <c r="E352" t="s">
        <v>975</v>
      </c>
      <c r="F352">
        <v>1821.4</v>
      </c>
      <c r="G352">
        <v>352.7</v>
      </c>
    </row>
    <row r="353" spans="1:7" x14ac:dyDescent="0.2">
      <c r="A353" t="s">
        <v>1137</v>
      </c>
      <c r="B353">
        <v>0</v>
      </c>
      <c r="C353">
        <v>9.6999999999999993</v>
      </c>
      <c r="D353" t="s">
        <v>808</v>
      </c>
      <c r="E353" t="s">
        <v>975</v>
      </c>
      <c r="F353">
        <v>1826.2</v>
      </c>
      <c r="G353">
        <v>347.6</v>
      </c>
    </row>
    <row r="354" spans="1:7" x14ac:dyDescent="0.2">
      <c r="A354" t="s">
        <v>1138</v>
      </c>
      <c r="B354">
        <v>0</v>
      </c>
      <c r="C354">
        <v>9.3000000000000007</v>
      </c>
      <c r="D354" t="s">
        <v>808</v>
      </c>
      <c r="E354" t="s">
        <v>975</v>
      </c>
      <c r="F354">
        <v>1835.5</v>
      </c>
      <c r="G354">
        <v>338.6</v>
      </c>
    </row>
    <row r="355" spans="1:7" x14ac:dyDescent="0.2">
      <c r="A355" t="s">
        <v>1139</v>
      </c>
      <c r="B355">
        <v>0</v>
      </c>
      <c r="C355">
        <v>4.8</v>
      </c>
      <c r="D355" t="s">
        <v>808</v>
      </c>
      <c r="E355" t="s">
        <v>975</v>
      </c>
      <c r="F355">
        <v>1840.3</v>
      </c>
      <c r="G355">
        <v>333.8</v>
      </c>
    </row>
    <row r="356" spans="1:7" x14ac:dyDescent="0.2">
      <c r="A356" t="s">
        <v>1140</v>
      </c>
      <c r="B356">
        <v>0</v>
      </c>
      <c r="C356">
        <v>1.4</v>
      </c>
      <c r="D356" t="s">
        <v>808</v>
      </c>
      <c r="E356" t="s">
        <v>975</v>
      </c>
      <c r="F356">
        <v>1841.7</v>
      </c>
      <c r="G356">
        <v>332.4</v>
      </c>
    </row>
    <row r="357" spans="1:7" x14ac:dyDescent="0.2">
      <c r="A357" t="s">
        <v>1141</v>
      </c>
      <c r="B357">
        <v>1.1000000000000001</v>
      </c>
      <c r="C357">
        <v>1.7</v>
      </c>
      <c r="D357" t="s">
        <v>808</v>
      </c>
      <c r="E357" t="s">
        <v>975</v>
      </c>
      <c r="F357">
        <v>1846.4</v>
      </c>
      <c r="G357">
        <v>327.7</v>
      </c>
    </row>
    <row r="358" spans="1:7" x14ac:dyDescent="0.2">
      <c r="A358" t="s">
        <v>221</v>
      </c>
      <c r="B358">
        <v>0.9</v>
      </c>
      <c r="C358">
        <v>20.5</v>
      </c>
      <c r="D358" t="s">
        <v>808</v>
      </c>
      <c r="E358" t="s">
        <v>975</v>
      </c>
      <c r="F358">
        <v>1846.7</v>
      </c>
      <c r="G358">
        <v>327.39999999999998</v>
      </c>
    </row>
    <row r="359" spans="1:7" x14ac:dyDescent="0.2">
      <c r="A359" t="s">
        <v>809</v>
      </c>
      <c r="B359">
        <v>0</v>
      </c>
      <c r="C359">
        <v>2</v>
      </c>
      <c r="D359" t="s">
        <v>808</v>
      </c>
      <c r="E359" t="s">
        <v>975</v>
      </c>
      <c r="F359">
        <v>1847.3</v>
      </c>
      <c r="G359">
        <v>326.8</v>
      </c>
    </row>
    <row r="360" spans="1:7" x14ac:dyDescent="0.2">
      <c r="A360" t="s">
        <v>1142</v>
      </c>
      <c r="B360">
        <v>0</v>
      </c>
      <c r="C360">
        <v>23.3</v>
      </c>
      <c r="D360" t="s">
        <v>808</v>
      </c>
      <c r="E360" t="s">
        <v>975</v>
      </c>
      <c r="F360">
        <v>1868.2</v>
      </c>
      <c r="G360">
        <v>305.89999999999998</v>
      </c>
    </row>
    <row r="361" spans="1:7" x14ac:dyDescent="0.2">
      <c r="A361" t="s">
        <v>223</v>
      </c>
      <c r="B361">
        <v>0</v>
      </c>
      <c r="C361">
        <v>6.1</v>
      </c>
      <c r="D361" t="s">
        <v>808</v>
      </c>
      <c r="E361" t="s">
        <v>975</v>
      </c>
      <c r="F361">
        <v>1874.3</v>
      </c>
      <c r="G361">
        <v>299.8</v>
      </c>
    </row>
    <row r="362" spans="1:7" x14ac:dyDescent="0.2">
      <c r="A362" t="s">
        <v>321</v>
      </c>
      <c r="B362">
        <v>3.6</v>
      </c>
      <c r="C362">
        <v>5.5</v>
      </c>
      <c r="D362" t="s">
        <v>808</v>
      </c>
      <c r="E362" t="s">
        <v>975</v>
      </c>
      <c r="F362">
        <v>1876.2</v>
      </c>
      <c r="G362">
        <v>297.89999999999998</v>
      </c>
    </row>
    <row r="363" spans="1:7" x14ac:dyDescent="0.2">
      <c r="A363" t="s">
        <v>1143</v>
      </c>
      <c r="B363">
        <v>0</v>
      </c>
      <c r="C363">
        <v>13.7</v>
      </c>
      <c r="D363" t="s">
        <v>808</v>
      </c>
      <c r="E363" t="s">
        <v>975</v>
      </c>
      <c r="F363">
        <v>1888</v>
      </c>
      <c r="G363">
        <v>286.10000000000002</v>
      </c>
    </row>
    <row r="364" spans="1:7" x14ac:dyDescent="0.2">
      <c r="A364" t="s">
        <v>1144</v>
      </c>
      <c r="B364">
        <v>0</v>
      </c>
      <c r="C364">
        <v>4.7</v>
      </c>
      <c r="D364" t="s">
        <v>808</v>
      </c>
      <c r="E364" t="s">
        <v>975</v>
      </c>
      <c r="F364">
        <v>1892.7</v>
      </c>
      <c r="G364">
        <v>281.39999999999998</v>
      </c>
    </row>
    <row r="365" spans="1:7" x14ac:dyDescent="0.2">
      <c r="A365" t="s">
        <v>224</v>
      </c>
      <c r="B365">
        <v>0.3</v>
      </c>
      <c r="C365">
        <v>5.5</v>
      </c>
      <c r="D365" t="s">
        <v>810</v>
      </c>
      <c r="E365" t="s">
        <v>975</v>
      </c>
      <c r="F365">
        <v>1893.5</v>
      </c>
      <c r="G365">
        <v>280.60000000000002</v>
      </c>
    </row>
    <row r="366" spans="1:7" x14ac:dyDescent="0.2">
      <c r="A366" t="s">
        <v>1145</v>
      </c>
      <c r="B366">
        <v>0</v>
      </c>
      <c r="C366">
        <v>4.7</v>
      </c>
      <c r="D366" t="s">
        <v>810</v>
      </c>
      <c r="E366" t="s">
        <v>975</v>
      </c>
      <c r="F366">
        <v>1897.6</v>
      </c>
      <c r="G366">
        <v>276.5</v>
      </c>
    </row>
    <row r="367" spans="1:7" x14ac:dyDescent="0.2">
      <c r="A367" t="s">
        <v>1146</v>
      </c>
      <c r="B367">
        <v>0</v>
      </c>
      <c r="C367">
        <v>5.0999999999999996</v>
      </c>
      <c r="D367" t="s">
        <v>810</v>
      </c>
      <c r="E367" t="s">
        <v>975</v>
      </c>
      <c r="F367">
        <v>1902.7</v>
      </c>
      <c r="G367">
        <v>271.39999999999998</v>
      </c>
    </row>
    <row r="368" spans="1:7" x14ac:dyDescent="0.2">
      <c r="A368" t="s">
        <v>225</v>
      </c>
      <c r="B368">
        <v>0</v>
      </c>
      <c r="C368">
        <v>6.9</v>
      </c>
      <c r="D368" t="s">
        <v>810</v>
      </c>
      <c r="E368" t="s">
        <v>975</v>
      </c>
      <c r="F368">
        <v>1909.6</v>
      </c>
      <c r="G368">
        <v>264.5</v>
      </c>
    </row>
    <row r="369" spans="1:7" x14ac:dyDescent="0.2">
      <c r="A369" t="s">
        <v>226</v>
      </c>
      <c r="B369">
        <v>0</v>
      </c>
      <c r="C369">
        <v>3.5</v>
      </c>
      <c r="D369" t="s">
        <v>810</v>
      </c>
      <c r="E369" t="s">
        <v>975</v>
      </c>
      <c r="F369">
        <v>1913.1</v>
      </c>
      <c r="G369">
        <v>261</v>
      </c>
    </row>
    <row r="370" spans="1:7" x14ac:dyDescent="0.2">
      <c r="A370" t="s">
        <v>1147</v>
      </c>
      <c r="B370">
        <v>8</v>
      </c>
      <c r="C370">
        <v>12.5</v>
      </c>
      <c r="D370" t="s">
        <v>810</v>
      </c>
      <c r="E370" t="s">
        <v>975</v>
      </c>
      <c r="F370">
        <v>1917.6</v>
      </c>
      <c r="G370">
        <v>256.5</v>
      </c>
    </row>
    <row r="371" spans="1:7" x14ac:dyDescent="0.2">
      <c r="A371" t="s">
        <v>227</v>
      </c>
      <c r="B371">
        <v>0</v>
      </c>
      <c r="C371">
        <v>10.5</v>
      </c>
      <c r="D371" t="s">
        <v>810</v>
      </c>
      <c r="E371" t="s">
        <v>975</v>
      </c>
      <c r="F371">
        <v>1923.6</v>
      </c>
      <c r="G371">
        <v>250.5</v>
      </c>
    </row>
    <row r="372" spans="1:7" x14ac:dyDescent="0.2">
      <c r="A372" t="s">
        <v>228</v>
      </c>
      <c r="B372">
        <v>0</v>
      </c>
      <c r="C372">
        <v>12.8</v>
      </c>
      <c r="D372" t="s">
        <v>810</v>
      </c>
      <c r="E372" t="s">
        <v>975</v>
      </c>
      <c r="F372">
        <v>1936.4</v>
      </c>
      <c r="G372">
        <v>237.7</v>
      </c>
    </row>
    <row r="373" spans="1:7" x14ac:dyDescent="0.2">
      <c r="A373" t="s">
        <v>1148</v>
      </c>
      <c r="B373">
        <v>11</v>
      </c>
      <c r="C373">
        <v>15.6</v>
      </c>
      <c r="D373" t="s">
        <v>810</v>
      </c>
      <c r="E373" t="s">
        <v>975</v>
      </c>
      <c r="F373">
        <v>1941</v>
      </c>
      <c r="G373">
        <v>233.1</v>
      </c>
    </row>
    <row r="374" spans="1:7" x14ac:dyDescent="0.2">
      <c r="A374" t="s">
        <v>229</v>
      </c>
      <c r="B374">
        <v>0</v>
      </c>
      <c r="C374">
        <v>8.3000000000000007</v>
      </c>
      <c r="D374" t="s">
        <v>810</v>
      </c>
      <c r="E374" t="s">
        <v>975</v>
      </c>
      <c r="F374">
        <v>1944.7</v>
      </c>
      <c r="G374">
        <v>229.4</v>
      </c>
    </row>
    <row r="375" spans="1:7" x14ac:dyDescent="0.2">
      <c r="A375" t="s">
        <v>1149</v>
      </c>
      <c r="B375">
        <v>9</v>
      </c>
      <c r="C375">
        <v>18.399999999999999</v>
      </c>
      <c r="D375" t="s">
        <v>810</v>
      </c>
      <c r="E375" t="s">
        <v>975</v>
      </c>
      <c r="F375">
        <v>1954.1</v>
      </c>
      <c r="G375">
        <v>220</v>
      </c>
    </row>
    <row r="376" spans="1:7" x14ac:dyDescent="0.2">
      <c r="A376" t="s">
        <v>230</v>
      </c>
      <c r="B376">
        <v>0</v>
      </c>
      <c r="C376">
        <v>11.2</v>
      </c>
      <c r="D376" t="s">
        <v>810</v>
      </c>
      <c r="E376" t="s">
        <v>975</v>
      </c>
      <c r="F376">
        <v>1955.9</v>
      </c>
      <c r="G376">
        <v>218.2</v>
      </c>
    </row>
    <row r="377" spans="1:7" x14ac:dyDescent="0.2">
      <c r="A377" t="s">
        <v>811</v>
      </c>
      <c r="B377">
        <v>0</v>
      </c>
      <c r="C377">
        <v>8.9</v>
      </c>
      <c r="D377" t="s">
        <v>810</v>
      </c>
      <c r="E377" t="s">
        <v>975</v>
      </c>
      <c r="F377">
        <v>1964.8</v>
      </c>
      <c r="G377">
        <v>209.3</v>
      </c>
    </row>
    <row r="378" spans="1:7" x14ac:dyDescent="0.2">
      <c r="A378" t="s">
        <v>231</v>
      </c>
      <c r="B378">
        <v>0</v>
      </c>
      <c r="C378">
        <v>8</v>
      </c>
      <c r="D378" t="s">
        <v>810</v>
      </c>
      <c r="E378" t="s">
        <v>975</v>
      </c>
      <c r="F378">
        <v>1972.8</v>
      </c>
      <c r="G378">
        <v>201.3</v>
      </c>
    </row>
    <row r="379" spans="1:7" x14ac:dyDescent="0.2">
      <c r="A379" t="s">
        <v>1150</v>
      </c>
      <c r="B379">
        <v>5</v>
      </c>
      <c r="C379">
        <v>18.5</v>
      </c>
      <c r="D379" t="s">
        <v>810</v>
      </c>
      <c r="E379" t="s">
        <v>975</v>
      </c>
      <c r="F379">
        <v>1986.3</v>
      </c>
      <c r="G379">
        <v>187.8</v>
      </c>
    </row>
    <row r="380" spans="1:7" x14ac:dyDescent="0.2">
      <c r="A380" t="s">
        <v>232</v>
      </c>
      <c r="B380">
        <v>0</v>
      </c>
      <c r="C380">
        <v>18.600000000000001</v>
      </c>
      <c r="D380" t="s">
        <v>810</v>
      </c>
      <c r="E380" t="s">
        <v>975</v>
      </c>
      <c r="F380">
        <v>1991.4</v>
      </c>
      <c r="G380">
        <v>182.7</v>
      </c>
    </row>
    <row r="381" spans="1:7" x14ac:dyDescent="0.2">
      <c r="A381" t="s">
        <v>233</v>
      </c>
      <c r="B381">
        <v>0</v>
      </c>
      <c r="C381">
        <v>10.199999999999999</v>
      </c>
      <c r="D381" t="s">
        <v>810</v>
      </c>
      <c r="E381" t="s">
        <v>975</v>
      </c>
      <c r="F381">
        <v>2001.6</v>
      </c>
      <c r="G381">
        <v>172.5</v>
      </c>
    </row>
    <row r="382" spans="1:7" x14ac:dyDescent="0.2">
      <c r="A382" t="s">
        <v>234</v>
      </c>
      <c r="B382">
        <v>0</v>
      </c>
      <c r="C382">
        <v>7.3</v>
      </c>
      <c r="D382" t="s">
        <v>810</v>
      </c>
      <c r="E382" t="s">
        <v>975</v>
      </c>
      <c r="F382">
        <v>2008.9</v>
      </c>
      <c r="G382">
        <v>165.2</v>
      </c>
    </row>
    <row r="383" spans="1:7" x14ac:dyDescent="0.2">
      <c r="A383" t="s">
        <v>222</v>
      </c>
      <c r="B383">
        <v>0.1</v>
      </c>
      <c r="C383">
        <v>6</v>
      </c>
      <c r="D383" t="s">
        <v>808</v>
      </c>
      <c r="E383" t="s">
        <v>975</v>
      </c>
      <c r="F383">
        <v>2010.8</v>
      </c>
      <c r="G383">
        <v>316.3</v>
      </c>
    </row>
    <row r="384" spans="1:7" x14ac:dyDescent="0.2">
      <c r="A384" t="s">
        <v>235</v>
      </c>
      <c r="B384">
        <v>0</v>
      </c>
      <c r="C384">
        <v>10</v>
      </c>
      <c r="D384" t="s">
        <v>810</v>
      </c>
      <c r="E384" t="s">
        <v>975</v>
      </c>
      <c r="F384">
        <v>2018.9</v>
      </c>
      <c r="G384">
        <v>155.19999999999999</v>
      </c>
    </row>
    <row r="385" spans="1:7" x14ac:dyDescent="0.2">
      <c r="A385" t="s">
        <v>1151</v>
      </c>
      <c r="B385">
        <v>0.3</v>
      </c>
      <c r="C385">
        <v>4.3</v>
      </c>
      <c r="D385" t="s">
        <v>810</v>
      </c>
      <c r="E385" t="s">
        <v>975</v>
      </c>
      <c r="F385">
        <v>2022.9</v>
      </c>
      <c r="G385">
        <v>151.19999999999999</v>
      </c>
    </row>
    <row r="386" spans="1:7" x14ac:dyDescent="0.2">
      <c r="A386" t="s">
        <v>236</v>
      </c>
      <c r="B386">
        <v>0</v>
      </c>
      <c r="C386">
        <v>9.6999999999999993</v>
      </c>
      <c r="D386" t="s">
        <v>810</v>
      </c>
      <c r="E386" t="s">
        <v>975</v>
      </c>
      <c r="F386">
        <v>2028.6</v>
      </c>
      <c r="G386">
        <v>145.5</v>
      </c>
    </row>
    <row r="387" spans="1:7" x14ac:dyDescent="0.2">
      <c r="A387" t="s">
        <v>237</v>
      </c>
      <c r="B387">
        <v>0</v>
      </c>
      <c r="C387">
        <v>9</v>
      </c>
      <c r="D387" t="s">
        <v>810</v>
      </c>
      <c r="E387" t="s">
        <v>975</v>
      </c>
      <c r="F387">
        <v>2037.6</v>
      </c>
      <c r="G387">
        <v>136.5</v>
      </c>
    </row>
    <row r="388" spans="1:7" x14ac:dyDescent="0.2">
      <c r="A388" t="s">
        <v>1152</v>
      </c>
      <c r="B388">
        <v>0</v>
      </c>
      <c r="C388">
        <v>4.0999999999999996</v>
      </c>
      <c r="D388" t="s">
        <v>810</v>
      </c>
      <c r="E388" t="s">
        <v>975</v>
      </c>
      <c r="F388">
        <v>2041.7</v>
      </c>
      <c r="G388">
        <v>132.4</v>
      </c>
    </row>
    <row r="389" spans="1:7" x14ac:dyDescent="0.2">
      <c r="A389" t="s">
        <v>238</v>
      </c>
      <c r="B389">
        <v>0</v>
      </c>
      <c r="C389">
        <v>8.9</v>
      </c>
      <c r="D389" t="s">
        <v>810</v>
      </c>
      <c r="E389" t="s">
        <v>975</v>
      </c>
      <c r="F389">
        <v>2050.6</v>
      </c>
      <c r="G389">
        <v>123.5</v>
      </c>
    </row>
    <row r="390" spans="1:7" x14ac:dyDescent="0.2">
      <c r="A390" t="s">
        <v>1153</v>
      </c>
      <c r="B390">
        <v>2</v>
      </c>
      <c r="C390">
        <v>7.7</v>
      </c>
      <c r="D390" t="s">
        <v>810</v>
      </c>
      <c r="E390" t="s">
        <v>975</v>
      </c>
      <c r="F390">
        <v>2056.3000000000002</v>
      </c>
      <c r="G390">
        <v>117.8</v>
      </c>
    </row>
    <row r="391" spans="1:7" x14ac:dyDescent="0.2">
      <c r="A391" t="s">
        <v>239</v>
      </c>
      <c r="B391">
        <v>0</v>
      </c>
      <c r="C391">
        <v>12</v>
      </c>
      <c r="D391" t="s">
        <v>810</v>
      </c>
      <c r="E391" t="s">
        <v>975</v>
      </c>
      <c r="F391">
        <v>2062.6</v>
      </c>
      <c r="G391">
        <v>111.5</v>
      </c>
    </row>
    <row r="392" spans="1:7" x14ac:dyDescent="0.2">
      <c r="A392" t="s">
        <v>240</v>
      </c>
      <c r="B392">
        <v>0</v>
      </c>
      <c r="C392">
        <v>7.4</v>
      </c>
      <c r="D392" t="s">
        <v>810</v>
      </c>
      <c r="E392" t="s">
        <v>975</v>
      </c>
      <c r="F392">
        <v>2070</v>
      </c>
      <c r="G392">
        <v>104.1</v>
      </c>
    </row>
    <row r="393" spans="1:7" x14ac:dyDescent="0.2">
      <c r="A393" t="s">
        <v>241</v>
      </c>
      <c r="B393">
        <v>0</v>
      </c>
      <c r="C393">
        <v>4.7</v>
      </c>
      <c r="D393" t="s">
        <v>810</v>
      </c>
      <c r="E393" t="s">
        <v>975</v>
      </c>
      <c r="F393">
        <v>2074.6999999999998</v>
      </c>
      <c r="G393">
        <v>99.4</v>
      </c>
    </row>
    <row r="394" spans="1:7" x14ac:dyDescent="0.2">
      <c r="A394" t="s">
        <v>242</v>
      </c>
      <c r="B394">
        <v>0.3</v>
      </c>
      <c r="C394">
        <v>4.3</v>
      </c>
      <c r="D394" t="s">
        <v>810</v>
      </c>
      <c r="E394" t="s">
        <v>975</v>
      </c>
      <c r="F394">
        <v>2079</v>
      </c>
      <c r="G394">
        <v>95.1</v>
      </c>
    </row>
    <row r="395" spans="1:7" x14ac:dyDescent="0.2">
      <c r="A395" t="s">
        <v>243</v>
      </c>
      <c r="B395">
        <v>0</v>
      </c>
      <c r="C395">
        <v>7.2</v>
      </c>
      <c r="D395" t="s">
        <v>810</v>
      </c>
      <c r="E395" t="s">
        <v>975</v>
      </c>
      <c r="F395">
        <v>2085.6</v>
      </c>
      <c r="G395">
        <v>88.5</v>
      </c>
    </row>
    <row r="396" spans="1:7" x14ac:dyDescent="0.2">
      <c r="A396" t="s">
        <v>244</v>
      </c>
      <c r="B396">
        <v>0</v>
      </c>
      <c r="C396">
        <v>9.9</v>
      </c>
      <c r="D396" t="s">
        <v>810</v>
      </c>
      <c r="E396" t="s">
        <v>975</v>
      </c>
      <c r="F396">
        <v>2095.5</v>
      </c>
      <c r="G396">
        <v>78.680000000000007</v>
      </c>
    </row>
    <row r="397" spans="1:7" x14ac:dyDescent="0.2">
      <c r="A397" t="s">
        <v>1154</v>
      </c>
      <c r="B397">
        <v>0</v>
      </c>
      <c r="C397">
        <v>1.8</v>
      </c>
      <c r="D397" t="s">
        <v>810</v>
      </c>
      <c r="E397" t="s">
        <v>975</v>
      </c>
      <c r="F397">
        <v>2095.6999999999998</v>
      </c>
      <c r="G397">
        <v>78.400000000000006</v>
      </c>
    </row>
    <row r="398" spans="1:7" x14ac:dyDescent="0.2">
      <c r="A398" t="s">
        <v>245</v>
      </c>
      <c r="B398">
        <v>0</v>
      </c>
      <c r="C398">
        <v>7.2</v>
      </c>
      <c r="D398" t="s">
        <v>810</v>
      </c>
      <c r="E398" t="s">
        <v>975</v>
      </c>
      <c r="F398">
        <v>2102.6999999999998</v>
      </c>
      <c r="G398">
        <v>71.400000000000006</v>
      </c>
    </row>
    <row r="399" spans="1:7" x14ac:dyDescent="0.2">
      <c r="A399" t="s">
        <v>1155</v>
      </c>
      <c r="B399">
        <v>0</v>
      </c>
      <c r="C399">
        <v>3.6</v>
      </c>
      <c r="D399" t="s">
        <v>810</v>
      </c>
      <c r="E399" t="s">
        <v>975</v>
      </c>
      <c r="F399">
        <v>2106.3000000000002</v>
      </c>
      <c r="G399">
        <v>67.8</v>
      </c>
    </row>
    <row r="400" spans="1:7" x14ac:dyDescent="0.2">
      <c r="A400" t="s">
        <v>246</v>
      </c>
      <c r="B400">
        <v>0</v>
      </c>
      <c r="C400">
        <v>8.1</v>
      </c>
      <c r="D400" t="s">
        <v>810</v>
      </c>
      <c r="E400" t="s">
        <v>975</v>
      </c>
      <c r="F400">
        <v>2114.4</v>
      </c>
      <c r="G400">
        <v>59.7</v>
      </c>
    </row>
    <row r="401" spans="1:7" x14ac:dyDescent="0.2">
      <c r="A401" t="s">
        <v>247</v>
      </c>
      <c r="B401">
        <v>0</v>
      </c>
      <c r="C401">
        <v>11.4</v>
      </c>
      <c r="D401" t="s">
        <v>810</v>
      </c>
      <c r="E401" t="s">
        <v>975</v>
      </c>
      <c r="F401">
        <v>2125.8000000000002</v>
      </c>
      <c r="G401">
        <v>48.3</v>
      </c>
    </row>
    <row r="402" spans="1:7" x14ac:dyDescent="0.2">
      <c r="A402" t="s">
        <v>248</v>
      </c>
      <c r="B402">
        <v>0</v>
      </c>
      <c r="C402">
        <v>10.1</v>
      </c>
      <c r="D402" t="s">
        <v>810</v>
      </c>
      <c r="E402" t="s">
        <v>975</v>
      </c>
      <c r="F402">
        <v>2135.9</v>
      </c>
      <c r="G402">
        <v>38.200000000000003</v>
      </c>
    </row>
    <row r="403" spans="1:7" x14ac:dyDescent="0.2">
      <c r="A403" t="s">
        <v>249</v>
      </c>
      <c r="B403">
        <v>0</v>
      </c>
      <c r="C403">
        <v>8.1</v>
      </c>
      <c r="D403" t="s">
        <v>810</v>
      </c>
      <c r="E403" t="s">
        <v>975</v>
      </c>
      <c r="F403">
        <v>2144</v>
      </c>
      <c r="G403">
        <v>30.1</v>
      </c>
    </row>
    <row r="404" spans="1:7" x14ac:dyDescent="0.2">
      <c r="A404" t="s">
        <v>250</v>
      </c>
      <c r="B404">
        <v>0</v>
      </c>
      <c r="C404">
        <v>11.5</v>
      </c>
      <c r="D404" t="s">
        <v>810</v>
      </c>
      <c r="E404" t="s">
        <v>975</v>
      </c>
      <c r="F404">
        <v>2155.5</v>
      </c>
      <c r="G404">
        <v>18.600000000000001</v>
      </c>
    </row>
    <row r="405" spans="1:7" x14ac:dyDescent="0.2">
      <c r="A405" t="s">
        <v>1156</v>
      </c>
      <c r="B405">
        <v>0</v>
      </c>
      <c r="C405">
        <v>11</v>
      </c>
      <c r="D405" t="s">
        <v>810</v>
      </c>
      <c r="E405" t="s">
        <v>975</v>
      </c>
      <c r="F405">
        <v>2166.5</v>
      </c>
      <c r="G405">
        <v>7.6</v>
      </c>
    </row>
    <row r="406" spans="1:7" x14ac:dyDescent="0.2">
      <c r="A406" t="s">
        <v>1157</v>
      </c>
      <c r="B406">
        <v>0</v>
      </c>
      <c r="C406">
        <v>2.4</v>
      </c>
      <c r="D406" t="s">
        <v>810</v>
      </c>
      <c r="E406" t="s">
        <v>975</v>
      </c>
      <c r="F406">
        <v>2168.9</v>
      </c>
      <c r="G406">
        <v>5.2</v>
      </c>
    </row>
    <row r="407" spans="1:7" x14ac:dyDescent="0.2">
      <c r="A407" t="s">
        <v>1158</v>
      </c>
      <c r="B407">
        <v>0</v>
      </c>
      <c r="C407">
        <v>2.4</v>
      </c>
      <c r="D407" t="s">
        <v>810</v>
      </c>
      <c r="E407" t="s">
        <v>977</v>
      </c>
      <c r="F407">
        <v>2168.9</v>
      </c>
      <c r="G407">
        <v>5.2</v>
      </c>
    </row>
    <row r="408" spans="1:7" x14ac:dyDescent="0.2">
      <c r="A408" t="s">
        <v>1159</v>
      </c>
      <c r="B408">
        <v>0</v>
      </c>
      <c r="C408">
        <v>5.2</v>
      </c>
      <c r="D408" t="s">
        <v>810</v>
      </c>
      <c r="E408" t="s">
        <v>977</v>
      </c>
      <c r="F408">
        <v>2174.1</v>
      </c>
      <c r="G408">
        <v>0</v>
      </c>
    </row>
  </sheetData>
  <pageMargins left="0.45" right="0.45" top="0.5" bottom="0.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8"/>
  <sheetViews>
    <sheetView workbookViewId="0">
      <pane ySplit="1" topLeftCell="A2" activePane="bottomLeft" state="frozen"/>
      <selection pane="bottomLeft" activeCell="B14" sqref="B14:B15"/>
    </sheetView>
  </sheetViews>
  <sheetFormatPr defaultRowHeight="12.75" x14ac:dyDescent="0.2"/>
  <cols>
    <col min="1" max="1" width="9.42578125" style="278" customWidth="1"/>
    <col min="2" max="2" width="8.85546875" style="265" customWidth="1"/>
    <col min="3" max="3" width="8.85546875" style="24" customWidth="1"/>
    <col min="4" max="4" width="19.7109375" style="24" customWidth="1"/>
    <col min="5" max="5" width="31.140625" style="24" customWidth="1"/>
    <col min="6" max="6" width="7.42578125" style="24" customWidth="1"/>
    <col min="7" max="7" width="21.28515625" customWidth="1"/>
    <col min="8" max="8" width="54.28515625" customWidth="1"/>
  </cols>
  <sheetData>
    <row r="1" spans="1:7" ht="61.5" customHeight="1" thickBot="1" x14ac:dyDescent="0.3">
      <c r="A1" s="268" t="s">
        <v>861</v>
      </c>
      <c r="B1" s="264" t="s">
        <v>862</v>
      </c>
      <c r="C1" s="245"/>
      <c r="D1" s="245" t="s">
        <v>863</v>
      </c>
      <c r="E1" s="245" t="s">
        <v>864</v>
      </c>
      <c r="F1" s="245" t="s">
        <v>865</v>
      </c>
      <c r="G1" s="144" t="s">
        <v>866</v>
      </c>
    </row>
    <row r="2" spans="1:7" ht="26.25" thickBot="1" x14ac:dyDescent="0.25">
      <c r="A2" s="269">
        <v>0</v>
      </c>
      <c r="B2" s="239"/>
      <c r="C2" s="246"/>
      <c r="D2" s="280" t="s">
        <v>812</v>
      </c>
      <c r="E2" s="280" t="s">
        <v>813</v>
      </c>
      <c r="F2" s="288">
        <v>2</v>
      </c>
      <c r="G2" s="139"/>
    </row>
    <row r="3" spans="1:7" ht="15.75" thickBot="1" x14ac:dyDescent="0.25">
      <c r="A3" s="270">
        <v>31.3</v>
      </c>
      <c r="B3" s="240">
        <v>0</v>
      </c>
      <c r="C3" s="247"/>
      <c r="D3" s="281" t="s">
        <v>814</v>
      </c>
      <c r="E3" s="281" t="s">
        <v>815</v>
      </c>
      <c r="F3" s="289">
        <v>7</v>
      </c>
      <c r="G3" s="140"/>
    </row>
    <row r="4" spans="1:7" ht="51.75" thickBot="1" x14ac:dyDescent="0.25">
      <c r="A4" s="270">
        <v>52.5</v>
      </c>
      <c r="B4" s="241">
        <v>9</v>
      </c>
      <c r="C4" s="248" t="s">
        <v>2098</v>
      </c>
      <c r="D4" s="281" t="s">
        <v>491</v>
      </c>
      <c r="E4" s="281" t="s">
        <v>816</v>
      </c>
      <c r="F4" s="290"/>
      <c r="G4" s="140"/>
    </row>
    <row r="5" spans="1:7" ht="26.25" thickBot="1" x14ac:dyDescent="0.25">
      <c r="A5" s="270">
        <v>52.5</v>
      </c>
      <c r="B5" s="241">
        <v>12</v>
      </c>
      <c r="C5" s="257" t="s">
        <v>2098</v>
      </c>
      <c r="D5" s="281" t="s">
        <v>304</v>
      </c>
      <c r="E5" s="281" t="s">
        <v>817</v>
      </c>
      <c r="F5" s="290"/>
      <c r="G5" s="140"/>
    </row>
    <row r="6" spans="1:7" ht="15.75" thickBot="1" x14ac:dyDescent="0.25">
      <c r="A6" s="270">
        <v>69.2</v>
      </c>
      <c r="B6" s="241">
        <v>11</v>
      </c>
      <c r="C6" s="257" t="s">
        <v>2099</v>
      </c>
      <c r="D6" s="281" t="s">
        <v>818</v>
      </c>
      <c r="E6" s="281" t="s">
        <v>819</v>
      </c>
      <c r="F6" s="290"/>
      <c r="G6" s="141" t="s">
        <v>820</v>
      </c>
    </row>
    <row r="7" spans="1:7" ht="39" thickBot="1" x14ac:dyDescent="0.25">
      <c r="A7" s="270">
        <v>109.4</v>
      </c>
      <c r="B7" s="241">
        <v>10</v>
      </c>
      <c r="C7" s="257" t="s">
        <v>2098</v>
      </c>
      <c r="D7" s="281" t="s">
        <v>821</v>
      </c>
      <c r="E7" s="281" t="s">
        <v>822</v>
      </c>
      <c r="F7" s="290"/>
      <c r="G7" s="141" t="s">
        <v>820</v>
      </c>
    </row>
    <row r="8" spans="1:7" ht="25.5" x14ac:dyDescent="0.2">
      <c r="A8" s="271">
        <v>136.69999999999999</v>
      </c>
      <c r="B8" s="208">
        <v>0</v>
      </c>
      <c r="C8" s="258"/>
      <c r="D8" s="282" t="s">
        <v>823</v>
      </c>
      <c r="E8" s="283" t="s">
        <v>824</v>
      </c>
      <c r="F8" s="291">
        <v>5</v>
      </c>
      <c r="G8" s="206" t="s">
        <v>825</v>
      </c>
    </row>
    <row r="9" spans="1:7" ht="13.5" thickBot="1" x14ac:dyDescent="0.25">
      <c r="A9" s="272"/>
      <c r="B9" s="210"/>
      <c r="C9" s="257"/>
      <c r="D9" s="281" t="s">
        <v>794</v>
      </c>
      <c r="E9" s="284"/>
      <c r="F9" s="292"/>
      <c r="G9" s="207"/>
    </row>
    <row r="10" spans="1:7" ht="39" thickBot="1" x14ac:dyDescent="0.25">
      <c r="A10" s="270">
        <v>164.7</v>
      </c>
      <c r="B10" s="241">
        <v>2</v>
      </c>
      <c r="C10" s="257" t="s">
        <v>2099</v>
      </c>
      <c r="D10" s="281" t="s">
        <v>498</v>
      </c>
      <c r="E10" s="281" t="s">
        <v>826</v>
      </c>
      <c r="F10" s="289" t="s">
        <v>820</v>
      </c>
      <c r="G10" s="143" t="s">
        <v>827</v>
      </c>
    </row>
    <row r="11" spans="1:7" ht="39" thickBot="1" x14ac:dyDescent="0.25">
      <c r="A11" s="270">
        <v>207.8</v>
      </c>
      <c r="B11" s="241">
        <v>15</v>
      </c>
      <c r="C11" s="257" t="s">
        <v>2099</v>
      </c>
      <c r="D11" s="281" t="s">
        <v>828</v>
      </c>
      <c r="E11" s="281" t="s">
        <v>829</v>
      </c>
      <c r="F11" s="290"/>
      <c r="G11" s="143" t="s">
        <v>830</v>
      </c>
    </row>
    <row r="12" spans="1:7" ht="26.25" thickBot="1" x14ac:dyDescent="0.25">
      <c r="A12" s="270">
        <v>241.6</v>
      </c>
      <c r="B12" s="240">
        <v>0.1</v>
      </c>
      <c r="C12" s="257" t="s">
        <v>2099</v>
      </c>
      <c r="D12" s="281" t="s">
        <v>831</v>
      </c>
      <c r="E12" s="281" t="s">
        <v>832</v>
      </c>
      <c r="F12" s="293" t="s">
        <v>951</v>
      </c>
      <c r="G12" s="141" t="s">
        <v>820</v>
      </c>
    </row>
    <row r="13" spans="1:7" ht="51.75" thickBot="1" x14ac:dyDescent="0.25">
      <c r="A13" s="270">
        <v>275</v>
      </c>
      <c r="B13" s="240">
        <v>0</v>
      </c>
      <c r="C13" s="247"/>
      <c r="D13" s="281" t="s">
        <v>308</v>
      </c>
      <c r="E13" s="281" t="s">
        <v>833</v>
      </c>
      <c r="F13" s="289">
        <v>2</v>
      </c>
      <c r="G13" s="141" t="s">
        <v>820</v>
      </c>
    </row>
    <row r="14" spans="1:7" ht="25.5" x14ac:dyDescent="0.2">
      <c r="A14" s="271">
        <v>291.3</v>
      </c>
      <c r="B14" s="208">
        <v>0.7</v>
      </c>
      <c r="C14" s="261" t="s">
        <v>2099</v>
      </c>
      <c r="D14" s="283" t="s">
        <v>834</v>
      </c>
      <c r="E14" s="287" t="s">
        <v>835</v>
      </c>
      <c r="F14" s="294" t="s">
        <v>952</v>
      </c>
      <c r="G14" s="204" t="s">
        <v>820</v>
      </c>
    </row>
    <row r="15" spans="1:7" ht="26.25" thickBot="1" x14ac:dyDescent="0.25">
      <c r="A15" s="272"/>
      <c r="B15" s="210"/>
      <c r="C15" s="263"/>
      <c r="D15" s="284"/>
      <c r="E15" s="281" t="s">
        <v>836</v>
      </c>
      <c r="F15" s="295"/>
      <c r="G15" s="205"/>
    </row>
    <row r="16" spans="1:7" ht="26.25" thickBot="1" x14ac:dyDescent="0.25">
      <c r="A16" s="270">
        <v>344.4</v>
      </c>
      <c r="B16" s="240">
        <v>0</v>
      </c>
      <c r="C16" s="247"/>
      <c r="D16" s="281" t="s">
        <v>309</v>
      </c>
      <c r="E16" s="281" t="s">
        <v>837</v>
      </c>
      <c r="F16" s="289">
        <v>5</v>
      </c>
      <c r="G16" s="141" t="s">
        <v>820</v>
      </c>
    </row>
    <row r="17" spans="1:7" ht="88.5" customHeight="1" x14ac:dyDescent="0.2">
      <c r="A17" s="271">
        <v>420</v>
      </c>
      <c r="B17" s="242">
        <v>0.3</v>
      </c>
      <c r="C17" s="250" t="s">
        <v>2099</v>
      </c>
      <c r="D17" s="283" t="s">
        <v>838</v>
      </c>
      <c r="E17" s="283" t="s">
        <v>839</v>
      </c>
      <c r="F17" s="291">
        <v>1</v>
      </c>
      <c r="G17" s="204" t="s">
        <v>820</v>
      </c>
    </row>
    <row r="18" spans="1:7" ht="13.5" thickBot="1" x14ac:dyDescent="0.25">
      <c r="A18" s="272"/>
      <c r="B18" s="240">
        <v>0.4</v>
      </c>
      <c r="C18" s="248" t="s">
        <v>2098</v>
      </c>
      <c r="D18" s="284"/>
      <c r="E18" s="284"/>
      <c r="F18" s="292"/>
      <c r="G18" s="205"/>
    </row>
    <row r="19" spans="1:7" ht="26.25" thickBot="1" x14ac:dyDescent="0.25">
      <c r="A19" s="270">
        <v>428.6</v>
      </c>
      <c r="B19" s="240">
        <v>0.1</v>
      </c>
      <c r="C19" s="248" t="s">
        <v>2099</v>
      </c>
      <c r="D19" s="281" t="s">
        <v>840</v>
      </c>
      <c r="E19" s="281" t="s">
        <v>841</v>
      </c>
      <c r="F19" s="289">
        <v>3</v>
      </c>
      <c r="G19" s="141" t="s">
        <v>820</v>
      </c>
    </row>
    <row r="20" spans="1:7" ht="39" thickBot="1" x14ac:dyDescent="0.25">
      <c r="A20" s="270">
        <v>470.7</v>
      </c>
      <c r="B20" s="240">
        <v>0</v>
      </c>
      <c r="C20" s="247"/>
      <c r="D20" s="281" t="s">
        <v>310</v>
      </c>
      <c r="E20" s="281" t="s">
        <v>842</v>
      </c>
      <c r="F20" s="289">
        <v>5</v>
      </c>
      <c r="G20" s="141" t="s">
        <v>820</v>
      </c>
    </row>
    <row r="21" spans="1:7" ht="26.25" thickBot="1" x14ac:dyDescent="0.25">
      <c r="A21" s="270">
        <v>545.70000000000005</v>
      </c>
      <c r="B21" s="240">
        <v>0</v>
      </c>
      <c r="C21" s="247"/>
      <c r="D21" s="281" t="s">
        <v>513</v>
      </c>
      <c r="E21" s="281" t="s">
        <v>843</v>
      </c>
      <c r="F21" s="293" t="s">
        <v>953</v>
      </c>
      <c r="G21" s="141" t="s">
        <v>820</v>
      </c>
    </row>
    <row r="22" spans="1:7" ht="51.75" thickBot="1" x14ac:dyDescent="0.25">
      <c r="A22" s="270">
        <v>591.79999999999995</v>
      </c>
      <c r="B22" s="241">
        <v>4</v>
      </c>
      <c r="C22" s="257" t="s">
        <v>2098</v>
      </c>
      <c r="D22" s="281" t="s">
        <v>515</v>
      </c>
      <c r="E22" s="281" t="s">
        <v>844</v>
      </c>
      <c r="F22" s="290"/>
      <c r="G22" s="140"/>
    </row>
    <row r="23" spans="1:7" ht="15.75" thickBot="1" x14ac:dyDescent="0.25">
      <c r="A23" s="270">
        <v>610.20000000000005</v>
      </c>
      <c r="B23" s="240">
        <v>0.5</v>
      </c>
      <c r="C23" s="248" t="s">
        <v>2099</v>
      </c>
      <c r="D23" s="281" t="s">
        <v>845</v>
      </c>
      <c r="E23" s="281" t="s">
        <v>846</v>
      </c>
      <c r="F23" s="289">
        <v>1</v>
      </c>
      <c r="G23" s="140"/>
    </row>
    <row r="24" spans="1:7" x14ac:dyDescent="0.2">
      <c r="A24" s="271">
        <v>625.4</v>
      </c>
      <c r="B24" s="208">
        <v>0.5</v>
      </c>
      <c r="C24" s="261" t="s">
        <v>2098</v>
      </c>
      <c r="D24" s="283" t="s">
        <v>847</v>
      </c>
      <c r="E24" s="287" t="s">
        <v>848</v>
      </c>
      <c r="F24" s="296" t="s">
        <v>954</v>
      </c>
      <c r="G24" s="204" t="s">
        <v>820</v>
      </c>
    </row>
    <row r="25" spans="1:7" ht="26.25" thickBot="1" x14ac:dyDescent="0.25">
      <c r="A25" s="272"/>
      <c r="B25" s="210"/>
      <c r="C25" s="263"/>
      <c r="D25" s="284"/>
      <c r="E25" s="281" t="s">
        <v>836</v>
      </c>
      <c r="F25" s="297"/>
      <c r="G25" s="205"/>
    </row>
    <row r="26" spans="1:7" ht="39" thickBot="1" x14ac:dyDescent="0.25">
      <c r="A26" s="270">
        <v>637.1</v>
      </c>
      <c r="B26" s="241">
        <v>1.3</v>
      </c>
      <c r="C26" s="257" t="s">
        <v>2098</v>
      </c>
      <c r="D26" s="281" t="s">
        <v>311</v>
      </c>
      <c r="E26" s="281" t="s">
        <v>849</v>
      </c>
      <c r="F26" s="290"/>
      <c r="G26" s="141" t="s">
        <v>820</v>
      </c>
    </row>
    <row r="27" spans="1:7" ht="15.75" thickBot="1" x14ac:dyDescent="0.25">
      <c r="A27" s="270">
        <v>704.6</v>
      </c>
      <c r="B27" s="240">
        <v>1</v>
      </c>
      <c r="C27" s="257" t="s">
        <v>2099</v>
      </c>
      <c r="D27" s="281" t="s">
        <v>518</v>
      </c>
      <c r="E27" s="281" t="s">
        <v>850</v>
      </c>
      <c r="F27" s="298" t="s">
        <v>952</v>
      </c>
      <c r="G27" s="140"/>
    </row>
    <row r="28" spans="1:7" ht="13.5" thickBot="1" x14ac:dyDescent="0.25">
      <c r="A28" s="270">
        <v>730.3</v>
      </c>
      <c r="B28" s="240">
        <v>0</v>
      </c>
      <c r="C28" s="247"/>
      <c r="D28" s="281" t="s">
        <v>520</v>
      </c>
      <c r="E28" s="281" t="s">
        <v>851</v>
      </c>
      <c r="F28" s="298" t="s">
        <v>955</v>
      </c>
      <c r="G28" s="143" t="s">
        <v>852</v>
      </c>
    </row>
    <row r="29" spans="1:7" ht="26.25" thickBot="1" x14ac:dyDescent="0.25">
      <c r="A29" s="270">
        <v>787.3</v>
      </c>
      <c r="B29" s="241">
        <v>5.9</v>
      </c>
      <c r="C29" s="248" t="s">
        <v>2099</v>
      </c>
      <c r="D29" s="281" t="s">
        <v>526</v>
      </c>
      <c r="E29" s="281" t="s">
        <v>853</v>
      </c>
      <c r="F29" s="289" t="s">
        <v>820</v>
      </c>
      <c r="G29" s="143" t="s">
        <v>854</v>
      </c>
    </row>
    <row r="30" spans="1:7" ht="15.75" thickBot="1" x14ac:dyDescent="0.25">
      <c r="A30" s="270">
        <v>864.3</v>
      </c>
      <c r="B30" s="241">
        <v>3.7</v>
      </c>
      <c r="C30" s="248" t="s">
        <v>2099</v>
      </c>
      <c r="D30" s="281" t="s">
        <v>357</v>
      </c>
      <c r="E30" s="281" t="s">
        <v>855</v>
      </c>
      <c r="F30" s="290"/>
      <c r="G30" s="143" t="s">
        <v>856</v>
      </c>
    </row>
    <row r="31" spans="1:7" ht="26.25" thickBot="1" x14ac:dyDescent="0.25">
      <c r="A31" s="270">
        <v>892.1</v>
      </c>
      <c r="B31" s="240">
        <v>0</v>
      </c>
      <c r="C31" s="247"/>
      <c r="D31" s="281" t="s">
        <v>857</v>
      </c>
      <c r="E31" s="281" t="s">
        <v>858</v>
      </c>
      <c r="F31" s="298" t="s">
        <v>951</v>
      </c>
      <c r="G31" s="140"/>
    </row>
    <row r="32" spans="1:7" ht="39" thickBot="1" x14ac:dyDescent="0.25">
      <c r="A32" s="270">
        <v>925.9</v>
      </c>
      <c r="B32" s="240">
        <v>0</v>
      </c>
      <c r="C32" s="247"/>
      <c r="D32" s="281" t="s">
        <v>859</v>
      </c>
      <c r="E32" s="281" t="s">
        <v>860</v>
      </c>
      <c r="F32" s="289">
        <v>3</v>
      </c>
      <c r="G32" s="141" t="s">
        <v>820</v>
      </c>
    </row>
    <row r="33" spans="1:7" ht="39" thickBot="1" x14ac:dyDescent="0.25">
      <c r="A33" s="273">
        <v>972.1</v>
      </c>
      <c r="B33" s="267">
        <v>0.3</v>
      </c>
      <c r="C33" s="251" t="s">
        <v>2098</v>
      </c>
      <c r="D33" s="280" t="s">
        <v>867</v>
      </c>
      <c r="E33" s="280" t="s">
        <v>868</v>
      </c>
      <c r="F33" s="288">
        <v>2</v>
      </c>
      <c r="G33" s="145" t="s">
        <v>820</v>
      </c>
    </row>
    <row r="34" spans="1:7" x14ac:dyDescent="0.2">
      <c r="A34" s="259">
        <v>1005.6</v>
      </c>
      <c r="B34" s="208">
        <v>0.2</v>
      </c>
      <c r="C34" s="261" t="s">
        <v>2098</v>
      </c>
      <c r="D34" s="283" t="s">
        <v>869</v>
      </c>
      <c r="E34" s="287" t="s">
        <v>870</v>
      </c>
      <c r="F34" s="291">
        <v>1</v>
      </c>
      <c r="G34" s="212" t="s">
        <v>820</v>
      </c>
    </row>
    <row r="35" spans="1:7" ht="89.25" x14ac:dyDescent="0.2">
      <c r="A35" s="274"/>
      <c r="B35" s="209"/>
      <c r="C35" s="262"/>
      <c r="D35" s="285"/>
      <c r="E35" s="287" t="s">
        <v>871</v>
      </c>
      <c r="F35" s="299"/>
      <c r="G35" s="213"/>
    </row>
    <row r="36" spans="1:7" ht="39" thickBot="1" x14ac:dyDescent="0.25">
      <c r="A36" s="275"/>
      <c r="B36" s="210"/>
      <c r="C36" s="263"/>
      <c r="D36" s="284"/>
      <c r="E36" s="281" t="s">
        <v>872</v>
      </c>
      <c r="F36" s="292"/>
      <c r="G36" s="214"/>
    </row>
    <row r="37" spans="1:7" ht="39" thickBot="1" x14ac:dyDescent="0.25">
      <c r="A37" s="276">
        <v>1019.8</v>
      </c>
      <c r="B37" s="240">
        <v>0.3</v>
      </c>
      <c r="C37" s="248" t="s">
        <v>2098</v>
      </c>
      <c r="D37" s="281" t="s">
        <v>873</v>
      </c>
      <c r="E37" s="281" t="s">
        <v>874</v>
      </c>
      <c r="F37" s="281" t="s">
        <v>875</v>
      </c>
      <c r="G37" s="141" t="s">
        <v>820</v>
      </c>
    </row>
    <row r="38" spans="1:7" ht="26.25" thickBot="1" x14ac:dyDescent="0.25">
      <c r="A38" s="276">
        <v>1026.4000000000001</v>
      </c>
      <c r="B38" s="240">
        <v>0</v>
      </c>
      <c r="C38" s="247"/>
      <c r="D38" s="281" t="s">
        <v>312</v>
      </c>
      <c r="E38" s="281" t="s">
        <v>876</v>
      </c>
      <c r="F38" s="289">
        <v>6</v>
      </c>
      <c r="G38" s="141" t="s">
        <v>820</v>
      </c>
    </row>
    <row r="39" spans="1:7" ht="15.75" thickBot="1" x14ac:dyDescent="0.25">
      <c r="A39" s="276">
        <v>1057</v>
      </c>
      <c r="B39" s="243">
        <v>1.5</v>
      </c>
      <c r="C39" s="248" t="s">
        <v>2099</v>
      </c>
      <c r="D39" s="281" t="s">
        <v>538</v>
      </c>
      <c r="E39" s="281" t="s">
        <v>877</v>
      </c>
      <c r="F39" s="289" t="s">
        <v>820</v>
      </c>
      <c r="G39" s="146"/>
    </row>
    <row r="40" spans="1:7" ht="15.75" thickBot="1" x14ac:dyDescent="0.25">
      <c r="A40" s="276">
        <v>1067.0999999999999</v>
      </c>
      <c r="B40" s="243">
        <v>1.2</v>
      </c>
      <c r="C40" s="257" t="s">
        <v>2098</v>
      </c>
      <c r="D40" s="281" t="s">
        <v>878</v>
      </c>
      <c r="E40" s="281" t="s">
        <v>879</v>
      </c>
      <c r="F40" s="290"/>
      <c r="G40" s="146"/>
    </row>
    <row r="41" spans="1:7" ht="26.25" thickBot="1" x14ac:dyDescent="0.25">
      <c r="A41" s="276">
        <v>1124</v>
      </c>
      <c r="B41" s="240">
        <v>0</v>
      </c>
      <c r="C41" s="247"/>
      <c r="D41" s="281" t="s">
        <v>544</v>
      </c>
      <c r="E41" s="281" t="s">
        <v>880</v>
      </c>
      <c r="F41" s="298" t="s">
        <v>952</v>
      </c>
      <c r="G41" s="141" t="s">
        <v>820</v>
      </c>
    </row>
    <row r="42" spans="1:7" ht="26.25" thickBot="1" x14ac:dyDescent="0.25">
      <c r="A42" s="276">
        <v>1132</v>
      </c>
      <c r="B42" s="243">
        <v>5</v>
      </c>
      <c r="C42" s="248" t="s">
        <v>2098</v>
      </c>
      <c r="D42" s="281" t="s">
        <v>881</v>
      </c>
      <c r="E42" s="281" t="s">
        <v>882</v>
      </c>
      <c r="F42" s="290"/>
      <c r="G42" s="146"/>
    </row>
    <row r="43" spans="1:7" ht="26.25" thickBot="1" x14ac:dyDescent="0.25">
      <c r="A43" s="276">
        <v>1149.7</v>
      </c>
      <c r="B43" s="240">
        <v>0</v>
      </c>
      <c r="C43" s="247"/>
      <c r="D43" s="281" t="s">
        <v>313</v>
      </c>
      <c r="E43" s="281" t="s">
        <v>883</v>
      </c>
      <c r="F43" s="289">
        <v>4.5</v>
      </c>
      <c r="G43" s="141" t="s">
        <v>820</v>
      </c>
    </row>
    <row r="44" spans="1:7" ht="26.25" thickBot="1" x14ac:dyDescent="0.25">
      <c r="A44" s="276">
        <v>1219.8</v>
      </c>
      <c r="B44" s="240">
        <v>0</v>
      </c>
      <c r="C44" s="247"/>
      <c r="D44" s="281" t="s">
        <v>314</v>
      </c>
      <c r="E44" s="281" t="s">
        <v>884</v>
      </c>
      <c r="F44" s="289">
        <v>4</v>
      </c>
      <c r="G44" s="141" t="s">
        <v>820</v>
      </c>
    </row>
    <row r="45" spans="1:7" ht="15.75" thickBot="1" x14ac:dyDescent="0.25">
      <c r="A45" s="276">
        <v>1220.5</v>
      </c>
      <c r="B45" s="241">
        <v>1.6</v>
      </c>
      <c r="C45" s="257" t="s">
        <v>2098</v>
      </c>
      <c r="D45" s="281" t="s">
        <v>885</v>
      </c>
      <c r="E45" s="281" t="s">
        <v>886</v>
      </c>
      <c r="F45" s="290"/>
      <c r="G45" s="140"/>
    </row>
    <row r="46" spans="1:7" ht="26.25" thickBot="1" x14ac:dyDescent="0.25">
      <c r="A46" s="276">
        <v>1259.9000000000001</v>
      </c>
      <c r="B46" s="241">
        <v>1.5</v>
      </c>
      <c r="C46" s="248" t="s">
        <v>2099</v>
      </c>
      <c r="D46" s="281" t="s">
        <v>315</v>
      </c>
      <c r="E46" s="281" t="s">
        <v>887</v>
      </c>
      <c r="F46" s="290"/>
      <c r="G46" s="140"/>
    </row>
    <row r="47" spans="1:7" ht="26.25" thickBot="1" x14ac:dyDescent="0.25">
      <c r="A47" s="276">
        <v>1280.5</v>
      </c>
      <c r="B47" s="240">
        <v>1</v>
      </c>
      <c r="C47" s="248" t="s">
        <v>2098</v>
      </c>
      <c r="D47" s="281" t="s">
        <v>888</v>
      </c>
      <c r="E47" s="281" t="s">
        <v>889</v>
      </c>
      <c r="F47" s="289">
        <v>1</v>
      </c>
      <c r="G47" s="140"/>
    </row>
    <row r="48" spans="1:7" ht="39" thickBot="1" x14ac:dyDescent="0.25">
      <c r="A48" s="276">
        <v>1296</v>
      </c>
      <c r="B48" s="240">
        <v>0</v>
      </c>
      <c r="C48" s="247"/>
      <c r="D48" s="281" t="s">
        <v>316</v>
      </c>
      <c r="E48" s="281" t="s">
        <v>890</v>
      </c>
      <c r="F48" s="298" t="s">
        <v>951</v>
      </c>
      <c r="G48" s="141" t="s">
        <v>820</v>
      </c>
    </row>
    <row r="49" spans="1:7" ht="26.25" thickBot="1" x14ac:dyDescent="0.25">
      <c r="A49" s="276">
        <v>1338.9</v>
      </c>
      <c r="B49" s="240">
        <v>0</v>
      </c>
      <c r="C49" s="247"/>
      <c r="D49" s="281" t="s">
        <v>891</v>
      </c>
      <c r="E49" s="281" t="s">
        <v>892</v>
      </c>
      <c r="F49" s="289">
        <v>1</v>
      </c>
      <c r="G49" s="141" t="s">
        <v>820</v>
      </c>
    </row>
    <row r="50" spans="1:7" ht="26.25" thickBot="1" x14ac:dyDescent="0.25">
      <c r="A50" s="276">
        <v>1347.7</v>
      </c>
      <c r="B50" s="240">
        <v>0.7</v>
      </c>
      <c r="C50" s="248" t="s">
        <v>2099</v>
      </c>
      <c r="D50" s="281" t="s">
        <v>317</v>
      </c>
      <c r="E50" s="281" t="s">
        <v>893</v>
      </c>
      <c r="F50" s="298" t="s">
        <v>956</v>
      </c>
      <c r="G50" s="143" t="s">
        <v>894</v>
      </c>
    </row>
    <row r="51" spans="1:7" ht="26.25" thickBot="1" x14ac:dyDescent="0.25">
      <c r="A51" s="276">
        <v>1406.4</v>
      </c>
      <c r="B51" s="243">
        <v>1.8</v>
      </c>
      <c r="C51" s="248" t="s">
        <v>2099</v>
      </c>
      <c r="D51" s="281" t="s">
        <v>895</v>
      </c>
      <c r="E51" s="281" t="s">
        <v>896</v>
      </c>
      <c r="F51" s="289" t="s">
        <v>820</v>
      </c>
      <c r="G51" s="143" t="s">
        <v>897</v>
      </c>
    </row>
    <row r="52" spans="1:7" ht="26.25" thickBot="1" x14ac:dyDescent="0.25">
      <c r="A52" s="276">
        <v>1451.7</v>
      </c>
      <c r="B52" s="240">
        <v>0</v>
      </c>
      <c r="C52" s="247"/>
      <c r="D52" s="281" t="s">
        <v>898</v>
      </c>
      <c r="E52" s="281" t="s">
        <v>899</v>
      </c>
      <c r="F52" s="298" t="s">
        <v>951</v>
      </c>
      <c r="G52" s="141" t="s">
        <v>820</v>
      </c>
    </row>
    <row r="53" spans="1:7" ht="26.25" thickBot="1" x14ac:dyDescent="0.25">
      <c r="A53" s="276">
        <v>1470.1</v>
      </c>
      <c r="B53" s="240">
        <v>0.8</v>
      </c>
      <c r="C53" s="248" t="s">
        <v>2098</v>
      </c>
      <c r="D53" s="281" t="s">
        <v>900</v>
      </c>
      <c r="E53" s="281" t="s">
        <v>901</v>
      </c>
      <c r="F53" s="289">
        <v>1</v>
      </c>
      <c r="G53" s="141" t="s">
        <v>820</v>
      </c>
    </row>
    <row r="54" spans="1:7" ht="26.25" thickBot="1" x14ac:dyDescent="0.25">
      <c r="A54" s="276">
        <v>1481.2</v>
      </c>
      <c r="B54" s="240">
        <v>0.9</v>
      </c>
      <c r="C54" s="249" t="s">
        <v>2098</v>
      </c>
      <c r="D54" s="281" t="s">
        <v>902</v>
      </c>
      <c r="E54" s="281" t="s">
        <v>903</v>
      </c>
      <c r="F54" s="289">
        <v>1</v>
      </c>
      <c r="G54" s="140"/>
    </row>
    <row r="55" spans="1:7" ht="39" thickBot="1" x14ac:dyDescent="0.25">
      <c r="A55" s="276">
        <v>1495.1</v>
      </c>
      <c r="B55" s="240">
        <v>0</v>
      </c>
      <c r="C55" s="247"/>
      <c r="D55" s="281" t="s">
        <v>904</v>
      </c>
      <c r="E55" s="281" t="s">
        <v>905</v>
      </c>
      <c r="F55" s="289">
        <v>1</v>
      </c>
      <c r="G55" s="140"/>
    </row>
    <row r="56" spans="1:7" ht="26.25" thickBot="1" x14ac:dyDescent="0.25">
      <c r="A56" s="276">
        <v>1502.8</v>
      </c>
      <c r="B56" s="240">
        <v>0.8</v>
      </c>
      <c r="C56" s="248" t="s">
        <v>2099</v>
      </c>
      <c r="D56" s="281" t="s">
        <v>558</v>
      </c>
      <c r="E56" s="281" t="s">
        <v>906</v>
      </c>
      <c r="F56" s="298" t="s">
        <v>954</v>
      </c>
      <c r="G56" s="141" t="s">
        <v>820</v>
      </c>
    </row>
    <row r="57" spans="1:7" ht="26.25" thickBot="1" x14ac:dyDescent="0.25">
      <c r="A57" s="276">
        <v>1543.4</v>
      </c>
      <c r="B57" s="243">
        <v>5</v>
      </c>
      <c r="C57" s="257" t="s">
        <v>2099</v>
      </c>
      <c r="D57" s="281" t="s">
        <v>907</v>
      </c>
      <c r="E57" s="281" t="s">
        <v>908</v>
      </c>
      <c r="F57" s="290"/>
      <c r="G57" s="146"/>
    </row>
    <row r="58" spans="1:7" x14ac:dyDescent="0.2">
      <c r="A58" s="259">
        <v>1580.9</v>
      </c>
      <c r="B58" s="208">
        <v>0</v>
      </c>
      <c r="C58" s="252"/>
      <c r="D58" s="283" t="s">
        <v>564</v>
      </c>
      <c r="E58" s="287" t="s">
        <v>909</v>
      </c>
      <c r="F58" s="291">
        <v>1</v>
      </c>
      <c r="G58" s="204" t="s">
        <v>820</v>
      </c>
    </row>
    <row r="59" spans="1:7" x14ac:dyDescent="0.2">
      <c r="A59" s="274"/>
      <c r="B59" s="209"/>
      <c r="C59" s="253"/>
      <c r="D59" s="285"/>
      <c r="E59" s="287" t="s">
        <v>910</v>
      </c>
      <c r="F59" s="299"/>
      <c r="G59" s="211"/>
    </row>
    <row r="60" spans="1:7" ht="13.5" thickBot="1" x14ac:dyDescent="0.25">
      <c r="A60" s="275"/>
      <c r="B60" s="210"/>
      <c r="C60" s="254"/>
      <c r="D60" s="284"/>
      <c r="E60" s="281" t="s">
        <v>911</v>
      </c>
      <c r="F60" s="292"/>
      <c r="G60" s="205"/>
    </row>
    <row r="61" spans="1:7" ht="13.5" thickBot="1" x14ac:dyDescent="0.25">
      <c r="A61" s="276">
        <v>1595.4</v>
      </c>
      <c r="B61" s="240">
        <v>0.5</v>
      </c>
      <c r="C61" s="248" t="s">
        <v>2099</v>
      </c>
      <c r="D61" s="281" t="s">
        <v>566</v>
      </c>
      <c r="E61" s="281" t="s">
        <v>912</v>
      </c>
      <c r="F61" s="298" t="s">
        <v>957</v>
      </c>
      <c r="G61" s="143" t="s">
        <v>913</v>
      </c>
    </row>
    <row r="62" spans="1:7" ht="26.25" thickBot="1" x14ac:dyDescent="0.25">
      <c r="A62" s="276">
        <v>1613.8</v>
      </c>
      <c r="B62" s="243">
        <v>5.0999999999999996</v>
      </c>
      <c r="C62" s="248" t="s">
        <v>2099</v>
      </c>
      <c r="D62" s="281" t="s">
        <v>567</v>
      </c>
      <c r="E62" s="281" t="s">
        <v>914</v>
      </c>
      <c r="F62" s="290"/>
      <c r="G62" s="143" t="s">
        <v>915</v>
      </c>
    </row>
    <row r="63" spans="1:7" ht="26.25" thickBot="1" x14ac:dyDescent="0.25">
      <c r="A63" s="276">
        <v>1653.9</v>
      </c>
      <c r="B63" s="243">
        <v>5.4</v>
      </c>
      <c r="C63" s="248" t="s">
        <v>2099</v>
      </c>
      <c r="D63" s="281" t="s">
        <v>916</v>
      </c>
      <c r="E63" s="281" t="s">
        <v>908</v>
      </c>
      <c r="F63" s="290"/>
      <c r="G63" s="143" t="s">
        <v>917</v>
      </c>
    </row>
    <row r="64" spans="1:7" ht="26.25" thickBot="1" x14ac:dyDescent="0.25">
      <c r="A64" s="276">
        <v>1707.3</v>
      </c>
      <c r="B64" s="240">
        <v>0</v>
      </c>
      <c r="C64" s="247"/>
      <c r="D64" s="281" t="s">
        <v>918</v>
      </c>
      <c r="E64" s="281" t="s">
        <v>919</v>
      </c>
      <c r="F64" s="289">
        <v>1</v>
      </c>
      <c r="G64" s="141" t="s">
        <v>820</v>
      </c>
    </row>
    <row r="65" spans="1:7" ht="26.25" thickBot="1" x14ac:dyDescent="0.25">
      <c r="A65" s="276">
        <v>1729.9</v>
      </c>
      <c r="B65" s="240">
        <v>1</v>
      </c>
      <c r="C65" s="248" t="s">
        <v>2098</v>
      </c>
      <c r="D65" s="281" t="s">
        <v>920</v>
      </c>
      <c r="E65" s="281" t="s">
        <v>921</v>
      </c>
      <c r="F65" s="298" t="s">
        <v>952</v>
      </c>
      <c r="G65" s="140"/>
    </row>
    <row r="66" spans="1:7" ht="26.25" thickBot="1" x14ac:dyDescent="0.25">
      <c r="A66" s="276">
        <v>1750.8</v>
      </c>
      <c r="B66" s="240">
        <v>0</v>
      </c>
      <c r="C66" s="247"/>
      <c r="D66" s="281" t="s">
        <v>452</v>
      </c>
      <c r="E66" s="281" t="s">
        <v>922</v>
      </c>
      <c r="F66" s="298" t="s">
        <v>951</v>
      </c>
      <c r="G66" s="141" t="s">
        <v>820</v>
      </c>
    </row>
    <row r="67" spans="1:7" ht="51.75" thickBot="1" x14ac:dyDescent="0.25">
      <c r="A67" s="276">
        <v>1789.2</v>
      </c>
      <c r="B67" s="243">
        <v>4</v>
      </c>
      <c r="C67" s="257" t="s">
        <v>2098</v>
      </c>
      <c r="D67" s="281" t="s">
        <v>923</v>
      </c>
      <c r="E67" s="281" t="s">
        <v>924</v>
      </c>
      <c r="F67" s="290"/>
      <c r="G67" s="146"/>
    </row>
    <row r="68" spans="1:7" ht="26.25" thickBot="1" x14ac:dyDescent="0.25">
      <c r="A68" s="276">
        <v>1794.1</v>
      </c>
      <c r="B68" s="240">
        <v>0</v>
      </c>
      <c r="C68" s="247"/>
      <c r="D68" s="281" t="s">
        <v>319</v>
      </c>
      <c r="E68" s="281" t="s">
        <v>925</v>
      </c>
      <c r="F68" s="298" t="s">
        <v>952</v>
      </c>
      <c r="G68" s="141" t="s">
        <v>820</v>
      </c>
    </row>
    <row r="69" spans="1:7" ht="26.25" thickBot="1" x14ac:dyDescent="0.25">
      <c r="A69" s="276">
        <v>1819.9</v>
      </c>
      <c r="B69" s="240">
        <v>0.7</v>
      </c>
      <c r="C69" s="248" t="s">
        <v>2098</v>
      </c>
      <c r="D69" s="281" t="s">
        <v>926</v>
      </c>
      <c r="E69" s="281" t="s">
        <v>927</v>
      </c>
      <c r="F69" s="298" t="s">
        <v>953</v>
      </c>
      <c r="G69" s="140"/>
    </row>
    <row r="70" spans="1:7" ht="26.25" thickBot="1" x14ac:dyDescent="0.25">
      <c r="A70" s="276">
        <v>1819.9</v>
      </c>
      <c r="B70" s="241">
        <v>4.8</v>
      </c>
      <c r="C70" s="248" t="s">
        <v>2100</v>
      </c>
      <c r="D70" s="281" t="s">
        <v>320</v>
      </c>
      <c r="E70" s="281" t="s">
        <v>928</v>
      </c>
      <c r="F70" s="290"/>
      <c r="G70" s="141" t="s">
        <v>820</v>
      </c>
    </row>
    <row r="71" spans="1:7" ht="38.25" x14ac:dyDescent="0.2">
      <c r="A71" s="259">
        <v>1894.5</v>
      </c>
      <c r="B71" s="208">
        <v>0</v>
      </c>
      <c r="C71" s="255"/>
      <c r="D71" s="286" t="s">
        <v>929</v>
      </c>
      <c r="E71" s="286" t="s">
        <v>931</v>
      </c>
      <c r="F71" s="291">
        <v>7.5</v>
      </c>
      <c r="G71" s="147" t="s">
        <v>933</v>
      </c>
    </row>
    <row r="72" spans="1:7" ht="39" thickBot="1" x14ac:dyDescent="0.25">
      <c r="A72" s="275"/>
      <c r="B72" s="210"/>
      <c r="C72" s="247"/>
      <c r="D72" s="281" t="s">
        <v>930</v>
      </c>
      <c r="E72" s="281" t="s">
        <v>932</v>
      </c>
      <c r="F72" s="292"/>
      <c r="G72" s="143" t="s">
        <v>934</v>
      </c>
    </row>
    <row r="73" spans="1:7" ht="37.5" customHeight="1" x14ac:dyDescent="0.2">
      <c r="A73" s="259">
        <v>1936.1</v>
      </c>
      <c r="B73" s="215">
        <v>8</v>
      </c>
      <c r="C73" s="260" t="s">
        <v>2098</v>
      </c>
      <c r="D73" s="287" t="s">
        <v>935</v>
      </c>
      <c r="E73" s="283" t="s">
        <v>937</v>
      </c>
      <c r="F73" s="300"/>
      <c r="G73" s="142" t="s">
        <v>938</v>
      </c>
    </row>
    <row r="74" spans="1:7" ht="13.5" thickBot="1" x14ac:dyDescent="0.25">
      <c r="A74" s="275"/>
      <c r="B74" s="216"/>
      <c r="C74" s="244"/>
      <c r="D74" s="281" t="s">
        <v>936</v>
      </c>
      <c r="E74" s="284"/>
      <c r="F74" s="301"/>
      <c r="G74" s="143" t="s">
        <v>939</v>
      </c>
    </row>
    <row r="75" spans="1:7" ht="26.25" thickBot="1" x14ac:dyDescent="0.25">
      <c r="A75" s="276">
        <v>1972.6</v>
      </c>
      <c r="B75" s="243">
        <v>9</v>
      </c>
      <c r="C75" s="257" t="s">
        <v>2099</v>
      </c>
      <c r="D75" s="281" t="s">
        <v>940</v>
      </c>
      <c r="E75" s="281" t="s">
        <v>941</v>
      </c>
      <c r="F75" s="290"/>
      <c r="G75" s="143" t="s">
        <v>942</v>
      </c>
    </row>
    <row r="76" spans="1:7" ht="26.25" thickBot="1" x14ac:dyDescent="0.25">
      <c r="A76" s="276">
        <v>2004.8</v>
      </c>
      <c r="B76" s="243">
        <v>5</v>
      </c>
      <c r="C76" s="257" t="s">
        <v>2099</v>
      </c>
      <c r="D76" s="281" t="s">
        <v>324</v>
      </c>
      <c r="E76" s="281" t="s">
        <v>943</v>
      </c>
      <c r="F76" s="289" t="s">
        <v>820</v>
      </c>
      <c r="G76" s="143" t="s">
        <v>944</v>
      </c>
    </row>
    <row r="77" spans="1:7" ht="26.25" thickBot="1" x14ac:dyDescent="0.25">
      <c r="A77" s="276">
        <v>2078.5</v>
      </c>
      <c r="B77" s="243">
        <v>3.6</v>
      </c>
      <c r="C77" s="257" t="s">
        <v>2098</v>
      </c>
      <c r="D77" s="281" t="s">
        <v>325</v>
      </c>
      <c r="E77" s="281" t="s">
        <v>945</v>
      </c>
      <c r="F77" s="289" t="s">
        <v>820</v>
      </c>
      <c r="G77" s="143" t="s">
        <v>946</v>
      </c>
    </row>
    <row r="78" spans="1:7" ht="26.25" thickBot="1" x14ac:dyDescent="0.25">
      <c r="A78" s="276">
        <v>2177.6999999999998</v>
      </c>
      <c r="B78" s="240">
        <v>0</v>
      </c>
      <c r="C78" s="247"/>
      <c r="D78" s="281" t="s">
        <v>466</v>
      </c>
      <c r="E78" s="281" t="s">
        <v>947</v>
      </c>
      <c r="F78" s="289" t="s">
        <v>820</v>
      </c>
      <c r="G78" s="141" t="s">
        <v>948</v>
      </c>
    </row>
    <row r="80" spans="1:7" x14ac:dyDescent="0.2">
      <c r="A80" s="277" t="s">
        <v>958</v>
      </c>
    </row>
    <row r="81" spans="1:3" x14ac:dyDescent="0.2">
      <c r="A81" s="277" t="s">
        <v>959</v>
      </c>
    </row>
    <row r="82" spans="1:3" x14ac:dyDescent="0.2">
      <c r="A82" s="277" t="s">
        <v>960</v>
      </c>
    </row>
    <row r="83" spans="1:3" x14ac:dyDescent="0.2">
      <c r="A83" s="277" t="s">
        <v>961</v>
      </c>
    </row>
    <row r="84" spans="1:3" x14ac:dyDescent="0.2">
      <c r="A84" s="277" t="s">
        <v>962</v>
      </c>
    </row>
    <row r="85" spans="1:3" x14ac:dyDescent="0.2">
      <c r="B85" s="266" t="s">
        <v>963</v>
      </c>
      <c r="C85" s="256"/>
    </row>
    <row r="86" spans="1:3" x14ac:dyDescent="0.2">
      <c r="A86" s="279" t="s">
        <v>965</v>
      </c>
    </row>
    <row r="88" spans="1:3" x14ac:dyDescent="0.2">
      <c r="B88" s="265">
        <f>COUNTIF(B2:B78,"&lt;=2")</f>
        <v>49</v>
      </c>
    </row>
  </sheetData>
  <mergeCells count="41">
    <mergeCell ref="A71:A72"/>
    <mergeCell ref="B71:B72"/>
    <mergeCell ref="F71:F72"/>
    <mergeCell ref="A73:A74"/>
    <mergeCell ref="B73:B74"/>
    <mergeCell ref="E73:E74"/>
    <mergeCell ref="F73:F74"/>
    <mergeCell ref="C73:C74"/>
    <mergeCell ref="A34:A36"/>
    <mergeCell ref="B34:B36"/>
    <mergeCell ref="D34:D36"/>
    <mergeCell ref="F34:F36"/>
    <mergeCell ref="G34:G36"/>
    <mergeCell ref="C34:C36"/>
    <mergeCell ref="A58:A60"/>
    <mergeCell ref="B58:B60"/>
    <mergeCell ref="D58:D60"/>
    <mergeCell ref="F58:F60"/>
    <mergeCell ref="G58:G60"/>
    <mergeCell ref="A17:A18"/>
    <mergeCell ref="D17:D18"/>
    <mergeCell ref="E17:E18"/>
    <mergeCell ref="F17:F18"/>
    <mergeCell ref="G17:G18"/>
    <mergeCell ref="A24:A25"/>
    <mergeCell ref="B24:B25"/>
    <mergeCell ref="D24:D25"/>
    <mergeCell ref="F24:F25"/>
    <mergeCell ref="G24:G25"/>
    <mergeCell ref="C24:C25"/>
    <mergeCell ref="A8:A9"/>
    <mergeCell ref="B8:B9"/>
    <mergeCell ref="E8:E9"/>
    <mergeCell ref="F8:F9"/>
    <mergeCell ref="G8:G9"/>
    <mergeCell ref="A14:A15"/>
    <mergeCell ref="B14:B15"/>
    <mergeCell ref="D14:D15"/>
    <mergeCell ref="F14:F15"/>
    <mergeCell ref="G14:G15"/>
    <mergeCell ref="C14:C15"/>
  </mergeCells>
  <conditionalFormatting sqref="B3:F78">
    <cfRule type="expression" dxfId="5" priority="1">
      <formula>$B3=0</formula>
    </cfRule>
    <cfRule type="expression" dxfId="4" priority="3">
      <formula>AND($B3 &gt;= 0.1, $B3 &lt;=2)</formula>
    </cfRule>
    <cfRule type="expression" dxfId="3" priority="5">
      <formula>AND($B3&gt;2,$B3&lt;=5)</formula>
    </cfRule>
  </conditionalFormatting>
  <pageMargins left="0.45" right="0.45" top="0.5" bottom="0.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5"/>
  <sheetViews>
    <sheetView topLeftCell="A12" workbookViewId="0">
      <selection activeCell="E97" sqref="E97"/>
    </sheetView>
  </sheetViews>
  <sheetFormatPr defaultRowHeight="12.75" x14ac:dyDescent="0.2"/>
  <cols>
    <col min="1" max="1" width="25.5703125" customWidth="1"/>
    <col min="2" max="2" width="10.140625" customWidth="1"/>
    <col min="6" max="6" width="26" customWidth="1"/>
    <col min="7" max="7" width="6.85546875" customWidth="1"/>
    <col min="8" max="8" width="13.5703125" customWidth="1"/>
    <col min="9" max="9" width="13.28515625" customWidth="1"/>
  </cols>
  <sheetData>
    <row r="1" spans="1:6" ht="27" x14ac:dyDescent="0.2">
      <c r="A1" s="192" t="s">
        <v>711</v>
      </c>
      <c r="B1" s="193"/>
    </row>
    <row r="2" spans="1:6" ht="22.5" customHeight="1" x14ac:dyDescent="0.2">
      <c r="A2" s="109" t="s">
        <v>476</v>
      </c>
      <c r="B2" s="124"/>
      <c r="C2" s="132"/>
      <c r="E2" s="20" t="s">
        <v>790</v>
      </c>
    </row>
    <row r="3" spans="1:6" ht="18" customHeight="1" x14ac:dyDescent="0.2">
      <c r="A3" s="110" t="s">
        <v>712</v>
      </c>
      <c r="B3" s="125" t="s">
        <v>719</v>
      </c>
      <c r="C3" s="130"/>
      <c r="E3">
        <f>COUNTIF(E24:E95,0)</f>
        <v>8</v>
      </c>
      <c r="F3" s="138" t="s">
        <v>788</v>
      </c>
    </row>
    <row r="4" spans="1:6" ht="18" customHeight="1" x14ac:dyDescent="0.2">
      <c r="A4" s="111" t="s">
        <v>713</v>
      </c>
      <c r="B4" s="126" t="s">
        <v>720</v>
      </c>
      <c r="C4" s="130"/>
      <c r="E4">
        <f>COUNTIFS(E25:E96,"&gt;0",E25:E96,"&lt;=2")</f>
        <v>22</v>
      </c>
      <c r="F4" s="167" t="s">
        <v>1160</v>
      </c>
    </row>
    <row r="5" spans="1:6" ht="18" customHeight="1" x14ac:dyDescent="0.2">
      <c r="A5" s="111" t="s">
        <v>714</v>
      </c>
      <c r="B5" s="126" t="s">
        <v>721</v>
      </c>
      <c r="C5" s="130"/>
      <c r="E5">
        <f>COUNTIFS(E26:E97,"&gt;2",E26:E97,"&lt;=5")</f>
        <v>16</v>
      </c>
      <c r="F5" s="168" t="s">
        <v>789</v>
      </c>
    </row>
    <row r="6" spans="1:6" ht="18" customHeight="1" x14ac:dyDescent="0.2">
      <c r="A6" s="111" t="s">
        <v>715</v>
      </c>
      <c r="B6" s="126" t="s">
        <v>722</v>
      </c>
      <c r="C6" s="130"/>
    </row>
    <row r="7" spans="1:6" ht="18" customHeight="1" x14ac:dyDescent="0.2">
      <c r="A7" s="111" t="s">
        <v>716</v>
      </c>
      <c r="B7" s="126" t="s">
        <v>723</v>
      </c>
      <c r="C7" s="130"/>
    </row>
    <row r="8" spans="1:6" ht="18" customHeight="1" x14ac:dyDescent="0.2">
      <c r="A8" s="111" t="s">
        <v>717</v>
      </c>
      <c r="B8" s="127"/>
      <c r="C8" s="130"/>
    </row>
    <row r="9" spans="1:6" ht="18" customHeight="1" x14ac:dyDescent="0.2">
      <c r="A9" s="111" t="s">
        <v>718</v>
      </c>
      <c r="B9" s="127"/>
      <c r="C9" s="130"/>
    </row>
    <row r="10" spans="1:6" ht="12.75" customHeight="1" x14ac:dyDescent="0.2">
      <c r="A10" s="112"/>
      <c r="B10" s="128"/>
      <c r="C10" s="130"/>
    </row>
    <row r="11" spans="1:6" ht="16.5" customHeight="1" x14ac:dyDescent="0.2">
      <c r="A11" s="116" t="s">
        <v>477</v>
      </c>
      <c r="B11" s="129" t="s">
        <v>727</v>
      </c>
      <c r="C11" s="130"/>
    </row>
    <row r="12" spans="1:6" ht="38.25" customHeight="1" x14ac:dyDescent="0.2">
      <c r="A12" s="113" t="s">
        <v>724</v>
      </c>
      <c r="B12" s="126" t="s">
        <v>728</v>
      </c>
      <c r="C12" s="130"/>
    </row>
    <row r="13" spans="1:6" ht="36.75" customHeight="1" x14ac:dyDescent="0.2">
      <c r="A13" s="113" t="s">
        <v>725</v>
      </c>
      <c r="B13" s="126" t="s">
        <v>729</v>
      </c>
      <c r="C13" s="130"/>
    </row>
    <row r="14" spans="1:6" ht="19.5" customHeight="1" x14ac:dyDescent="0.2">
      <c r="A14" s="113" t="s">
        <v>726</v>
      </c>
      <c r="B14" s="126" t="s">
        <v>730</v>
      </c>
      <c r="C14" s="130"/>
    </row>
    <row r="15" spans="1:6" ht="15.95" customHeight="1" x14ac:dyDescent="0.2">
      <c r="A15" s="114"/>
      <c r="B15" s="127"/>
      <c r="C15" s="130"/>
    </row>
    <row r="16" spans="1:6" ht="15.95" customHeight="1" x14ac:dyDescent="0.2">
      <c r="A16" s="115"/>
      <c r="B16" s="128"/>
      <c r="C16" s="131"/>
    </row>
    <row r="17" spans="1:9" ht="18.75" customHeight="1" x14ac:dyDescent="0.2">
      <c r="A17" s="194" t="s">
        <v>731</v>
      </c>
      <c r="B17" s="195"/>
    </row>
    <row r="18" spans="1:9" ht="18.75" customHeight="1" x14ac:dyDescent="0.2">
      <c r="A18" s="196" t="s">
        <v>732</v>
      </c>
      <c r="B18" s="197"/>
      <c r="F18" s="65" t="s">
        <v>754</v>
      </c>
    </row>
    <row r="21" spans="1:9" x14ac:dyDescent="0.2">
      <c r="A21" s="123" t="s">
        <v>487</v>
      </c>
      <c r="E21" s="64" t="s">
        <v>738</v>
      </c>
    </row>
    <row r="22" spans="1:9" ht="18" customHeight="1" x14ac:dyDescent="0.2">
      <c r="A22" s="184" t="s">
        <v>470</v>
      </c>
      <c r="B22" s="174" t="s">
        <v>471</v>
      </c>
      <c r="C22" s="81" t="s">
        <v>472</v>
      </c>
      <c r="D22" s="81" t="s">
        <v>472</v>
      </c>
      <c r="E22" s="186" t="s">
        <v>475</v>
      </c>
      <c r="F22" s="188" t="s">
        <v>476</v>
      </c>
      <c r="G22" s="190" t="s">
        <v>477</v>
      </c>
      <c r="H22" s="174" t="s">
        <v>478</v>
      </c>
      <c r="I22" s="174" t="s">
        <v>479</v>
      </c>
    </row>
    <row r="23" spans="1:9" ht="18" x14ac:dyDescent="0.2">
      <c r="A23" s="185"/>
      <c r="B23" s="175"/>
      <c r="C23" s="82" t="s">
        <v>473</v>
      </c>
      <c r="D23" s="82" t="s">
        <v>474</v>
      </c>
      <c r="E23" s="187"/>
      <c r="F23" s="189"/>
      <c r="G23" s="191"/>
      <c r="H23" s="175"/>
      <c r="I23" s="175"/>
    </row>
    <row r="24" spans="1:9" ht="18" customHeight="1" x14ac:dyDescent="0.2">
      <c r="A24" s="83" t="s">
        <v>480</v>
      </c>
      <c r="B24" s="84" t="s">
        <v>481</v>
      </c>
      <c r="C24" s="85">
        <v>20.5</v>
      </c>
      <c r="D24" s="85" t="s">
        <v>482</v>
      </c>
      <c r="E24" s="85" t="s">
        <v>483</v>
      </c>
      <c r="F24" s="83"/>
      <c r="G24" s="83"/>
      <c r="H24" s="83">
        <v>0</v>
      </c>
      <c r="I24" s="86">
        <v>2193</v>
      </c>
    </row>
    <row r="25" spans="1:9" ht="18" customHeight="1" x14ac:dyDescent="0.2">
      <c r="A25" s="169" t="s">
        <v>488</v>
      </c>
      <c r="B25" s="84" t="s">
        <v>481</v>
      </c>
      <c r="C25" s="85">
        <v>31.8</v>
      </c>
      <c r="D25" s="85">
        <v>21.1</v>
      </c>
      <c r="E25" s="302">
        <v>2</v>
      </c>
      <c r="F25" s="83" t="s">
        <v>489</v>
      </c>
      <c r="G25" s="88" t="s">
        <v>490</v>
      </c>
      <c r="H25" s="83">
        <v>20.5</v>
      </c>
      <c r="I25" s="86">
        <v>2172.5</v>
      </c>
    </row>
    <row r="26" spans="1:9" ht="18" customHeight="1" x14ac:dyDescent="0.2">
      <c r="A26" s="88" t="s">
        <v>491</v>
      </c>
      <c r="B26" s="84" t="s">
        <v>481</v>
      </c>
      <c r="C26" s="85">
        <v>16.899999999999999</v>
      </c>
      <c r="D26" s="85">
        <v>31.8</v>
      </c>
      <c r="E26" s="85">
        <v>9</v>
      </c>
      <c r="F26" s="83" t="s">
        <v>492</v>
      </c>
      <c r="G26" s="88" t="s">
        <v>490</v>
      </c>
      <c r="H26" s="83">
        <v>52.5</v>
      </c>
      <c r="I26" s="86">
        <v>2140.5</v>
      </c>
    </row>
    <row r="27" spans="1:9" ht="18" customHeight="1" x14ac:dyDescent="0.2">
      <c r="A27" s="88" t="s">
        <v>304</v>
      </c>
      <c r="B27" s="84" t="s">
        <v>481</v>
      </c>
      <c r="C27" s="85">
        <v>40.200000000000003</v>
      </c>
      <c r="D27" s="85">
        <v>16.899999999999999</v>
      </c>
      <c r="E27" s="85">
        <v>11</v>
      </c>
      <c r="F27" s="88" t="s">
        <v>493</v>
      </c>
      <c r="G27" s="88" t="s">
        <v>490</v>
      </c>
      <c r="H27" s="83">
        <v>69.2</v>
      </c>
      <c r="I27" s="86">
        <v>2123.8000000000002</v>
      </c>
    </row>
    <row r="28" spans="1:9" ht="18" customHeight="1" x14ac:dyDescent="0.2">
      <c r="A28" s="88" t="s">
        <v>494</v>
      </c>
      <c r="B28" s="84" t="s">
        <v>481</v>
      </c>
      <c r="C28" s="85">
        <v>27.3</v>
      </c>
      <c r="D28" s="85">
        <v>40.200000000000003</v>
      </c>
      <c r="E28" s="85">
        <v>10</v>
      </c>
      <c r="F28" s="88" t="s">
        <v>495</v>
      </c>
      <c r="G28" s="88" t="s">
        <v>490</v>
      </c>
      <c r="H28" s="83">
        <v>109.4</v>
      </c>
      <c r="I28" s="86">
        <v>2083.6</v>
      </c>
    </row>
    <row r="29" spans="1:9" ht="18" x14ac:dyDescent="0.2">
      <c r="A29" s="88" t="s">
        <v>496</v>
      </c>
      <c r="B29" s="84" t="s">
        <v>481</v>
      </c>
      <c r="C29" s="85">
        <v>27.6</v>
      </c>
      <c r="D29" s="85">
        <v>27.3</v>
      </c>
      <c r="E29" s="85">
        <v>13</v>
      </c>
      <c r="F29" s="88" t="s">
        <v>497</v>
      </c>
      <c r="G29" s="88" t="s">
        <v>490</v>
      </c>
      <c r="H29" s="83">
        <v>136.69999999999999</v>
      </c>
      <c r="I29" s="86">
        <v>2056.3000000000002</v>
      </c>
    </row>
    <row r="30" spans="1:9" ht="18" x14ac:dyDescent="0.2">
      <c r="A30" s="88" t="s">
        <v>498</v>
      </c>
      <c r="B30" s="84" t="s">
        <v>481</v>
      </c>
      <c r="C30" s="85">
        <v>42.6</v>
      </c>
      <c r="D30" s="85">
        <v>27.6</v>
      </c>
      <c r="E30" s="85">
        <v>1.8</v>
      </c>
      <c r="F30" s="83" t="s">
        <v>499</v>
      </c>
      <c r="G30" s="88" t="s">
        <v>490</v>
      </c>
      <c r="H30" s="83">
        <v>164.7</v>
      </c>
      <c r="I30" s="86">
        <v>2028.3</v>
      </c>
    </row>
    <row r="31" spans="1:9" ht="18" x14ac:dyDescent="0.2">
      <c r="A31" s="88" t="s">
        <v>500</v>
      </c>
      <c r="B31" s="84" t="s">
        <v>481</v>
      </c>
      <c r="C31" s="85">
        <v>67.099999999999994</v>
      </c>
      <c r="D31" s="85">
        <v>42.6</v>
      </c>
      <c r="E31" s="85">
        <v>15</v>
      </c>
      <c r="F31" s="88" t="s">
        <v>493</v>
      </c>
      <c r="G31" s="88" t="s">
        <v>490</v>
      </c>
      <c r="H31" s="83">
        <v>207.7</v>
      </c>
      <c r="I31" s="86">
        <v>1985.3</v>
      </c>
    </row>
    <row r="32" spans="1:9" ht="18" x14ac:dyDescent="0.2">
      <c r="A32" s="136" t="s">
        <v>308</v>
      </c>
      <c r="B32" s="84" t="s">
        <v>481</v>
      </c>
      <c r="C32" s="85">
        <v>68.599999999999994</v>
      </c>
      <c r="D32" s="85">
        <v>67.099999999999994</v>
      </c>
      <c r="E32" s="85">
        <v>0</v>
      </c>
      <c r="F32" s="83" t="s">
        <v>501</v>
      </c>
      <c r="G32" s="88" t="s">
        <v>490</v>
      </c>
      <c r="H32" s="83">
        <v>274.89999999999998</v>
      </c>
      <c r="I32" s="86">
        <v>1918.1</v>
      </c>
    </row>
    <row r="33" spans="1:9" ht="18" x14ac:dyDescent="0.2">
      <c r="A33" s="170" t="s">
        <v>309</v>
      </c>
      <c r="B33" s="84" t="s">
        <v>481</v>
      </c>
      <c r="C33" s="85">
        <v>50.8</v>
      </c>
      <c r="D33" s="85">
        <v>68.599999999999994</v>
      </c>
      <c r="E33" s="85">
        <v>3.8</v>
      </c>
      <c r="F33" s="88" t="s">
        <v>502</v>
      </c>
      <c r="G33" s="88" t="s">
        <v>490</v>
      </c>
      <c r="H33" s="83">
        <v>344.3</v>
      </c>
      <c r="I33" s="86">
        <v>1848.7</v>
      </c>
    </row>
    <row r="34" spans="1:9" ht="18" x14ac:dyDescent="0.2">
      <c r="A34" s="170" t="s">
        <v>503</v>
      </c>
      <c r="B34" s="84" t="s">
        <v>481</v>
      </c>
      <c r="C34" s="85">
        <v>33.299999999999997</v>
      </c>
      <c r="D34" s="85">
        <v>50.8</v>
      </c>
      <c r="E34" s="85">
        <v>3.4</v>
      </c>
      <c r="F34" s="88" t="s">
        <v>504</v>
      </c>
      <c r="G34" s="88" t="s">
        <v>490</v>
      </c>
      <c r="H34" s="83">
        <v>395.3</v>
      </c>
      <c r="I34" s="86">
        <v>1797.7</v>
      </c>
    </row>
    <row r="35" spans="1:9" ht="18" x14ac:dyDescent="0.2">
      <c r="A35" s="170" t="s">
        <v>505</v>
      </c>
      <c r="B35" s="84" t="s">
        <v>481</v>
      </c>
      <c r="C35" s="85" t="s">
        <v>484</v>
      </c>
      <c r="D35" s="85" t="s">
        <v>484</v>
      </c>
      <c r="E35" s="85">
        <v>2.5</v>
      </c>
      <c r="F35" s="83" t="s">
        <v>506</v>
      </c>
      <c r="G35" s="88" t="s">
        <v>490</v>
      </c>
      <c r="H35" s="85" t="s">
        <v>485</v>
      </c>
      <c r="I35" s="85" t="s">
        <v>485</v>
      </c>
    </row>
    <row r="36" spans="1:9" ht="18" x14ac:dyDescent="0.2">
      <c r="A36" s="169" t="s">
        <v>486</v>
      </c>
      <c r="B36" s="84" t="s">
        <v>481</v>
      </c>
      <c r="C36" s="85">
        <v>27</v>
      </c>
      <c r="D36" s="85">
        <v>33.299999999999997</v>
      </c>
      <c r="E36" s="302">
        <v>2</v>
      </c>
      <c r="F36" s="88" t="s">
        <v>507</v>
      </c>
      <c r="G36" s="88" t="s">
        <v>490</v>
      </c>
      <c r="H36" s="83">
        <v>428.6</v>
      </c>
      <c r="I36" s="86">
        <v>1764.4</v>
      </c>
    </row>
    <row r="37" spans="1:9" ht="18" x14ac:dyDescent="0.2">
      <c r="A37" s="170" t="s">
        <v>508</v>
      </c>
      <c r="B37" s="84" t="s">
        <v>481</v>
      </c>
      <c r="C37" s="85">
        <v>15</v>
      </c>
      <c r="D37" s="85">
        <v>27</v>
      </c>
      <c r="E37" s="85">
        <v>2.7</v>
      </c>
      <c r="F37" s="83" t="s">
        <v>506</v>
      </c>
      <c r="G37" s="88" t="s">
        <v>490</v>
      </c>
      <c r="H37" s="83">
        <v>455.7</v>
      </c>
      <c r="I37" s="86">
        <v>1737.3</v>
      </c>
    </row>
    <row r="38" spans="1:9" ht="18" x14ac:dyDescent="0.2">
      <c r="A38" s="157"/>
      <c r="B38" s="158"/>
      <c r="C38" s="159"/>
      <c r="D38" s="159"/>
      <c r="E38" s="159"/>
      <c r="F38" s="160"/>
      <c r="G38" s="157"/>
      <c r="H38" s="160"/>
      <c r="I38" s="161"/>
    </row>
    <row r="39" spans="1:9" x14ac:dyDescent="0.2">
      <c r="A39" s="80" t="s">
        <v>509</v>
      </c>
    </row>
    <row r="40" spans="1:9" ht="18" customHeight="1" x14ac:dyDescent="0.2">
      <c r="A40" s="176" t="s">
        <v>470</v>
      </c>
      <c r="B40" s="178" t="s">
        <v>471</v>
      </c>
      <c r="C40" s="89" t="s">
        <v>472</v>
      </c>
      <c r="D40" s="89" t="s">
        <v>472</v>
      </c>
      <c r="E40" s="180" t="s">
        <v>475</v>
      </c>
      <c r="F40" s="182" t="s">
        <v>476</v>
      </c>
      <c r="G40" s="178" t="s">
        <v>477</v>
      </c>
      <c r="H40" s="178" t="s">
        <v>478</v>
      </c>
      <c r="I40" s="178" t="s">
        <v>479</v>
      </c>
    </row>
    <row r="41" spans="1:9" ht="18" x14ac:dyDescent="0.2">
      <c r="A41" s="177"/>
      <c r="B41" s="179"/>
      <c r="C41" s="90" t="s">
        <v>473</v>
      </c>
      <c r="D41" s="90" t="s">
        <v>474</v>
      </c>
      <c r="E41" s="181"/>
      <c r="F41" s="183"/>
      <c r="G41" s="179"/>
      <c r="H41" s="179"/>
      <c r="I41" s="179"/>
    </row>
    <row r="42" spans="1:9" ht="18" x14ac:dyDescent="0.2">
      <c r="A42" s="304" t="s">
        <v>310</v>
      </c>
      <c r="B42" s="84" t="s">
        <v>481</v>
      </c>
      <c r="C42" s="85">
        <v>47.7</v>
      </c>
      <c r="D42" s="85">
        <v>15</v>
      </c>
      <c r="E42" s="303">
        <v>0</v>
      </c>
      <c r="F42" s="83" t="s">
        <v>510</v>
      </c>
      <c r="G42" s="88" t="s">
        <v>490</v>
      </c>
      <c r="H42" s="83">
        <v>471.5</v>
      </c>
      <c r="I42" s="86">
        <v>1720.5</v>
      </c>
    </row>
    <row r="43" spans="1:9" ht="18" x14ac:dyDescent="0.2">
      <c r="A43" s="170" t="s">
        <v>511</v>
      </c>
      <c r="B43" s="84" t="s">
        <v>481</v>
      </c>
      <c r="C43" s="85">
        <v>24.8</v>
      </c>
      <c r="D43" s="85">
        <v>47.7</v>
      </c>
      <c r="E43" s="305">
        <v>2.6</v>
      </c>
      <c r="F43" s="83" t="s">
        <v>512</v>
      </c>
      <c r="G43" s="88" t="s">
        <v>490</v>
      </c>
      <c r="H43" s="83">
        <v>520</v>
      </c>
      <c r="I43" s="86">
        <v>1672</v>
      </c>
    </row>
    <row r="44" spans="1:9" ht="18" x14ac:dyDescent="0.2">
      <c r="A44" s="170" t="s">
        <v>513</v>
      </c>
      <c r="B44" s="84" t="s">
        <v>481</v>
      </c>
      <c r="C44" s="85">
        <v>46.5</v>
      </c>
      <c r="D44" s="85">
        <v>24.8</v>
      </c>
      <c r="E44" s="305">
        <v>3.2</v>
      </c>
      <c r="F44" s="83" t="s">
        <v>514</v>
      </c>
      <c r="G44" s="88" t="s">
        <v>490</v>
      </c>
      <c r="H44" s="83">
        <v>545.5</v>
      </c>
      <c r="I44" s="86">
        <v>1646.5</v>
      </c>
    </row>
    <row r="45" spans="1:9" ht="18" x14ac:dyDescent="0.2">
      <c r="A45" s="170" t="s">
        <v>515</v>
      </c>
      <c r="B45" s="84" t="s">
        <v>481</v>
      </c>
      <c r="C45" s="85">
        <v>45.7</v>
      </c>
      <c r="D45" s="85">
        <v>46.5</v>
      </c>
      <c r="E45" s="305">
        <v>2.7</v>
      </c>
      <c r="F45" s="83" t="s">
        <v>516</v>
      </c>
      <c r="G45" s="88" t="s">
        <v>490</v>
      </c>
      <c r="H45" s="83">
        <v>591.6</v>
      </c>
      <c r="I45" s="86">
        <v>1600.4</v>
      </c>
    </row>
    <row r="46" spans="1:9" ht="36" x14ac:dyDescent="0.2">
      <c r="A46" s="169" t="s">
        <v>311</v>
      </c>
      <c r="B46" s="84" t="s">
        <v>481</v>
      </c>
      <c r="C46" s="85">
        <v>73.099999999999994</v>
      </c>
      <c r="D46" s="85">
        <v>45.7</v>
      </c>
      <c r="E46" s="302">
        <v>1</v>
      </c>
      <c r="F46" s="83" t="s">
        <v>517</v>
      </c>
      <c r="G46" s="88" t="s">
        <v>490</v>
      </c>
      <c r="H46" s="83">
        <v>636.9</v>
      </c>
      <c r="I46" s="86">
        <v>1555.1</v>
      </c>
    </row>
    <row r="47" spans="1:9" ht="18" x14ac:dyDescent="0.2">
      <c r="A47" s="169" t="s">
        <v>518</v>
      </c>
      <c r="B47" s="84" t="s">
        <v>481</v>
      </c>
      <c r="C47" s="85">
        <v>19.8</v>
      </c>
      <c r="D47" s="85">
        <v>73.099999999999994</v>
      </c>
      <c r="E47" s="302">
        <v>1</v>
      </c>
      <c r="F47" s="88" t="s">
        <v>519</v>
      </c>
      <c r="G47" s="88" t="s">
        <v>490</v>
      </c>
      <c r="H47" s="83">
        <v>709.8</v>
      </c>
      <c r="I47" s="86">
        <v>1481.2</v>
      </c>
    </row>
    <row r="48" spans="1:9" ht="18" x14ac:dyDescent="0.2">
      <c r="A48" s="169" t="s">
        <v>520</v>
      </c>
      <c r="B48" s="84" t="s">
        <v>481</v>
      </c>
      <c r="C48" s="85">
        <v>1.5</v>
      </c>
      <c r="D48" s="85">
        <v>19.8</v>
      </c>
      <c r="E48" s="302">
        <v>1</v>
      </c>
      <c r="F48" s="88" t="s">
        <v>521</v>
      </c>
      <c r="G48" s="88" t="s">
        <v>490</v>
      </c>
      <c r="H48" s="83">
        <v>729.6</v>
      </c>
      <c r="I48" s="86">
        <v>1462.4</v>
      </c>
    </row>
    <row r="49" spans="1:9" ht="18" x14ac:dyDescent="0.2">
      <c r="A49" s="169" t="s">
        <v>522</v>
      </c>
      <c r="B49" s="84" t="s">
        <v>481</v>
      </c>
      <c r="C49" s="85">
        <v>55.3</v>
      </c>
      <c r="D49" s="85">
        <v>1.5</v>
      </c>
      <c r="E49" s="302">
        <v>1.3</v>
      </c>
      <c r="F49" s="88" t="s">
        <v>523</v>
      </c>
      <c r="G49" s="88" t="s">
        <v>490</v>
      </c>
      <c r="H49" s="83">
        <v>731.1</v>
      </c>
      <c r="I49" s="86">
        <v>1460.9</v>
      </c>
    </row>
    <row r="50" spans="1:9" ht="18" x14ac:dyDescent="0.2">
      <c r="A50" s="170" t="s">
        <v>524</v>
      </c>
      <c r="B50" s="84" t="s">
        <v>481</v>
      </c>
      <c r="C50" s="85">
        <v>21.8</v>
      </c>
      <c r="D50" s="85">
        <v>55.3</v>
      </c>
      <c r="E50" s="305">
        <v>4.7</v>
      </c>
      <c r="F50" s="83" t="s">
        <v>525</v>
      </c>
      <c r="G50" s="88" t="s">
        <v>490</v>
      </c>
      <c r="H50" s="83">
        <v>786.6</v>
      </c>
      <c r="I50" s="86">
        <v>1405.4</v>
      </c>
    </row>
    <row r="51" spans="1:9" ht="18" x14ac:dyDescent="0.2">
      <c r="A51" s="88" t="s">
        <v>526</v>
      </c>
      <c r="B51" s="84" t="s">
        <v>481</v>
      </c>
      <c r="C51" s="85" t="s">
        <v>485</v>
      </c>
      <c r="D51" s="85" t="s">
        <v>485</v>
      </c>
      <c r="E51" s="85">
        <v>5.9</v>
      </c>
      <c r="F51" s="83" t="s">
        <v>527</v>
      </c>
      <c r="G51" s="88" t="s">
        <v>490</v>
      </c>
      <c r="H51" s="85" t="s">
        <v>485</v>
      </c>
      <c r="I51" s="85" t="s">
        <v>485</v>
      </c>
    </row>
    <row r="52" spans="1:9" ht="18" x14ac:dyDescent="0.2">
      <c r="A52" s="88" t="s">
        <v>528</v>
      </c>
      <c r="B52" s="84" t="s">
        <v>481</v>
      </c>
      <c r="C52" s="85">
        <v>16.3</v>
      </c>
      <c r="D52" s="85">
        <v>21.8</v>
      </c>
      <c r="E52" s="85">
        <v>9.3000000000000007</v>
      </c>
      <c r="F52" s="83" t="s">
        <v>527</v>
      </c>
      <c r="G52" s="88" t="s">
        <v>490</v>
      </c>
      <c r="H52" s="83">
        <v>808.4</v>
      </c>
      <c r="I52" s="86">
        <v>1383.6</v>
      </c>
    </row>
    <row r="53" spans="1:9" ht="18" x14ac:dyDescent="0.2">
      <c r="A53" s="88" t="s">
        <v>529</v>
      </c>
      <c r="B53" s="84" t="s">
        <v>481</v>
      </c>
      <c r="C53" s="85">
        <v>38.9</v>
      </c>
      <c r="D53" s="85">
        <v>16.3</v>
      </c>
      <c r="E53" s="85">
        <v>5.9</v>
      </c>
      <c r="F53" s="83" t="s">
        <v>530</v>
      </c>
      <c r="G53" s="88" t="s">
        <v>490</v>
      </c>
      <c r="H53" s="83">
        <v>824.7</v>
      </c>
      <c r="I53" s="86">
        <v>1364.3</v>
      </c>
    </row>
    <row r="54" spans="1:9" ht="18" x14ac:dyDescent="0.2">
      <c r="A54" s="170" t="s">
        <v>357</v>
      </c>
      <c r="B54" s="84" t="s">
        <v>481</v>
      </c>
      <c r="C54" s="85">
        <v>80.099999999999994</v>
      </c>
      <c r="D54" s="85">
        <v>38.9</v>
      </c>
      <c r="E54" s="305">
        <v>4.5</v>
      </c>
      <c r="F54" s="83" t="s">
        <v>531</v>
      </c>
      <c r="G54" s="88" t="s">
        <v>490</v>
      </c>
      <c r="H54" s="83">
        <v>863.6</v>
      </c>
      <c r="I54" s="86">
        <v>1328.4</v>
      </c>
    </row>
    <row r="55" spans="1:9" ht="18" x14ac:dyDescent="0.2">
      <c r="A55" s="88" t="s">
        <v>532</v>
      </c>
      <c r="B55" s="84" t="s">
        <v>481</v>
      </c>
      <c r="C55" s="85">
        <v>27.7</v>
      </c>
      <c r="D55" s="85">
        <v>80.099999999999994</v>
      </c>
      <c r="E55" s="85">
        <v>5.6</v>
      </c>
      <c r="F55" s="83" t="s">
        <v>531</v>
      </c>
      <c r="G55" s="88" t="s">
        <v>490</v>
      </c>
      <c r="H55" s="83">
        <v>943.7</v>
      </c>
      <c r="I55" s="86">
        <v>1248.3</v>
      </c>
    </row>
    <row r="56" spans="1:9" ht="18" x14ac:dyDescent="0.2">
      <c r="A56" s="137" t="s">
        <v>533</v>
      </c>
      <c r="B56" s="84" t="s">
        <v>481</v>
      </c>
      <c r="C56" s="85">
        <v>6.2</v>
      </c>
      <c r="D56" s="85">
        <v>27.7</v>
      </c>
      <c r="E56" s="85">
        <v>4.2</v>
      </c>
      <c r="F56" s="88" t="s">
        <v>531</v>
      </c>
      <c r="G56" s="88" t="s">
        <v>490</v>
      </c>
      <c r="H56" s="83">
        <v>971.4</v>
      </c>
      <c r="I56" s="86">
        <v>1220.5999999999999</v>
      </c>
    </row>
    <row r="57" spans="1:9" ht="18" x14ac:dyDescent="0.2">
      <c r="A57" s="169" t="s">
        <v>534</v>
      </c>
      <c r="B57" s="84" t="s">
        <v>481</v>
      </c>
      <c r="C57" s="85">
        <v>45.1</v>
      </c>
      <c r="D57" s="85">
        <v>6.2</v>
      </c>
      <c r="E57" s="302">
        <v>1.1000000000000001</v>
      </c>
      <c r="F57" s="83" t="s">
        <v>506</v>
      </c>
      <c r="G57" s="88" t="s">
        <v>490</v>
      </c>
      <c r="H57" s="83">
        <v>977.7</v>
      </c>
      <c r="I57" s="86">
        <v>1214.3</v>
      </c>
    </row>
    <row r="58" spans="1:9" ht="18" x14ac:dyDescent="0.2">
      <c r="A58" s="169" t="s">
        <v>312</v>
      </c>
      <c r="B58" s="84" t="s">
        <v>535</v>
      </c>
      <c r="C58" s="85">
        <v>31.6</v>
      </c>
      <c r="D58" s="85">
        <v>45.1</v>
      </c>
      <c r="E58" s="302">
        <v>0.5</v>
      </c>
      <c r="F58" s="88" t="s">
        <v>536</v>
      </c>
      <c r="G58" s="88" t="s">
        <v>490</v>
      </c>
      <c r="H58" s="86">
        <v>1024.4000000000001</v>
      </c>
      <c r="I58" s="86">
        <v>1167.5999999999999</v>
      </c>
    </row>
    <row r="59" spans="1:9" x14ac:dyDescent="0.2">
      <c r="A59" s="80" t="s">
        <v>537</v>
      </c>
    </row>
    <row r="60" spans="1:9" ht="18" customHeight="1" x14ac:dyDescent="0.2">
      <c r="A60" s="198" t="s">
        <v>470</v>
      </c>
      <c r="B60" s="172" t="s">
        <v>471</v>
      </c>
      <c r="C60" s="91" t="s">
        <v>472</v>
      </c>
      <c r="D60" s="91" t="s">
        <v>472</v>
      </c>
      <c r="E60" s="200" t="s">
        <v>475</v>
      </c>
      <c r="F60" s="202" t="s">
        <v>476</v>
      </c>
      <c r="G60" s="172" t="s">
        <v>477</v>
      </c>
      <c r="H60" s="172" t="s">
        <v>478</v>
      </c>
      <c r="I60" s="172" t="s">
        <v>479</v>
      </c>
    </row>
    <row r="61" spans="1:9" ht="18" x14ac:dyDescent="0.2">
      <c r="A61" s="199"/>
      <c r="B61" s="173"/>
      <c r="C61" s="92" t="s">
        <v>473</v>
      </c>
      <c r="D61" s="92" t="s">
        <v>474</v>
      </c>
      <c r="E61" s="201"/>
      <c r="F61" s="203"/>
      <c r="G61" s="173"/>
      <c r="H61" s="173"/>
      <c r="I61" s="173"/>
    </row>
    <row r="62" spans="1:9" ht="18" x14ac:dyDescent="0.2">
      <c r="A62" s="169" t="s">
        <v>538</v>
      </c>
      <c r="B62" s="84" t="s">
        <v>481</v>
      </c>
      <c r="C62" s="85">
        <v>9.8000000000000007</v>
      </c>
      <c r="D62" s="85">
        <v>31.6</v>
      </c>
      <c r="E62" s="302">
        <v>2</v>
      </c>
      <c r="F62" s="83" t="s">
        <v>539</v>
      </c>
      <c r="G62" s="88" t="s">
        <v>490</v>
      </c>
      <c r="H62" s="86">
        <v>1056.3</v>
      </c>
      <c r="I62" s="86">
        <v>1135.7</v>
      </c>
    </row>
    <row r="63" spans="1:9" ht="18" x14ac:dyDescent="0.2">
      <c r="A63" s="169" t="s">
        <v>540</v>
      </c>
      <c r="B63" s="84" t="s">
        <v>481</v>
      </c>
      <c r="C63" s="85">
        <v>13.4</v>
      </c>
      <c r="D63" s="85">
        <v>9.8000000000000007</v>
      </c>
      <c r="E63" s="302">
        <v>1.4</v>
      </c>
      <c r="F63" s="83" t="s">
        <v>541</v>
      </c>
      <c r="G63" s="88" t="s">
        <v>490</v>
      </c>
      <c r="H63" s="86">
        <v>1066.0999999999999</v>
      </c>
      <c r="I63" s="86">
        <v>1125.9000000000001</v>
      </c>
    </row>
    <row r="64" spans="1:9" ht="18" x14ac:dyDescent="0.2">
      <c r="A64" s="169" t="s">
        <v>542</v>
      </c>
      <c r="B64" s="84" t="s">
        <v>481</v>
      </c>
      <c r="C64" s="85">
        <v>43.8</v>
      </c>
      <c r="D64" s="85">
        <v>13.4</v>
      </c>
      <c r="E64" s="85">
        <v>1.2</v>
      </c>
      <c r="F64" s="83" t="s">
        <v>543</v>
      </c>
      <c r="G64" s="88" t="s">
        <v>490</v>
      </c>
      <c r="H64" s="86">
        <v>1075.5</v>
      </c>
      <c r="I64" s="86">
        <v>1112.5</v>
      </c>
    </row>
    <row r="65" spans="1:9" ht="18" x14ac:dyDescent="0.2">
      <c r="A65" s="304" t="s">
        <v>544</v>
      </c>
      <c r="B65" s="84" t="s">
        <v>481</v>
      </c>
      <c r="C65" s="85">
        <v>25.7</v>
      </c>
      <c r="D65" s="85">
        <v>43.8</v>
      </c>
      <c r="E65" s="303">
        <v>0</v>
      </c>
      <c r="F65" s="88" t="s">
        <v>545</v>
      </c>
      <c r="G65" s="88" t="s">
        <v>490</v>
      </c>
      <c r="H65" s="86">
        <v>1123.5999999999999</v>
      </c>
      <c r="I65" s="86">
        <v>1068.4000000000001</v>
      </c>
    </row>
    <row r="66" spans="1:9" ht="18" x14ac:dyDescent="0.2">
      <c r="A66" s="304" t="s">
        <v>313</v>
      </c>
      <c r="B66" s="84" t="s">
        <v>481</v>
      </c>
      <c r="C66" s="85">
        <v>70.099999999999994</v>
      </c>
      <c r="D66" s="85">
        <v>25.7</v>
      </c>
      <c r="E66" s="303">
        <v>0</v>
      </c>
      <c r="F66" s="88" t="s">
        <v>546</v>
      </c>
      <c r="G66" s="88" t="s">
        <v>490</v>
      </c>
      <c r="H66" s="86">
        <v>1149</v>
      </c>
      <c r="I66" s="86">
        <v>1043</v>
      </c>
    </row>
    <row r="67" spans="1:9" ht="18" x14ac:dyDescent="0.2">
      <c r="A67" s="304" t="s">
        <v>314</v>
      </c>
      <c r="B67" s="84" t="s">
        <v>481</v>
      </c>
      <c r="C67" s="85">
        <v>40.299999999999997</v>
      </c>
      <c r="D67" s="85">
        <v>70.099999999999994</v>
      </c>
      <c r="E67" s="303">
        <v>0</v>
      </c>
      <c r="F67" s="83" t="s">
        <v>547</v>
      </c>
      <c r="G67" s="88" t="s">
        <v>490</v>
      </c>
      <c r="H67" s="86">
        <v>1219.5999999999999</v>
      </c>
      <c r="I67" s="83">
        <v>972.4</v>
      </c>
    </row>
    <row r="68" spans="1:9" ht="18" x14ac:dyDescent="0.2">
      <c r="A68" s="169" t="s">
        <v>315</v>
      </c>
      <c r="B68" s="84" t="s">
        <v>481</v>
      </c>
      <c r="C68" s="85">
        <v>36</v>
      </c>
      <c r="D68" s="85">
        <v>40.299999999999997</v>
      </c>
      <c r="E68" s="302">
        <v>2</v>
      </c>
      <c r="F68" s="83" t="s">
        <v>548</v>
      </c>
      <c r="G68" s="88" t="s">
        <v>490</v>
      </c>
      <c r="H68" s="86">
        <v>1259.5999999999999</v>
      </c>
      <c r="I68" s="83">
        <v>932.4</v>
      </c>
    </row>
    <row r="69" spans="1:9" ht="18" x14ac:dyDescent="0.2">
      <c r="A69" s="304" t="s">
        <v>316</v>
      </c>
      <c r="B69" s="84" t="s">
        <v>481</v>
      </c>
      <c r="C69" s="85">
        <v>51.5</v>
      </c>
      <c r="D69" s="85">
        <v>36</v>
      </c>
      <c r="E69" s="303">
        <v>0.1</v>
      </c>
      <c r="F69" s="83" t="s">
        <v>549</v>
      </c>
      <c r="G69" s="88" t="s">
        <v>490</v>
      </c>
      <c r="H69" s="86">
        <v>1295.3</v>
      </c>
      <c r="I69" s="83">
        <v>898.7</v>
      </c>
    </row>
    <row r="70" spans="1:9" ht="18" x14ac:dyDescent="0.2">
      <c r="A70" s="169" t="s">
        <v>317</v>
      </c>
      <c r="B70" s="84" t="s">
        <v>481</v>
      </c>
      <c r="C70" s="85">
        <v>11.8</v>
      </c>
      <c r="D70" s="85">
        <v>51.5</v>
      </c>
      <c r="E70" s="302">
        <v>0.4</v>
      </c>
      <c r="F70" s="83" t="s">
        <v>550</v>
      </c>
      <c r="G70" s="88" t="s">
        <v>490</v>
      </c>
      <c r="H70" s="86">
        <v>1346.8</v>
      </c>
      <c r="I70" s="83">
        <v>845.2</v>
      </c>
    </row>
    <row r="71" spans="1:9" ht="18" x14ac:dyDescent="0.2">
      <c r="A71" s="170" t="s">
        <v>318</v>
      </c>
      <c r="B71" s="84" t="s">
        <v>481</v>
      </c>
      <c r="C71" s="85">
        <v>15</v>
      </c>
      <c r="D71" s="85">
        <v>11.8</v>
      </c>
      <c r="E71" s="305">
        <v>2.4</v>
      </c>
      <c r="F71" s="83" t="s">
        <v>551</v>
      </c>
      <c r="G71" s="88" t="s">
        <v>490</v>
      </c>
      <c r="H71" s="86">
        <v>1358.6</v>
      </c>
      <c r="I71" s="83">
        <v>833.4</v>
      </c>
    </row>
    <row r="72" spans="1:9" ht="18" x14ac:dyDescent="0.2">
      <c r="A72" s="169" t="s">
        <v>552</v>
      </c>
      <c r="B72" s="84" t="s">
        <v>481</v>
      </c>
      <c r="C72" s="85">
        <v>31.2</v>
      </c>
      <c r="D72" s="85">
        <v>15</v>
      </c>
      <c r="E72" s="302">
        <v>2</v>
      </c>
      <c r="F72" s="83" t="s">
        <v>514</v>
      </c>
      <c r="G72" s="88" t="s">
        <v>490</v>
      </c>
      <c r="H72" s="86">
        <v>1373.7</v>
      </c>
      <c r="I72" s="83">
        <v>818.3</v>
      </c>
    </row>
    <row r="73" spans="1:9" ht="18" x14ac:dyDescent="0.2">
      <c r="A73" s="169" t="s">
        <v>553</v>
      </c>
      <c r="B73" s="84" t="s">
        <v>481</v>
      </c>
      <c r="C73" s="85">
        <v>43.4</v>
      </c>
      <c r="D73" s="85">
        <v>31.2</v>
      </c>
      <c r="E73" s="302">
        <v>0.5</v>
      </c>
      <c r="F73" s="83" t="s">
        <v>554</v>
      </c>
      <c r="G73" s="88" t="s">
        <v>490</v>
      </c>
      <c r="H73" s="86">
        <v>1404.7</v>
      </c>
      <c r="I73" s="83">
        <v>787.3</v>
      </c>
    </row>
    <row r="74" spans="1:9" ht="18" x14ac:dyDescent="0.2">
      <c r="A74" s="170" t="s">
        <v>555</v>
      </c>
      <c r="B74" s="84" t="s">
        <v>481</v>
      </c>
      <c r="C74" s="85">
        <v>20.8</v>
      </c>
      <c r="D74" s="85">
        <v>43.4</v>
      </c>
      <c r="E74" s="305">
        <v>3.1</v>
      </c>
      <c r="F74" s="83" t="s">
        <v>556</v>
      </c>
      <c r="G74" s="88" t="s">
        <v>490</v>
      </c>
      <c r="H74" s="86">
        <v>1448.2</v>
      </c>
      <c r="I74" s="83">
        <v>743.8</v>
      </c>
    </row>
    <row r="75" spans="1:9" ht="18" x14ac:dyDescent="0.2">
      <c r="A75" s="162"/>
      <c r="B75" s="158"/>
      <c r="C75" s="159"/>
      <c r="D75" s="159"/>
      <c r="E75" s="159"/>
      <c r="F75" s="160"/>
      <c r="G75" s="157"/>
      <c r="H75" s="161"/>
      <c r="I75" s="160"/>
    </row>
    <row r="76" spans="1:9" ht="18" x14ac:dyDescent="0.2">
      <c r="A76" s="162"/>
      <c r="B76" s="158"/>
      <c r="C76" s="159"/>
      <c r="D76" s="159"/>
      <c r="E76" s="159"/>
      <c r="F76" s="160"/>
      <c r="G76" s="157"/>
      <c r="H76" s="161"/>
      <c r="I76" s="160"/>
    </row>
    <row r="77" spans="1:9" ht="18" x14ac:dyDescent="0.2">
      <c r="A77" s="162"/>
      <c r="B77" s="158"/>
      <c r="C77" s="159"/>
      <c r="D77" s="159"/>
      <c r="E77" s="159"/>
      <c r="F77" s="160"/>
      <c r="G77" s="157"/>
      <c r="H77" s="161"/>
      <c r="I77" s="160"/>
    </row>
    <row r="78" spans="1:9" x14ac:dyDescent="0.2">
      <c r="A78" s="80" t="s">
        <v>557</v>
      </c>
    </row>
    <row r="79" spans="1:9" ht="18" customHeight="1" x14ac:dyDescent="0.2">
      <c r="A79" s="184" t="s">
        <v>470</v>
      </c>
      <c r="B79" s="174" t="s">
        <v>471</v>
      </c>
      <c r="C79" s="81" t="s">
        <v>472</v>
      </c>
      <c r="D79" s="81" t="s">
        <v>472</v>
      </c>
      <c r="E79" s="186" t="s">
        <v>475</v>
      </c>
      <c r="F79" s="188" t="s">
        <v>476</v>
      </c>
      <c r="G79" s="174" t="s">
        <v>477</v>
      </c>
      <c r="H79" s="174" t="s">
        <v>478</v>
      </c>
      <c r="I79" s="174" t="s">
        <v>479</v>
      </c>
    </row>
    <row r="80" spans="1:9" ht="18" x14ac:dyDescent="0.2">
      <c r="A80" s="185"/>
      <c r="B80" s="175"/>
      <c r="C80" s="82" t="s">
        <v>473</v>
      </c>
      <c r="D80" s="82" t="s">
        <v>474</v>
      </c>
      <c r="E80" s="187"/>
      <c r="F80" s="189"/>
      <c r="G80" s="175"/>
      <c r="H80" s="175"/>
      <c r="I80" s="175"/>
    </row>
    <row r="81" spans="1:9" ht="18" x14ac:dyDescent="0.2">
      <c r="A81" s="169" t="s">
        <v>352</v>
      </c>
      <c r="B81" s="84" t="s">
        <v>481</v>
      </c>
      <c r="C81" s="85">
        <v>32.5</v>
      </c>
      <c r="D81" s="85">
        <v>20.8</v>
      </c>
      <c r="E81" s="302">
        <v>0.8</v>
      </c>
      <c r="F81" s="83" t="s">
        <v>531</v>
      </c>
      <c r="G81" s="88" t="s">
        <v>490</v>
      </c>
      <c r="H81" s="86">
        <v>1469</v>
      </c>
      <c r="I81" s="83">
        <v>723</v>
      </c>
    </row>
    <row r="82" spans="1:9" ht="18" x14ac:dyDescent="0.2">
      <c r="A82" s="169" t="s">
        <v>558</v>
      </c>
      <c r="B82" s="84" t="s">
        <v>481</v>
      </c>
      <c r="C82" s="85">
        <v>22.4</v>
      </c>
      <c r="D82" s="85">
        <v>32.5</v>
      </c>
      <c r="E82" s="302">
        <v>0.4</v>
      </c>
      <c r="F82" s="83" t="s">
        <v>559</v>
      </c>
      <c r="G82" s="88" t="s">
        <v>490</v>
      </c>
      <c r="H82" s="86">
        <v>1501.5</v>
      </c>
      <c r="I82" s="83">
        <v>690.5</v>
      </c>
    </row>
    <row r="83" spans="1:9" ht="18" x14ac:dyDescent="0.2">
      <c r="A83" s="169" t="s">
        <v>560</v>
      </c>
      <c r="B83" s="84" t="s">
        <v>481</v>
      </c>
      <c r="C83" s="85">
        <v>18.399999999999999</v>
      </c>
      <c r="D83" s="85">
        <v>22.4</v>
      </c>
      <c r="E83" s="302">
        <v>1.8</v>
      </c>
      <c r="F83" s="88" t="s">
        <v>493</v>
      </c>
      <c r="G83" s="88" t="s">
        <v>490</v>
      </c>
      <c r="H83" s="86">
        <v>1522.8</v>
      </c>
      <c r="I83" s="83">
        <v>669.2</v>
      </c>
    </row>
    <row r="84" spans="1:9" ht="18" x14ac:dyDescent="0.2">
      <c r="A84" s="169" t="s">
        <v>561</v>
      </c>
      <c r="B84" s="84" t="s">
        <v>481</v>
      </c>
      <c r="C84" s="85">
        <v>27.7</v>
      </c>
      <c r="D84" s="85">
        <v>18.399999999999999</v>
      </c>
      <c r="E84" s="302">
        <v>0.6</v>
      </c>
      <c r="F84" s="83" t="s">
        <v>554</v>
      </c>
      <c r="G84" s="88" t="s">
        <v>490</v>
      </c>
      <c r="H84" s="86">
        <v>1542.2</v>
      </c>
      <c r="I84" s="83">
        <v>649.79999999999995</v>
      </c>
    </row>
    <row r="85" spans="1:9" ht="18" x14ac:dyDescent="0.2">
      <c r="A85" s="304" t="s">
        <v>562</v>
      </c>
      <c r="B85" s="84" t="s">
        <v>481</v>
      </c>
      <c r="C85" s="85">
        <v>9</v>
      </c>
      <c r="D85" s="85">
        <v>27.7</v>
      </c>
      <c r="E85" s="303">
        <v>0</v>
      </c>
      <c r="F85" s="83" t="s">
        <v>563</v>
      </c>
      <c r="G85" s="88" t="s">
        <v>490</v>
      </c>
      <c r="H85" s="86">
        <v>1570.2</v>
      </c>
      <c r="I85" s="83">
        <v>620.79999999999995</v>
      </c>
    </row>
    <row r="86" spans="1:9" ht="18" x14ac:dyDescent="0.2">
      <c r="A86" s="304" t="s">
        <v>564</v>
      </c>
      <c r="B86" s="84" t="s">
        <v>535</v>
      </c>
      <c r="C86" s="85">
        <v>32.9</v>
      </c>
      <c r="D86" s="85">
        <v>9</v>
      </c>
      <c r="E86" s="303">
        <v>0</v>
      </c>
      <c r="F86" s="83" t="s">
        <v>565</v>
      </c>
      <c r="G86" s="88" t="s">
        <v>490</v>
      </c>
      <c r="H86" s="86">
        <v>1579.9</v>
      </c>
      <c r="I86" s="83">
        <v>612.1</v>
      </c>
    </row>
    <row r="87" spans="1:9" ht="18" x14ac:dyDescent="0.2">
      <c r="A87" s="170" t="s">
        <v>566</v>
      </c>
      <c r="B87" s="84" t="s">
        <v>535</v>
      </c>
      <c r="C87" s="85">
        <v>18.399999999999999</v>
      </c>
      <c r="D87" s="85">
        <v>25.5</v>
      </c>
      <c r="E87" s="305">
        <v>2.6</v>
      </c>
      <c r="F87" s="83" t="s">
        <v>565</v>
      </c>
      <c r="G87" s="88" t="s">
        <v>490</v>
      </c>
      <c r="H87" s="86">
        <v>1594.4</v>
      </c>
      <c r="I87" s="83">
        <v>597.6</v>
      </c>
    </row>
    <row r="88" spans="1:9" ht="18" x14ac:dyDescent="0.2">
      <c r="A88" s="170" t="s">
        <v>567</v>
      </c>
      <c r="B88" s="84" t="s">
        <v>481</v>
      </c>
      <c r="C88" s="85">
        <v>40.1</v>
      </c>
      <c r="D88" s="85">
        <v>32.9</v>
      </c>
      <c r="E88" s="305">
        <v>5</v>
      </c>
      <c r="F88" s="83" t="s">
        <v>531</v>
      </c>
      <c r="G88" s="88" t="s">
        <v>490</v>
      </c>
      <c r="H88" s="86">
        <v>1612.8</v>
      </c>
      <c r="I88" s="83">
        <v>579.20000000000005</v>
      </c>
    </row>
    <row r="89" spans="1:9" ht="18" x14ac:dyDescent="0.2">
      <c r="A89" s="88" t="s">
        <v>351</v>
      </c>
      <c r="B89" s="84" t="s">
        <v>481</v>
      </c>
      <c r="C89" s="85">
        <v>49.8</v>
      </c>
      <c r="D89" s="85">
        <v>40.1</v>
      </c>
      <c r="E89" s="85">
        <v>5.8</v>
      </c>
      <c r="F89" s="83" t="s">
        <v>568</v>
      </c>
      <c r="G89" s="88" t="s">
        <v>490</v>
      </c>
      <c r="H89" s="86">
        <v>1652.9</v>
      </c>
      <c r="I89" s="83">
        <v>539.1</v>
      </c>
    </row>
    <row r="90" spans="1:9" ht="18" x14ac:dyDescent="0.2">
      <c r="A90" s="88" t="s">
        <v>569</v>
      </c>
      <c r="B90" s="84" t="s">
        <v>481</v>
      </c>
      <c r="C90" s="85">
        <v>46.1</v>
      </c>
      <c r="D90" s="85">
        <v>49.8</v>
      </c>
      <c r="E90" s="85">
        <v>8.9</v>
      </c>
      <c r="F90" s="83" t="s">
        <v>570</v>
      </c>
      <c r="G90" s="88" t="s">
        <v>490</v>
      </c>
      <c r="H90" s="86">
        <v>1703</v>
      </c>
      <c r="I90" s="83">
        <v>489</v>
      </c>
    </row>
    <row r="91" spans="1:9" ht="18" x14ac:dyDescent="0.2">
      <c r="A91" s="88" t="s">
        <v>452</v>
      </c>
      <c r="B91" s="84" t="s">
        <v>481</v>
      </c>
      <c r="C91" s="85">
        <v>43.3</v>
      </c>
      <c r="D91" s="85">
        <v>46.1</v>
      </c>
      <c r="E91" s="85">
        <v>0</v>
      </c>
      <c r="F91" s="83" t="s">
        <v>531</v>
      </c>
      <c r="G91" s="88" t="s">
        <v>490</v>
      </c>
      <c r="H91" s="86">
        <v>1750.8</v>
      </c>
      <c r="I91" s="83">
        <v>442.2</v>
      </c>
    </row>
    <row r="92" spans="1:9" ht="18" x14ac:dyDescent="0.2">
      <c r="A92" s="169" t="s">
        <v>319</v>
      </c>
      <c r="B92" s="84" t="s">
        <v>481</v>
      </c>
      <c r="C92" s="85">
        <v>25.8</v>
      </c>
      <c r="D92" s="85">
        <v>43.3</v>
      </c>
      <c r="E92" s="302">
        <v>0.4</v>
      </c>
      <c r="F92" s="88" t="s">
        <v>571</v>
      </c>
      <c r="G92" s="88" t="s">
        <v>490</v>
      </c>
      <c r="H92" s="86">
        <v>1794.1</v>
      </c>
      <c r="I92" s="83">
        <v>398.9</v>
      </c>
    </row>
    <row r="93" spans="1:9" ht="18" x14ac:dyDescent="0.2">
      <c r="A93" s="88" t="s">
        <v>320</v>
      </c>
      <c r="B93" s="84" t="s">
        <v>481</v>
      </c>
      <c r="C93" s="85">
        <v>74.8</v>
      </c>
      <c r="D93" s="85">
        <v>25.8</v>
      </c>
      <c r="E93" s="85">
        <v>5.8</v>
      </c>
      <c r="F93" s="83" t="s">
        <v>572</v>
      </c>
      <c r="G93" s="88" t="s">
        <v>490</v>
      </c>
      <c r="H93" s="86">
        <v>1819.9</v>
      </c>
      <c r="I93" s="83">
        <v>373.1</v>
      </c>
    </row>
    <row r="94" spans="1:9" ht="18" x14ac:dyDescent="0.2">
      <c r="A94" s="304" t="s">
        <v>321</v>
      </c>
      <c r="B94" s="84" t="s">
        <v>481</v>
      </c>
      <c r="C94" s="85">
        <v>41.4</v>
      </c>
      <c r="D94" s="85">
        <v>74.8</v>
      </c>
      <c r="E94" s="303">
        <v>3.6</v>
      </c>
      <c r="F94" s="88" t="s">
        <v>573</v>
      </c>
      <c r="G94" s="88" t="s">
        <v>490</v>
      </c>
      <c r="H94" s="86">
        <v>1894.7</v>
      </c>
      <c r="I94" s="83">
        <v>298.3</v>
      </c>
    </row>
    <row r="95" spans="1:9" ht="18" x14ac:dyDescent="0.2">
      <c r="A95" s="88" t="s">
        <v>322</v>
      </c>
      <c r="B95" s="84" t="s">
        <v>535</v>
      </c>
      <c r="C95" s="85">
        <v>36.5</v>
      </c>
      <c r="D95" s="85">
        <v>41.4</v>
      </c>
      <c r="E95" s="85">
        <v>8</v>
      </c>
      <c r="F95" s="88" t="s">
        <v>574</v>
      </c>
      <c r="G95" s="88" t="s">
        <v>490</v>
      </c>
      <c r="H95" s="86">
        <v>1936.1</v>
      </c>
      <c r="I95" s="83">
        <v>256.89999999999998</v>
      </c>
    </row>
    <row r="96" spans="1:9" ht="18" x14ac:dyDescent="0.2">
      <c r="A96" s="88" t="s">
        <v>323</v>
      </c>
      <c r="B96" s="84" t="s">
        <v>535</v>
      </c>
      <c r="C96" s="85">
        <v>32.200000000000003</v>
      </c>
      <c r="D96" s="85">
        <v>36.5</v>
      </c>
      <c r="E96" s="85">
        <v>11</v>
      </c>
      <c r="F96" s="83" t="s">
        <v>531</v>
      </c>
      <c r="G96" s="88" t="s">
        <v>490</v>
      </c>
      <c r="H96" s="86">
        <v>1972.6</v>
      </c>
      <c r="I96" s="83">
        <v>220.4</v>
      </c>
    </row>
    <row r="97" spans="1:9" ht="18" x14ac:dyDescent="0.2">
      <c r="A97" s="170" t="s">
        <v>324</v>
      </c>
      <c r="B97" s="84" t="s">
        <v>575</v>
      </c>
      <c r="C97" s="85">
        <v>37</v>
      </c>
      <c r="D97" s="85">
        <v>32.200000000000003</v>
      </c>
      <c r="E97" s="305">
        <v>5</v>
      </c>
      <c r="F97" s="88" t="s">
        <v>574</v>
      </c>
      <c r="G97" s="88" t="s">
        <v>490</v>
      </c>
      <c r="H97" s="86">
        <v>2003.7</v>
      </c>
      <c r="I97" s="83">
        <v>189.3</v>
      </c>
    </row>
    <row r="98" spans="1:9" ht="18" x14ac:dyDescent="0.2">
      <c r="A98" s="169" t="s">
        <v>576</v>
      </c>
      <c r="B98" s="84" t="s">
        <v>481</v>
      </c>
      <c r="C98" s="85">
        <v>36.700000000000003</v>
      </c>
      <c r="D98" s="85">
        <v>37</v>
      </c>
      <c r="E98" s="302">
        <v>0.3</v>
      </c>
      <c r="F98" s="88" t="s">
        <v>577</v>
      </c>
      <c r="G98" s="88" t="s">
        <v>490</v>
      </c>
      <c r="H98" s="86">
        <v>2041.8</v>
      </c>
      <c r="I98" s="83">
        <v>151.19999999999999</v>
      </c>
    </row>
    <row r="99" spans="1:9" ht="18" x14ac:dyDescent="0.2">
      <c r="A99" s="304" t="s">
        <v>325</v>
      </c>
      <c r="B99" s="84" t="s">
        <v>481</v>
      </c>
      <c r="C99" s="85">
        <v>114.5</v>
      </c>
      <c r="D99" s="85">
        <v>36.700000000000003</v>
      </c>
      <c r="E99" s="303">
        <v>4</v>
      </c>
      <c r="F99" s="88" t="s">
        <v>578</v>
      </c>
      <c r="G99" s="88" t="s">
        <v>490</v>
      </c>
      <c r="H99" s="86">
        <v>2078.5</v>
      </c>
      <c r="I99" s="83">
        <v>114.5</v>
      </c>
    </row>
    <row r="100" spans="1:9" ht="18" x14ac:dyDescent="0.2">
      <c r="A100" s="83" t="s">
        <v>579</v>
      </c>
      <c r="B100" s="84" t="s">
        <v>481</v>
      </c>
      <c r="C100" s="85" t="s">
        <v>482</v>
      </c>
      <c r="D100" s="85">
        <v>114.5</v>
      </c>
      <c r="E100" s="93" t="s">
        <v>483</v>
      </c>
      <c r="F100" s="83"/>
      <c r="G100" s="83"/>
      <c r="H100" s="94">
        <v>2193</v>
      </c>
      <c r="I100" s="83">
        <v>0</v>
      </c>
    </row>
    <row r="102" spans="1:9" ht="18" x14ac:dyDescent="0.2">
      <c r="A102" s="95"/>
    </row>
    <row r="103" spans="1:9" x14ac:dyDescent="0.2">
      <c r="A103" s="79"/>
    </row>
    <row r="104" spans="1:9" ht="18" x14ac:dyDescent="0.2">
      <c r="A104" s="95"/>
    </row>
    <row r="106" spans="1:9" ht="27" customHeight="1" x14ac:dyDescent="0.2"/>
    <row r="124" ht="54" customHeight="1" x14ac:dyDescent="0.2"/>
    <row r="125" ht="90" customHeight="1" x14ac:dyDescent="0.2"/>
  </sheetData>
  <mergeCells count="31">
    <mergeCell ref="A1:B1"/>
    <mergeCell ref="A17:B17"/>
    <mergeCell ref="A18:B18"/>
    <mergeCell ref="I60:I61"/>
    <mergeCell ref="A79:A80"/>
    <mergeCell ref="B79:B80"/>
    <mergeCell ref="E79:E80"/>
    <mergeCell ref="F79:F80"/>
    <mergeCell ref="G79:G80"/>
    <mergeCell ref="H79:H80"/>
    <mergeCell ref="I79:I80"/>
    <mergeCell ref="A60:A61"/>
    <mergeCell ref="B60:B61"/>
    <mergeCell ref="E60:E61"/>
    <mergeCell ref="F60:F61"/>
    <mergeCell ref="G60:G61"/>
    <mergeCell ref="H60:H61"/>
    <mergeCell ref="I22:I23"/>
    <mergeCell ref="A40:A41"/>
    <mergeCell ref="B40:B41"/>
    <mergeCell ref="E40:E41"/>
    <mergeCell ref="F40:F41"/>
    <mergeCell ref="G40:G41"/>
    <mergeCell ref="H40:H41"/>
    <mergeCell ref="I40:I41"/>
    <mergeCell ref="A22:A23"/>
    <mergeCell ref="B22:B23"/>
    <mergeCell ref="E22:E23"/>
    <mergeCell ref="F22:F23"/>
    <mergeCell ref="G22:G23"/>
    <mergeCell ref="H22:H23"/>
  </mergeCells>
  <hyperlinks>
    <hyperlink ref="F22" r:id="rId1" location="Legend" tooltip="Legend" display="https://aldha.org/labels/at - Legend" xr:uid="{00000000-0004-0000-0300-000000000000}"/>
    <hyperlink ref="G25" r:id="rId2" display="http://tinyurl.com/cuoke8r" xr:uid="{00000000-0004-0000-0300-000001000000}"/>
    <hyperlink ref="G26" r:id="rId3" display="http://tinyurl.com/axsdpqy" xr:uid="{00000000-0004-0000-0300-000002000000}"/>
    <hyperlink ref="F27" r:id="rId4" location="Hostels" tooltip="Hiawassee Budget Inn" display="https://aldha.org/labels/at - Hostels" xr:uid="{00000000-0004-0000-0300-000003000000}"/>
    <hyperlink ref="G27" r:id="rId5" display="http://tinyurl.com/cbbeh8u" xr:uid="{00000000-0004-0000-0300-000004000000}"/>
    <hyperlink ref="A28" r:id="rId6" display="javascript:MailingLabel('4')" xr:uid="{00000000-0004-0000-0300-000005000000}"/>
    <hyperlink ref="B28" r:id="rId7" display="http://aprilfoolstraildays.com/" xr:uid="{00000000-0004-0000-0300-000006000000}"/>
    <hyperlink ref="F28" r:id="rId8" location="Hostels" tooltip="Jack Tarlin Hostel, Gooder Grove Hostel" display="https://aldha.org/labels/at - Hostels" xr:uid="{00000000-0004-0000-0300-000007000000}"/>
    <hyperlink ref="G28" r:id="rId9" display="http://tinyurl.com/cgvfysx" xr:uid="{00000000-0004-0000-0300-000008000000}"/>
    <hyperlink ref="A29" r:id="rId10" display="javascript:MailingLabel('5')" xr:uid="{00000000-0004-0000-0300-000009000000}"/>
    <hyperlink ref="B29" r:id="rId11" display="http://brysoncity.northcarolina.com/" xr:uid="{00000000-0004-0000-0300-00000A000000}"/>
    <hyperlink ref="F29" r:id="rId12" location="Hostels" tooltip="Nantahala Outdoor Center" display="https://aldha.org/labels/at - Hostels" xr:uid="{00000000-0004-0000-0300-00000B000000}"/>
    <hyperlink ref="G29" r:id="rId13" display="http://tinyurl.com/aw78644" xr:uid="{00000000-0004-0000-0300-00000C000000}"/>
    <hyperlink ref="A30" r:id="rId14" display="javascript:MailingLabel('6')" xr:uid="{00000000-0004-0000-0300-00000D000000}"/>
    <hyperlink ref="B30" r:id="rId15" display="http://www.fontanavillage.com/" xr:uid="{00000000-0004-0000-0300-00000E000000}"/>
    <hyperlink ref="G30" r:id="rId16" display="http://tinyurl.com/ae9esn5" xr:uid="{00000000-0004-0000-0300-00000F000000}"/>
    <hyperlink ref="A31" r:id="rId17" display="javascript:MailingLabel('7')" xr:uid="{00000000-0004-0000-0300-000010000000}"/>
    <hyperlink ref="B31" r:id="rId18" display="http://www.gatlinburg.com/" xr:uid="{00000000-0004-0000-0300-000011000000}"/>
    <hyperlink ref="F31" r:id="rId19" location="Hostels" tooltip="The Appy Lodge" display="https://aldha.org/labels/at - Hostels" xr:uid="{00000000-0004-0000-0300-000012000000}"/>
    <hyperlink ref="G31" r:id="rId20" display="http://tinyurl.com/ae9esn5" xr:uid="{00000000-0004-0000-0300-000013000000}"/>
    <hyperlink ref="A32" r:id="rId21" display="javascript:MailingLabel('8')" xr:uid="{00000000-0004-0000-0300-000014000000}"/>
    <hyperlink ref="B32" r:id="rId22" display="http://www.hotspringsnc.org/" xr:uid="{00000000-0004-0000-0300-000015000000}"/>
    <hyperlink ref="G32" r:id="rId23" display="http://tinyurl.com/d9plbbd" xr:uid="{00000000-0004-0000-0300-000016000000}"/>
    <hyperlink ref="A33" r:id="rId24" display="javascript:MailingLabel('9')" xr:uid="{00000000-0004-0000-0300-000017000000}"/>
    <hyperlink ref="B33" r:id="rId25" display="http://en.wikipedia.org/wiki/Erwin,_TN" xr:uid="{00000000-0004-0000-0300-000018000000}"/>
    <hyperlink ref="F33" r:id="rId26" location="Hostels" tooltip="Nolichucky Hostel" display="https://aldha.org/labels/at - Hostels" xr:uid="{00000000-0004-0000-0300-000019000000}"/>
    <hyperlink ref="G33" r:id="rId27" display="http://tinyurl.com/ajzokcx" xr:uid="{00000000-0004-0000-0300-00001A000000}"/>
    <hyperlink ref="A34" r:id="rId28" display="javascript:MailingLabel('10')" xr:uid="{00000000-0004-0000-0300-00001B000000}"/>
    <hyperlink ref="B34" r:id="rId29" display="http://www.roanmountain.com/" xr:uid="{00000000-0004-0000-0300-00001C000000}"/>
    <hyperlink ref="F34" r:id="rId30" location="Hostels" tooltip="Mountain Harbour B&amp;B and Hostel" display="https://aldha.org/labels/at - Hostels" xr:uid="{00000000-0004-0000-0300-00001D000000}"/>
    <hyperlink ref="G34" r:id="rId31" display="http://tinyurl.com/d567j6f" xr:uid="{00000000-0004-0000-0300-00001E000000}"/>
    <hyperlink ref="A35" r:id="rId32" display="javascript:MailingLabel('11')" xr:uid="{00000000-0004-0000-0300-00001F000000}"/>
    <hyperlink ref="B35" r:id="rId33" display="http://en.wikipedia.org/wiki/Elk_Park,_North_Carolina" xr:uid="{00000000-0004-0000-0300-000020000000}"/>
    <hyperlink ref="G35" r:id="rId34" display="http://tinyurl.com/ay93jch" xr:uid="{00000000-0004-0000-0300-000021000000}"/>
    <hyperlink ref="A36" r:id="rId35" display="javascript:MailingLabel('12')" xr:uid="{00000000-0004-0000-0300-000022000000}"/>
    <hyperlink ref="B36" r:id="rId36" display="http://en.wikipedia.org/wiki/Hampton,_Tennessee" xr:uid="{00000000-0004-0000-0300-000023000000}"/>
    <hyperlink ref="F36" r:id="rId37" location="Hostels" tooltip="Kincora Hostel and Black Bear Resort" display="https://aldha.org/labels/at - Hostels" xr:uid="{00000000-0004-0000-0300-000024000000}"/>
    <hyperlink ref="G36" r:id="rId38" display="http://tinyurl.com/b3xvghp" xr:uid="{00000000-0004-0000-0300-000025000000}"/>
    <hyperlink ref="A37" r:id="rId39" display="javascript:MailingLabel('13')" xr:uid="{00000000-0004-0000-0300-000026000000}"/>
    <hyperlink ref="B37" r:id="rId40" display="http://en.wikipedia.org/wiki/Shady_Valley,_Tennessee" xr:uid="{00000000-0004-0000-0300-000027000000}"/>
    <hyperlink ref="G37" r:id="rId41" display="http://tinyurl.com/apnyg7l" xr:uid="{00000000-0004-0000-0300-000028000000}"/>
    <hyperlink ref="A39" r:id="rId42" location="HostelV" tooltip="Hostels, Lodging &amp; Drops" display="https://aldha.org/labels/at - HostelV" xr:uid="{00000000-0004-0000-0300-000029000000}"/>
    <hyperlink ref="F40" r:id="rId43" location="Legend" tooltip="Legend" display="https://aldha.org/labels/at - Legend" xr:uid="{00000000-0004-0000-0300-00002A000000}"/>
    <hyperlink ref="A42" r:id="rId44" display="javascript:MailingLabel('14')" xr:uid="{00000000-0004-0000-0300-00002B000000}"/>
    <hyperlink ref="B42" r:id="rId45" display="http://www.traildays.us/" xr:uid="{00000000-0004-0000-0300-00002C000000}"/>
    <hyperlink ref="G42" r:id="rId46" display="http://tinyurl.com/cfjuctz" xr:uid="{00000000-0004-0000-0300-00002D000000}"/>
    <hyperlink ref="A43" r:id="rId47" display="javascript:MailingLabel('15')" xr:uid="{00000000-0004-0000-0300-00002E000000}"/>
    <hyperlink ref="B43" r:id="rId48" tooltip="Brooks Lake Lodge" display="http://en.wikipedia.org/wiki/Troutdale,_Virginia" xr:uid="{00000000-0004-0000-0300-00002F000000}"/>
    <hyperlink ref="G43" r:id="rId49" display="http://tinyurl.com/alh4b53" xr:uid="{00000000-0004-0000-0300-000030000000}"/>
    <hyperlink ref="A44" r:id="rId50" display="javascript:MailingLabel('16')" xr:uid="{00000000-0004-0000-0300-000031000000}"/>
    <hyperlink ref="B44" r:id="rId51" display="http://en.wikipedia.org/wiki/Atkins,_Virginia" xr:uid="{00000000-0004-0000-0300-000032000000}"/>
    <hyperlink ref="G44" r:id="rId52" display="http://tinyurl.com/byy8rnx" xr:uid="{00000000-0004-0000-0300-000033000000}"/>
    <hyperlink ref="A45" r:id="rId53" display="javascript:MailingLabel('17')" xr:uid="{00000000-0004-0000-0300-000034000000}"/>
    <hyperlink ref="B45" r:id="rId54" display="https://en.wikipedia.org/wiki/Bland,_Virginia" xr:uid="{00000000-0004-0000-0300-000035000000}"/>
    <hyperlink ref="G45" r:id="rId55" display="http://tinyurl.com/b2ozmyp" xr:uid="{00000000-0004-0000-0300-000036000000}"/>
    <hyperlink ref="A46" r:id="rId56" display="javascript:MailingLabel('18')" xr:uid="{00000000-0004-0000-0300-000037000000}"/>
    <hyperlink ref="B46" r:id="rId57" display="http://www.pearisburg.org/" xr:uid="{00000000-0004-0000-0300-000038000000}"/>
    <hyperlink ref="G46" r:id="rId58" display="http://tinyurl.com/aekke5k" xr:uid="{00000000-0004-0000-0300-000039000000}"/>
    <hyperlink ref="A47" r:id="rId59" display="javascript:MailingLabel('19')" xr:uid="{00000000-0004-0000-0300-00003A000000}"/>
    <hyperlink ref="B47" r:id="rId60" display="http://en.wikipedia.org/wiki/Catawba,_Virginia" xr:uid="{00000000-0004-0000-0300-00003B000000}"/>
    <hyperlink ref="F47" r:id="rId61" location="HostelV" tooltip="Four Pines Hostel" display="https://aldha.org/labels/at - HostelV" xr:uid="{00000000-0004-0000-0300-00003C000000}"/>
    <hyperlink ref="G47" r:id="rId62" display="http://tinyurl.com/avauxmx" xr:uid="{00000000-0004-0000-0300-00003D000000}"/>
    <hyperlink ref="A48" r:id="rId63" display="javascript:MailingLabel('20')" xr:uid="{00000000-0004-0000-0300-00003E000000}"/>
    <hyperlink ref="B48" r:id="rId64" display="http://daleville.virginia.com/" xr:uid="{00000000-0004-0000-0300-00003F000000}"/>
    <hyperlink ref="F48" r:id="rId65" location="HostelV" tooltip="Howard Johnsons Express Inn" display="https://aldha.org/labels/at - HostelV" xr:uid="{00000000-0004-0000-0300-000040000000}"/>
    <hyperlink ref="G48" r:id="rId66" display="http://tinyurl.com/ckzt3to" xr:uid="{00000000-0004-0000-0300-000041000000}"/>
    <hyperlink ref="A49" r:id="rId67" display="javascript:MailingLabel('21')" xr:uid="{00000000-0004-0000-0300-000042000000}"/>
    <hyperlink ref="B49" r:id="rId68" display="http://en.wikipedia.org/wiki/Troutville,_Virginia" xr:uid="{00000000-0004-0000-0300-000043000000}"/>
    <hyperlink ref="F49" r:id="rId69" location="HostelV" tooltip="Comfort Inn" display="https://aldha.org/labels/at - HostelV" xr:uid="{00000000-0004-0000-0300-000044000000}"/>
    <hyperlink ref="G49" r:id="rId70" display="http://tinyurl.com/ak9t92o" xr:uid="{00000000-0004-0000-0300-000045000000}"/>
    <hyperlink ref="A50" r:id="rId71" display="javascript:MailingLabel('22')" xr:uid="{00000000-0004-0000-0300-000046000000}"/>
    <hyperlink ref="B50" r:id="rId72" display="http://www.virginia.org/Cities/BigIsland/" xr:uid="{00000000-0004-0000-0300-000047000000}"/>
    <hyperlink ref="G50" r:id="rId73" display="http://tinyurl.com/ax9qqck" xr:uid="{00000000-0004-0000-0300-000048000000}"/>
    <hyperlink ref="A51" r:id="rId74" display="javascript:MailingLabel('22a')" xr:uid="{00000000-0004-0000-0300-000049000000}"/>
    <hyperlink ref="B51" r:id="rId75" display="http://en.wikipedia.org/wiki/Glasgow,_Virginia" xr:uid="{00000000-0004-0000-0300-00004A000000}"/>
    <hyperlink ref="G51" r:id="rId76" display="http://tinyurl.com/aczqc9g" xr:uid="{00000000-0004-0000-0300-00004B000000}"/>
    <hyperlink ref="A52" r:id="rId77" display="javascript:MailingLabel('22b')" xr:uid="{00000000-0004-0000-0300-00004C000000}"/>
    <hyperlink ref="B52" r:id="rId78" display="http://www.virginia.org/Cities/BuenaVista/" xr:uid="{00000000-0004-0000-0300-00004D000000}"/>
    <hyperlink ref="G52" r:id="rId79" display="http://tinyurl.com/cy5duaw" xr:uid="{00000000-0004-0000-0300-00004E000000}"/>
    <hyperlink ref="A53" r:id="rId80" display="javascript:MailingLabel('22c')" xr:uid="{00000000-0004-0000-0300-00004F000000}"/>
    <hyperlink ref="B53" r:id="rId81" display="http://www.montebellova.com/" xr:uid="{00000000-0004-0000-0300-000050000000}"/>
    <hyperlink ref="G53" r:id="rId82" display="http://tinyurl.com/akob37s" xr:uid="{00000000-0004-0000-0300-000051000000}"/>
    <hyperlink ref="A54" r:id="rId83" display="javascript:MailingLabel('23')" xr:uid="{00000000-0004-0000-0300-000052000000}"/>
    <hyperlink ref="B54" r:id="rId84" display="http://en.wikipedia.org/wiki/Waynesboro,_Virginia" xr:uid="{00000000-0004-0000-0300-000053000000}"/>
    <hyperlink ref="G54" r:id="rId85" display="http://tinyurl.com/cyg5avs" xr:uid="{00000000-0004-0000-0300-000054000000}"/>
    <hyperlink ref="A55" r:id="rId86" display="javascript:MailingLabel('23a')" xr:uid="{00000000-0004-0000-0300-000055000000}"/>
    <hyperlink ref="B55" r:id="rId87" display="http://www.virginia.org/Cities/Luray/" xr:uid="{00000000-0004-0000-0300-000056000000}"/>
    <hyperlink ref="G55" r:id="rId88" display="http://tinyurl.com/a9mft6c" xr:uid="{00000000-0004-0000-0300-000057000000}"/>
    <hyperlink ref="A56" r:id="rId89" display="javascript:MailingLabel('24')" xr:uid="{00000000-0004-0000-0300-000058000000}"/>
    <hyperlink ref="B56" r:id="rId90" display="http://en.wikipedia.org/wiki/Front_Royal,_Virginia" xr:uid="{00000000-0004-0000-0300-000059000000}"/>
    <hyperlink ref="F56" r:id="rId91" location="HostelV" display="https://aldha.org/labels/at - HostelV" xr:uid="{00000000-0004-0000-0300-00005A000000}"/>
    <hyperlink ref="G56" r:id="rId92" display="http://tinyurl.com/at6z2gm" xr:uid="{00000000-0004-0000-0300-00005B000000}"/>
    <hyperlink ref="A57" r:id="rId93" display="javascript:MailingLabel('24a')" xr:uid="{00000000-0004-0000-0300-00005C000000}"/>
    <hyperlink ref="B57" r:id="rId94" display="http://en.wikipedia.org/wiki/Linden,_Virginia" xr:uid="{00000000-0004-0000-0300-00005D000000}"/>
    <hyperlink ref="G57" r:id="rId95" display="http://tinyurl.com/bnbr8wn" xr:uid="{00000000-0004-0000-0300-00005E000000}"/>
    <hyperlink ref="A58" r:id="rId96" display="javascript:MailingLabel('25')" xr:uid="{00000000-0004-0000-0300-00005F000000}"/>
    <hyperlink ref="B58" r:id="rId97" display="http://en.wikipedia.org/wiki/Harpers_Ferry,_West_Virginia" xr:uid="{00000000-0004-0000-0300-000060000000}"/>
    <hyperlink ref="F58" r:id="rId98" location="HostelV" tooltip="Teahorse &amp; Harpers Ferry Hostels" display="https://aldha.org/labels/at - HostelV" xr:uid="{00000000-0004-0000-0300-000061000000}"/>
    <hyperlink ref="G58" r:id="rId99" display="http://tinyurl.com/chux2mk" xr:uid="{00000000-0004-0000-0300-000062000000}"/>
    <hyperlink ref="A59" r:id="rId100" location="HostelM" tooltip="Hostels, Lodging &amp; Drops" display="https://aldha.org/labels/at - HostelM" xr:uid="{00000000-0004-0000-0300-000063000000}"/>
    <hyperlink ref="F60" r:id="rId101" location="Legend" tooltip="Legend" display="https://aldha.org/labels/at - Legend" xr:uid="{00000000-0004-0000-0300-000064000000}"/>
    <hyperlink ref="A62" r:id="rId102" display="javascript:MailingLabel('26a')" xr:uid="{00000000-0004-0000-0300-000065000000}"/>
    <hyperlink ref="B62" r:id="rId103" display="http://www.townofsmithsburg.org/" xr:uid="{00000000-0004-0000-0300-000066000000}"/>
    <hyperlink ref="G62" r:id="rId104" display="http://tinyurl.com/d654rwg" xr:uid="{00000000-0004-0000-0300-000067000000}"/>
    <hyperlink ref="A63" r:id="rId105" display="javascript:MailingLabel('26b')" xr:uid="{00000000-0004-0000-0300-000068000000}"/>
    <hyperlink ref="B63" r:id="rId106" display="http://en.wikipedia.org/wiki/Highfield-Cascade,_Maryland" xr:uid="{00000000-0004-0000-0300-000069000000}"/>
    <hyperlink ref="G63" r:id="rId107" display="http://tinyurl.com/pc4e7qu" xr:uid="{00000000-0004-0000-0300-00006A000000}"/>
    <hyperlink ref="A64" r:id="rId108" display="javascript:MailingLabel('26')" xr:uid="{00000000-0004-0000-0300-00006B000000}"/>
    <hyperlink ref="B64" r:id="rId109" display="https://en.wikipedia.org/wiki/South_Mountain,_Pennsylvania" xr:uid="{00000000-0004-0000-0300-00006C000000}"/>
    <hyperlink ref="G64" r:id="rId110" display="http://tinyurl.com/aos5fto" xr:uid="{00000000-0004-0000-0300-00006D000000}"/>
    <hyperlink ref="A65" r:id="rId111" display="javascript:MailingLabel('27')" xr:uid="{00000000-0004-0000-0300-00006E000000}"/>
    <hyperlink ref="B65" r:id="rId112" display="http://www.boilingsprings.org/" xr:uid="{00000000-0004-0000-0300-00006F000000}"/>
    <hyperlink ref="F65" r:id="rId113" location="HostelM" tooltip="Allenberry Inn &amp;  Playhouse" display="https://aldha.org/labels/at - HostelM" xr:uid="{00000000-0004-0000-0300-000070000000}"/>
    <hyperlink ref="G65" r:id="rId114" display="http://tinyurl.com/d88glx5" xr:uid="{00000000-0004-0000-0300-000071000000}"/>
    <hyperlink ref="A66" r:id="rId115" display="javascript:MailingLabel('28')" xr:uid="{00000000-0004-0000-0300-000072000000}"/>
    <hyperlink ref="B66" r:id="rId116" display="http://en.wikipedia.org/wiki/Duncannon,_Pennsylvania" xr:uid="{00000000-0004-0000-0300-000073000000}"/>
    <hyperlink ref="F66" r:id="rId117" location="HostelM" tooltip="The Doyle Hotel" display="https://aldha.org/labels/at - HostelM" xr:uid="{00000000-0004-0000-0300-000074000000}"/>
    <hyperlink ref="G66" r:id="rId118" display="http://tinyurl.com/b9r8eyy" xr:uid="{00000000-0004-0000-0300-000075000000}"/>
    <hyperlink ref="A67" r:id="rId119" display="javascript:MailingLabel('29')" xr:uid="{00000000-0004-0000-0300-000076000000}"/>
    <hyperlink ref="B67" r:id="rId120" display="http://en.wikipedia.org/wiki/Port_Clinton,_Pennsylvania" xr:uid="{00000000-0004-0000-0300-000077000000}"/>
    <hyperlink ref="G67" r:id="rId121" display="http://tinyurl.com/ax46bsc" xr:uid="{00000000-0004-0000-0300-000078000000}"/>
    <hyperlink ref="A68" r:id="rId122" display="javascript:MailingLabel('30')" xr:uid="{00000000-0004-0000-0300-000079000000}"/>
    <hyperlink ref="B68" r:id="rId123" display="http://en.wikipedia.org/wiki/Palmerton,_Pennsylvania" xr:uid="{00000000-0004-0000-0300-00007A000000}"/>
    <hyperlink ref="G68" r:id="rId124" display="http://tinyurl.com/jvlqgmp" xr:uid="{00000000-0004-0000-0300-00007B000000}"/>
    <hyperlink ref="A69" r:id="rId125" display="javascript:MailingLabel('31')" xr:uid="{00000000-0004-0000-0300-00007C000000}"/>
    <hyperlink ref="B69" r:id="rId126" display="http://en.wikipedia.org/wiki/Delaware_Water_Gap" xr:uid="{00000000-0004-0000-0300-00007D000000}"/>
    <hyperlink ref="G69" r:id="rId127" display="http://tinyurl.com/aoowdxw" xr:uid="{00000000-0004-0000-0300-00007E000000}"/>
    <hyperlink ref="A70" r:id="rId128" display="javascript:MailingLabel('32')" xr:uid="{00000000-0004-0000-0300-00007F000000}"/>
    <hyperlink ref="B70" r:id="rId129" display="http://www.unionvilleny.org/" xr:uid="{00000000-0004-0000-0300-000080000000}"/>
    <hyperlink ref="G70" r:id="rId130" display="http://tinyurl.com/byob8np" xr:uid="{00000000-0004-0000-0300-000081000000}"/>
    <hyperlink ref="A71" r:id="rId131" display="javascript:MailingLabel('33')" xr:uid="{00000000-0004-0000-0300-000082000000}"/>
    <hyperlink ref="B71" r:id="rId132" display="http://en.wikipedia.org/wiki/Vernon_Township,_New_Jersey" xr:uid="{00000000-0004-0000-0300-000083000000}"/>
    <hyperlink ref="G71" r:id="rId133" display="http://tinyurl.com/bjqx7og" xr:uid="{00000000-0004-0000-0300-000084000000}"/>
    <hyperlink ref="A72" r:id="rId134" display="javascript:MailingLabel('34a')" xr:uid="{00000000-0004-0000-0300-000085000000}"/>
    <hyperlink ref="B72" r:id="rId135" display="http://villageofgreenwoodlake.org/" xr:uid="{00000000-0004-0000-0300-000086000000}"/>
    <hyperlink ref="G72" r:id="rId136" display="http://tinyurl.com/crsyqbu" xr:uid="{00000000-0004-0000-0300-000087000000}"/>
    <hyperlink ref="A73" r:id="rId137" display="javascript:MailingLabel('34')" xr:uid="{00000000-0004-0000-0300-000088000000}"/>
    <hyperlink ref="B73" r:id="rId138" display="http://www.nysparks.com/parks/13/details.aspx" xr:uid="{00000000-0004-0000-0300-000089000000}"/>
    <hyperlink ref="G73" r:id="rId139" display="http://tinyurl.com/av3fqb7" xr:uid="{00000000-0004-0000-0300-00008A000000}"/>
    <hyperlink ref="A74" r:id="rId140" display="javascript:MailingLabel('35')" xr:uid="{00000000-0004-0000-0300-00008B000000}"/>
    <hyperlink ref="B74" r:id="rId141" display="http://en.wikipedia.org/wiki/Pawling_(town),_New_York" xr:uid="{00000000-0004-0000-0300-00008C000000}"/>
    <hyperlink ref="G74" r:id="rId142" display="http://tinyurl.com/bkaxu5r" xr:uid="{00000000-0004-0000-0300-00008D000000}"/>
    <hyperlink ref="A78" r:id="rId143" location="HostelN" tooltip="Hostels, Lodging &amp; Drops" display="https://aldha.org/labels/at - HostelN" xr:uid="{00000000-0004-0000-0300-00008E000000}"/>
    <hyperlink ref="F79" r:id="rId144" location="Legend" tooltip="Legend" display="https://aldha.org/labels/at - Legend" xr:uid="{00000000-0004-0000-0300-00008F000000}"/>
    <hyperlink ref="A81" r:id="rId145" display="javascript:MailingLabel('36')" xr:uid="{00000000-0004-0000-0300-000090000000}"/>
    <hyperlink ref="B81" r:id="rId146" display="http://en.wikipedia.org/wiki/Kent,_Connecticut" xr:uid="{00000000-0004-0000-0300-000091000000}"/>
    <hyperlink ref="G81" r:id="rId147" display="http://tinyurl.com/a2zyyta" xr:uid="{00000000-0004-0000-0300-000092000000}"/>
    <hyperlink ref="A82" r:id="rId148" display="javascript:MailingLabel('37')" xr:uid="{00000000-0004-0000-0300-000093000000}"/>
    <hyperlink ref="B82" r:id="rId149" display="http://en.wikipedia.org/wiki/Salisbury,_Connecticut" xr:uid="{00000000-0004-0000-0300-000094000000}"/>
    <hyperlink ref="G82" r:id="rId150" display="http://tinyurl.com/b4lybda" xr:uid="{00000000-0004-0000-0300-000095000000}"/>
    <hyperlink ref="A83" r:id="rId151" display="javascript:MailingLabel('38')" xr:uid="{00000000-0004-0000-0300-000096000000}"/>
    <hyperlink ref="B83" r:id="rId152" display="http://en.wikipedia.org/wiki/Great_Barrington,_Massachusetts" xr:uid="{00000000-0004-0000-0300-000097000000}"/>
    <hyperlink ref="F83" r:id="rId153" location="HostelN" tooltip="East Mountain Retreat Center" display="https://aldha.org/labels/at - HostelN" xr:uid="{00000000-0004-0000-0300-000098000000}"/>
    <hyperlink ref="G83" r:id="rId154" display="http://tinyurl.com/aps78yo" xr:uid="{00000000-0004-0000-0300-000099000000}"/>
    <hyperlink ref="A84" r:id="rId155" display="javascript:MailingLabel('39')" xr:uid="{00000000-0004-0000-0300-00009A000000}"/>
    <hyperlink ref="B84" r:id="rId156" display="http://en.wikipedia.org/wiki/Tyringham,_Massachusetts" xr:uid="{00000000-0004-0000-0300-00009B000000}"/>
    <hyperlink ref="G84" r:id="rId157" display="http://tinyurl.com/a2tu4j9" xr:uid="{00000000-0004-0000-0300-00009C000000}"/>
    <hyperlink ref="A85" r:id="rId158" display="javascript:MailingLabel('40')" xr:uid="{00000000-0004-0000-0300-00009D000000}"/>
    <hyperlink ref="B85" r:id="rId159" display="http://en.wikipedia.org/wiki/Dalton,_Massachusetts" xr:uid="{00000000-0004-0000-0300-00009E000000}"/>
    <hyperlink ref="G85" r:id="rId160" display="http://tinyurl.com/b6ua4hp" xr:uid="{00000000-0004-0000-0300-00009F000000}"/>
    <hyperlink ref="A86" r:id="rId161" display="javascript:MailingLabel('41')" xr:uid="{00000000-0004-0000-0300-0000A0000000}"/>
    <hyperlink ref="B86" r:id="rId162" display="http://en.wikipedia.org/wiki/Cheshire,_Massachusetts" xr:uid="{00000000-0004-0000-0300-0000A1000000}"/>
    <hyperlink ref="G86" r:id="rId163" display="http://tinyurl.com/c32oj38" xr:uid="{00000000-0004-0000-0300-0000A2000000}"/>
    <hyperlink ref="A87" r:id="rId164" display="javascript:MailingLabel('41a')" xr:uid="{00000000-0004-0000-0300-0000A3000000}"/>
    <hyperlink ref="B87" r:id="rId165" display="http://en.wikipedia.org/wiki/Williamstown,_Massachusetts" xr:uid="{00000000-0004-0000-0300-0000A4000000}"/>
    <hyperlink ref="G87" r:id="rId166" display="http://tinyurl.com/yxqa666b" xr:uid="{00000000-0004-0000-0300-0000A5000000}"/>
    <hyperlink ref="A88" r:id="rId167" display="javascript:MailingLabel('42')" xr:uid="{00000000-0004-0000-0300-0000A6000000}"/>
    <hyperlink ref="B88" r:id="rId168" display="http://en.wikipedia.org/wiki/Bennington,_Vermont" xr:uid="{00000000-0004-0000-0300-0000A7000000}"/>
    <hyperlink ref="G88" r:id="rId169" display="http://tinyurl.com/b4pbjej" xr:uid="{00000000-0004-0000-0300-0000A8000000}"/>
    <hyperlink ref="A89" r:id="rId170" display="javascript:MailingLabel('43')" xr:uid="{00000000-0004-0000-0300-0000A9000000}"/>
    <hyperlink ref="B89" r:id="rId171" display="http://en.wikipedia.org/wiki/Manchester_Center,_Vermont" xr:uid="{00000000-0004-0000-0300-0000AA000000}"/>
    <hyperlink ref="G89" r:id="rId172" display="http://tinyurl.com/bzch4y8" xr:uid="{00000000-0004-0000-0300-0000AB000000}"/>
    <hyperlink ref="A90" r:id="rId173" display="javascript:MailingLabel('44')" xr:uid="{00000000-0004-0000-0300-0000AC000000}"/>
    <hyperlink ref="B90" r:id="rId174" display="http://en.wikipedia.org/wiki/Rutland_(city),_Vermont" xr:uid="{00000000-0004-0000-0300-0000AD000000}"/>
    <hyperlink ref="G90" r:id="rId175" display="http://tinyurl.com/cngypn3" xr:uid="{00000000-0004-0000-0300-0000AE000000}"/>
    <hyperlink ref="A91" r:id="rId176" display="javascript:MailingLabel('45')" xr:uid="{00000000-0004-0000-0300-0000AF000000}"/>
    <hyperlink ref="B91" r:id="rId177" display="http://en.wikipedia.org/wiki/Hanover,_New_Hampshire" xr:uid="{00000000-0004-0000-0300-0000B0000000}"/>
    <hyperlink ref="G91" r:id="rId178" display="http://tinyurl.com/a8x7vgv" xr:uid="{00000000-0004-0000-0300-0000B1000000}"/>
    <hyperlink ref="A92" r:id="rId179" display="javascript:MailingLabel('46')" xr:uid="{00000000-0004-0000-0300-0000B2000000}"/>
    <hyperlink ref="B92" r:id="rId180" display="http://en.wikipedia.org/wiki/Glencliff,_New_Hampshire" xr:uid="{00000000-0004-0000-0300-0000B3000000}"/>
    <hyperlink ref="F92" r:id="rId181" location="HostelN" tooltip="Hiker's Welcome Hostel" display="https://aldha.org/labels/at - HostelN" xr:uid="{00000000-0004-0000-0300-0000B4000000}"/>
    <hyperlink ref="G92" r:id="rId182" display="http://tinyurl.com/d2mqedd" xr:uid="{00000000-0004-0000-0300-0000B5000000}"/>
    <hyperlink ref="A93" r:id="rId183" display="javascript:MailingLabel('47')" xr:uid="{00000000-0004-0000-0300-0000B6000000}"/>
    <hyperlink ref="B93" r:id="rId184" display="http://www.lincolnwoodstock.com/" xr:uid="{00000000-0004-0000-0300-0000B7000000}"/>
    <hyperlink ref="G93" r:id="rId185" display="http://tinyurl.com/a2sqmmp" xr:uid="{00000000-0004-0000-0300-0000B8000000}"/>
    <hyperlink ref="A94" r:id="rId186" display="javascript:MailingLabel('48')" xr:uid="{00000000-0004-0000-0300-0000B9000000}"/>
    <hyperlink ref="B94" r:id="rId187" display="http://en.wikipedia.org/wiki/Gorham,_New_Hampshire" xr:uid="{00000000-0004-0000-0300-0000BA000000}"/>
    <hyperlink ref="F94" r:id="rId188" location="HostelN" tooltip="Rattle River  Lodge &amp; Hostel, The Birches Loft &amp; The Barn" display="https://aldha.org/labels/at - HostelN" xr:uid="{00000000-0004-0000-0300-0000BB000000}"/>
    <hyperlink ref="G94" r:id="rId189" display="http://tinyurl.com/b2hs5pf" xr:uid="{00000000-0004-0000-0300-0000BC000000}"/>
    <hyperlink ref="A95" r:id="rId190" display="javascript:MailingLabel('49')" xr:uid="{00000000-0004-0000-0300-0000BD000000}"/>
    <hyperlink ref="B95" r:id="rId191" display="http://en.wikipedia.org/wiki/Andover,_Maine" xr:uid="{00000000-0004-0000-0300-0000BE000000}"/>
    <hyperlink ref="F95" r:id="rId192" location="HostelN" tooltip="Pine Ellis Hiking Lodge" display="https://aldha.org/labels/at - HostelN" xr:uid="{00000000-0004-0000-0300-0000BF000000}"/>
    <hyperlink ref="G95" r:id="rId193" display="http://tinyurl.com/apoocdr" xr:uid="{00000000-0004-0000-0300-0000C0000000}"/>
    <hyperlink ref="A96" r:id="rId194" display="javascript:MailingLabel('49a')" xr:uid="{00000000-0004-0000-0300-0000C1000000}"/>
    <hyperlink ref="B96" r:id="rId195" display="http://en.wikipedia.org/wiki/Rangeley,_Maine" xr:uid="{00000000-0004-0000-0300-0000C2000000}"/>
    <hyperlink ref="G96" r:id="rId196" display="http://tinyurl.com/cz433ey" xr:uid="{00000000-0004-0000-0300-0000C3000000}"/>
    <hyperlink ref="A97" r:id="rId197" display="javascript:MailingLabel('50')" xr:uid="{00000000-0004-0000-0300-0000C4000000}"/>
    <hyperlink ref="B97" r:id="rId198" display="http://www.trails.com/stratton_maine-hotels.html" xr:uid="{00000000-0004-0000-0300-0000C5000000}"/>
    <hyperlink ref="F97" r:id="rId199" location="HostelN" tooltip="Stratton Motel &amp; Hostel" display="https://aldha.org/labels/at - HostelN" xr:uid="{00000000-0004-0000-0300-0000C6000000}"/>
    <hyperlink ref="G97" r:id="rId200" display="http://tinyurl.com/a2us5bh" xr:uid="{00000000-0004-0000-0300-0000C7000000}"/>
    <hyperlink ref="A98" r:id="rId201" display="javascript:MailingLabel('51')" xr:uid="{00000000-0004-0000-0300-0000C8000000}"/>
    <hyperlink ref="B98" r:id="rId202" display="http://en.wikipedia.org/wiki/Caratunk,_Maine" xr:uid="{00000000-0004-0000-0300-0000C9000000}"/>
    <hyperlink ref="F98" r:id="rId203" location="HostelN" tooltip="Northern Outdoor Resort" display="https://aldha.org/labels/at - HostelN" xr:uid="{00000000-0004-0000-0300-0000CA000000}"/>
    <hyperlink ref="G98" r:id="rId204" display="http://tinyurl.com/cbwhvma" xr:uid="{00000000-0004-0000-0300-0000CB000000}"/>
    <hyperlink ref="A99" r:id="rId205" display="javascript:MailingLabel('52')" xr:uid="{00000000-0004-0000-0300-0000CC000000}"/>
    <hyperlink ref="B99" r:id="rId206" display="http://en.wikipedia.org/wiki/Monson,_Maine" xr:uid="{00000000-0004-0000-0300-0000CD000000}"/>
    <hyperlink ref="F99" r:id="rId207" location="HostelN" tooltip="Shaw's Lodging &amp; the Lakeshore House" display="https://aldha.org/labels/at - HostelN" xr:uid="{00000000-0004-0000-0300-0000CE000000}"/>
    <hyperlink ref="G99" r:id="rId208" display="http://tinyurl.com/a4b4f2p" xr:uid="{00000000-0004-0000-0300-0000CF000000}"/>
    <hyperlink ref="B100" r:id="rId209" display="http://www.baxterstateparkauthority.com/index.htm" xr:uid="{00000000-0004-0000-0300-0000D0000000}"/>
    <hyperlink ref="B27" r:id="rId210" display="http://www.mountaintopga.com/" xr:uid="{00000000-0004-0000-0300-0000D1000000}"/>
    <hyperlink ref="A27" r:id="rId211" display="javascript:MailingLabel('3')" xr:uid="{00000000-0004-0000-0300-0000D2000000}"/>
    <hyperlink ref="B26" r:id="rId212" display="http://www.helenga.org/" xr:uid="{00000000-0004-0000-0300-0000D3000000}"/>
    <hyperlink ref="A26" r:id="rId213" display="javascript:MailingLabel('2')" xr:uid="{00000000-0004-0000-0300-0000D4000000}"/>
    <hyperlink ref="A21" r:id="rId214" location="Hostels" tooltip="Hostels Lodging &amp; Drops" display="https://aldha.org/labels/at - Hostels" xr:uid="{00000000-0004-0000-0300-0000D5000000}"/>
    <hyperlink ref="B24" r:id="rId215" display="http://en.wikipedia.org/wiki/Springer_Mountain" xr:uid="{00000000-0004-0000-0300-0000D6000000}"/>
    <hyperlink ref="A25" r:id="rId216" display="javascript:MailingLabel('1')" xr:uid="{00000000-0004-0000-0300-0000D7000000}"/>
    <hyperlink ref="B25" r:id="rId217" display="http://www.suches.org/" xr:uid="{00000000-0004-0000-0300-0000D8000000}"/>
    <hyperlink ref="F18" r:id="rId218" display="https://www.whiteblaze.net/forum/articles/2021-post-offices.pdf" xr:uid="{00000000-0004-0000-0300-0000D9000000}"/>
    <hyperlink ref="E21" r:id="rId219" display="https://aldha.org/labels/at" xr:uid="{00000000-0004-0000-0300-0000DA000000}"/>
  </hyperlinks>
  <pageMargins left="0.7" right="0.7" top="0.75" bottom="0.75" header="0.3" footer="0.3"/>
  <pageSetup orientation="landscape" r:id="rId220"/>
  <rowBreaks count="1" manualBreakCount="1">
    <brk id="1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workbookViewId="0">
      <pane ySplit="2" topLeftCell="A24" activePane="bottomLeft" state="frozen"/>
      <selection pane="bottomLeft" activeCell="B37" sqref="B37"/>
    </sheetView>
  </sheetViews>
  <sheetFormatPr defaultRowHeight="12.75" x14ac:dyDescent="0.2"/>
  <cols>
    <col min="2" max="2" width="20.85546875" customWidth="1"/>
    <col min="3" max="3" width="25.28515625" customWidth="1"/>
    <col min="4" max="4" width="10.140625" bestFit="1" customWidth="1"/>
    <col min="5" max="5" width="7.7109375" bestFit="1" customWidth="1"/>
    <col min="6" max="6" width="6.42578125" customWidth="1"/>
    <col min="7" max="7" width="15.42578125" bestFit="1" customWidth="1"/>
    <col min="8" max="8" width="10.140625" customWidth="1"/>
    <col min="9" max="9" width="13.5703125" customWidth="1"/>
    <col min="10" max="10" width="13.28515625" customWidth="1"/>
  </cols>
  <sheetData>
    <row r="1" spans="1:8" ht="27" x14ac:dyDescent="0.2">
      <c r="B1" s="117" t="s">
        <v>580</v>
      </c>
    </row>
    <row r="2" spans="1:8" ht="36" x14ac:dyDescent="0.2">
      <c r="B2" s="96" t="s">
        <v>581</v>
      </c>
      <c r="C2" s="97" t="s">
        <v>470</v>
      </c>
      <c r="D2" s="96" t="s">
        <v>582</v>
      </c>
      <c r="E2" s="96" t="s">
        <v>475</v>
      </c>
      <c r="F2" s="96" t="s">
        <v>471</v>
      </c>
      <c r="G2" s="98" t="s">
        <v>583</v>
      </c>
      <c r="H2" s="96" t="s">
        <v>477</v>
      </c>
    </row>
    <row r="3" spans="1:8" ht="30.75" customHeight="1" x14ac:dyDescent="0.2">
      <c r="A3" t="str">
        <f>E3</f>
        <v>--</v>
      </c>
      <c r="B3" s="99" t="s">
        <v>584</v>
      </c>
      <c r="C3" s="88" t="s">
        <v>585</v>
      </c>
      <c r="D3" s="306" t="s">
        <v>482</v>
      </c>
      <c r="E3" s="306" t="s">
        <v>482</v>
      </c>
      <c r="F3" s="84" t="s">
        <v>481</v>
      </c>
      <c r="G3" s="85" t="s">
        <v>586</v>
      </c>
      <c r="H3" s="83" t="s">
        <v>587</v>
      </c>
    </row>
    <row r="4" spans="1:8" ht="34.5" customHeight="1" x14ac:dyDescent="0.2">
      <c r="A4">
        <f>IF(E4="""",E3,E4)</f>
        <v>0</v>
      </c>
      <c r="B4" s="99" t="s">
        <v>588</v>
      </c>
      <c r="C4" s="88" t="s">
        <v>589</v>
      </c>
      <c r="D4" s="306">
        <v>31.3</v>
      </c>
      <c r="E4" s="306">
        <v>0</v>
      </c>
      <c r="F4" s="84" t="s">
        <v>481</v>
      </c>
      <c r="G4" s="85" t="s">
        <v>590</v>
      </c>
      <c r="H4" s="83" t="s">
        <v>587</v>
      </c>
    </row>
    <row r="5" spans="1:8" ht="15" customHeight="1" x14ac:dyDescent="0.2">
      <c r="A5">
        <f t="shared" ref="A5:A53" si="0">IF(E5="""",E4,E5)</f>
        <v>11</v>
      </c>
      <c r="B5" s="99" t="s">
        <v>591</v>
      </c>
      <c r="C5" s="88" t="s">
        <v>592</v>
      </c>
      <c r="D5" s="306" t="s">
        <v>485</v>
      </c>
      <c r="E5" s="306">
        <v>11</v>
      </c>
      <c r="F5" s="84" t="s">
        <v>481</v>
      </c>
      <c r="G5" s="85" t="s">
        <v>593</v>
      </c>
      <c r="H5" s="83" t="s">
        <v>594</v>
      </c>
    </row>
    <row r="6" spans="1:8" ht="15" customHeight="1" x14ac:dyDescent="0.2">
      <c r="A6">
        <f t="shared" si="0"/>
        <v>10</v>
      </c>
      <c r="B6" s="99" t="s">
        <v>595</v>
      </c>
      <c r="C6" s="88" t="s">
        <v>596</v>
      </c>
      <c r="D6" s="306">
        <v>109.4</v>
      </c>
      <c r="E6" s="306">
        <v>10</v>
      </c>
      <c r="F6" s="83"/>
      <c r="G6" s="85" t="s">
        <v>597</v>
      </c>
      <c r="H6" s="83" t="s">
        <v>490</v>
      </c>
    </row>
    <row r="7" spans="1:8" ht="15" customHeight="1" x14ac:dyDescent="0.2">
      <c r="A7">
        <f t="shared" si="0"/>
        <v>10</v>
      </c>
      <c r="B7" s="99" t="s">
        <v>595</v>
      </c>
      <c r="C7" s="88" t="s">
        <v>598</v>
      </c>
      <c r="D7" s="306" t="s">
        <v>485</v>
      </c>
      <c r="E7" s="306" t="s">
        <v>485</v>
      </c>
      <c r="F7" s="84" t="s">
        <v>481</v>
      </c>
      <c r="G7" s="85" t="s">
        <v>599</v>
      </c>
      <c r="H7" s="83" t="s">
        <v>490</v>
      </c>
    </row>
    <row r="8" spans="1:8" ht="15" customHeight="1" x14ac:dyDescent="0.2">
      <c r="A8">
        <f t="shared" si="0"/>
        <v>2</v>
      </c>
      <c r="B8" s="99" t="s">
        <v>600</v>
      </c>
      <c r="C8" s="88" t="s">
        <v>601</v>
      </c>
      <c r="D8" s="306">
        <v>125</v>
      </c>
      <c r="E8" s="306">
        <v>2</v>
      </c>
      <c r="F8" s="84" t="s">
        <v>481</v>
      </c>
      <c r="G8" s="85" t="s">
        <v>602</v>
      </c>
      <c r="H8" s="83" t="s">
        <v>490</v>
      </c>
    </row>
    <row r="9" spans="1:8" ht="15" customHeight="1" x14ac:dyDescent="0.2">
      <c r="A9">
        <f t="shared" si="0"/>
        <v>0</v>
      </c>
      <c r="B9" s="99" t="s">
        <v>306</v>
      </c>
      <c r="C9" s="88" t="s">
        <v>305</v>
      </c>
      <c r="D9" s="306">
        <v>137.69999999999999</v>
      </c>
      <c r="E9" s="306">
        <v>0</v>
      </c>
      <c r="F9" s="84" t="s">
        <v>481</v>
      </c>
      <c r="G9" s="85" t="s">
        <v>603</v>
      </c>
      <c r="H9" s="83" t="s">
        <v>531</v>
      </c>
    </row>
    <row r="10" spans="1:8" ht="15" customHeight="1" x14ac:dyDescent="0.2">
      <c r="A10">
        <f t="shared" si="0"/>
        <v>2</v>
      </c>
      <c r="B10" s="99" t="s">
        <v>31</v>
      </c>
      <c r="C10" s="88" t="s">
        <v>604</v>
      </c>
      <c r="D10" s="306">
        <v>164.5</v>
      </c>
      <c r="E10" s="306">
        <v>2</v>
      </c>
      <c r="F10" s="84" t="s">
        <v>481</v>
      </c>
      <c r="G10" s="85" t="s">
        <v>605</v>
      </c>
      <c r="H10" s="83" t="s">
        <v>490</v>
      </c>
    </row>
    <row r="11" spans="1:8" ht="15" customHeight="1" x14ac:dyDescent="0.2">
      <c r="A11">
        <f t="shared" si="0"/>
        <v>6</v>
      </c>
      <c r="B11" s="99" t="s">
        <v>31</v>
      </c>
      <c r="C11" s="88" t="s">
        <v>606</v>
      </c>
      <c r="D11" s="306" t="s">
        <v>485</v>
      </c>
      <c r="E11" s="306">
        <v>6</v>
      </c>
      <c r="F11" s="84" t="s">
        <v>481</v>
      </c>
      <c r="G11" s="85" t="s">
        <v>607</v>
      </c>
      <c r="H11" s="83" t="s">
        <v>490</v>
      </c>
    </row>
    <row r="12" spans="1:8" ht="15" customHeight="1" x14ac:dyDescent="0.2">
      <c r="A12">
        <f t="shared" si="0"/>
        <v>15</v>
      </c>
      <c r="B12" s="99" t="s">
        <v>608</v>
      </c>
      <c r="C12" s="88" t="s">
        <v>609</v>
      </c>
      <c r="D12" s="306">
        <v>207.7</v>
      </c>
      <c r="E12" s="306">
        <v>15</v>
      </c>
      <c r="F12" s="84" t="s">
        <v>481</v>
      </c>
      <c r="G12" s="85" t="s">
        <v>610</v>
      </c>
      <c r="H12" s="83" t="s">
        <v>531</v>
      </c>
    </row>
    <row r="13" spans="1:8" ht="15" customHeight="1" x14ac:dyDescent="0.2">
      <c r="A13">
        <f t="shared" si="0"/>
        <v>15</v>
      </c>
      <c r="B13" s="99" t="s">
        <v>608</v>
      </c>
      <c r="C13" s="88" t="s">
        <v>611</v>
      </c>
      <c r="D13" s="306">
        <v>207.7</v>
      </c>
      <c r="E13" s="306">
        <v>15</v>
      </c>
      <c r="F13" s="84" t="s">
        <v>481</v>
      </c>
      <c r="G13" s="85" t="s">
        <v>610</v>
      </c>
      <c r="H13" s="83" t="s">
        <v>531</v>
      </c>
    </row>
    <row r="14" spans="1:8" ht="15" customHeight="1" x14ac:dyDescent="0.2">
      <c r="A14">
        <f t="shared" si="0"/>
        <v>0.1</v>
      </c>
      <c r="B14" s="99" t="s">
        <v>612</v>
      </c>
      <c r="C14" s="88" t="s">
        <v>613</v>
      </c>
      <c r="D14" s="306">
        <v>241.5</v>
      </c>
      <c r="E14" s="306">
        <v>0.1</v>
      </c>
      <c r="F14" s="85"/>
      <c r="G14" s="85" t="s">
        <v>614</v>
      </c>
      <c r="H14" s="83" t="s">
        <v>490</v>
      </c>
    </row>
    <row r="15" spans="1:8" ht="26.25" customHeight="1" x14ac:dyDescent="0.2">
      <c r="A15">
        <f t="shared" si="0"/>
        <v>0</v>
      </c>
      <c r="B15" s="99" t="s">
        <v>308</v>
      </c>
      <c r="C15" s="88" t="s">
        <v>615</v>
      </c>
      <c r="D15" s="306">
        <v>274.89999999999998</v>
      </c>
      <c r="E15" s="306">
        <v>0</v>
      </c>
      <c r="F15" s="84" t="s">
        <v>481</v>
      </c>
      <c r="G15" s="85" t="s">
        <v>616</v>
      </c>
      <c r="H15" s="83" t="s">
        <v>490</v>
      </c>
    </row>
    <row r="16" spans="1:8" ht="15" customHeight="1" x14ac:dyDescent="0.2">
      <c r="A16">
        <f t="shared" si="0"/>
        <v>0</v>
      </c>
      <c r="B16" s="99" t="s">
        <v>308</v>
      </c>
      <c r="C16" s="88" t="s">
        <v>617</v>
      </c>
      <c r="D16" s="306" t="s">
        <v>485</v>
      </c>
      <c r="E16" s="306" t="s">
        <v>485</v>
      </c>
      <c r="F16" s="84" t="s">
        <v>481</v>
      </c>
      <c r="G16" s="85" t="s">
        <v>618</v>
      </c>
      <c r="H16" s="83" t="s">
        <v>490</v>
      </c>
    </row>
    <row r="17" spans="1:8" ht="15" customHeight="1" x14ac:dyDescent="0.2">
      <c r="A17" t="str">
        <f t="shared" si="0"/>
        <v>"</v>
      </c>
      <c r="B17" s="99" t="s">
        <v>308</v>
      </c>
      <c r="C17" s="88" t="s">
        <v>619</v>
      </c>
      <c r="D17" s="306" t="s">
        <v>485</v>
      </c>
      <c r="E17" s="306" t="s">
        <v>485</v>
      </c>
      <c r="F17" s="84" t="s">
        <v>481</v>
      </c>
      <c r="G17" s="85" t="s">
        <v>620</v>
      </c>
      <c r="H17" s="83" t="s">
        <v>490</v>
      </c>
    </row>
    <row r="18" spans="1:8" ht="36" customHeight="1" x14ac:dyDescent="0.2">
      <c r="A18">
        <f t="shared" si="0"/>
        <v>0</v>
      </c>
      <c r="B18" s="99" t="s">
        <v>309</v>
      </c>
      <c r="C18" s="88" t="s">
        <v>621</v>
      </c>
      <c r="D18" s="306">
        <v>344.3</v>
      </c>
      <c r="E18" s="306">
        <v>0</v>
      </c>
      <c r="F18" s="84" t="s">
        <v>481</v>
      </c>
      <c r="G18" s="85" t="s">
        <v>622</v>
      </c>
      <c r="H18" s="83" t="s">
        <v>587</v>
      </c>
    </row>
    <row r="19" spans="1:8" ht="15" customHeight="1" x14ac:dyDescent="0.2">
      <c r="A19">
        <f t="shared" si="0"/>
        <v>0.6</v>
      </c>
      <c r="B19" s="99" t="s">
        <v>623</v>
      </c>
      <c r="C19" s="88" t="s">
        <v>624</v>
      </c>
      <c r="D19" s="306">
        <v>368.5</v>
      </c>
      <c r="E19" s="306">
        <v>0.6</v>
      </c>
      <c r="F19" s="85"/>
      <c r="G19" s="85" t="s">
        <v>625</v>
      </c>
      <c r="H19" s="83" t="s">
        <v>490</v>
      </c>
    </row>
    <row r="20" spans="1:8" ht="15" customHeight="1" x14ac:dyDescent="0.2">
      <c r="A20">
        <f t="shared" si="0"/>
        <v>0.3</v>
      </c>
      <c r="B20" s="99" t="s">
        <v>626</v>
      </c>
      <c r="C20" s="88" t="s">
        <v>627</v>
      </c>
      <c r="D20" s="306">
        <v>395.2</v>
      </c>
      <c r="E20" s="306">
        <v>0.3</v>
      </c>
      <c r="F20" s="84" t="s">
        <v>481</v>
      </c>
      <c r="G20" s="85" t="s">
        <v>628</v>
      </c>
      <c r="H20" s="83" t="s">
        <v>490</v>
      </c>
    </row>
    <row r="21" spans="1:8" ht="15" customHeight="1" x14ac:dyDescent="0.2">
      <c r="A21">
        <f t="shared" si="0"/>
        <v>0.7</v>
      </c>
      <c r="B21" s="99" t="s">
        <v>626</v>
      </c>
      <c r="C21" s="88" t="s">
        <v>629</v>
      </c>
      <c r="D21" s="306">
        <v>395.2</v>
      </c>
      <c r="E21" s="306">
        <v>0.7</v>
      </c>
      <c r="F21" s="84" t="s">
        <v>481</v>
      </c>
      <c r="G21" s="85" t="s">
        <v>630</v>
      </c>
      <c r="H21" s="83" t="s">
        <v>490</v>
      </c>
    </row>
    <row r="22" spans="1:8" ht="15" customHeight="1" x14ac:dyDescent="0.2">
      <c r="A22">
        <f t="shared" si="0"/>
        <v>0.4</v>
      </c>
      <c r="B22" s="99" t="s">
        <v>631</v>
      </c>
      <c r="C22" s="88" t="s">
        <v>632</v>
      </c>
      <c r="D22" s="306">
        <v>407.6</v>
      </c>
      <c r="E22" s="306">
        <v>0.4</v>
      </c>
      <c r="F22" s="85"/>
      <c r="G22" s="85" t="s">
        <v>633</v>
      </c>
      <c r="H22" s="83" t="s">
        <v>490</v>
      </c>
    </row>
    <row r="23" spans="1:8" ht="15" customHeight="1" x14ac:dyDescent="0.2">
      <c r="A23">
        <f t="shared" si="0"/>
        <v>0.2</v>
      </c>
      <c r="B23" s="99" t="s">
        <v>634</v>
      </c>
      <c r="C23" s="88" t="s">
        <v>253</v>
      </c>
      <c r="D23" s="306">
        <v>419.9</v>
      </c>
      <c r="E23" s="306">
        <v>0.2</v>
      </c>
      <c r="F23" s="85"/>
      <c r="G23" s="85" t="s">
        <v>635</v>
      </c>
      <c r="H23" s="83" t="s">
        <v>490</v>
      </c>
    </row>
    <row r="24" spans="1:8" ht="15" customHeight="1" x14ac:dyDescent="0.2">
      <c r="A24">
        <f t="shared" si="0"/>
        <v>0.4</v>
      </c>
      <c r="B24" s="99" t="s">
        <v>634</v>
      </c>
      <c r="C24" s="88" t="s">
        <v>636</v>
      </c>
      <c r="D24" s="306" t="s">
        <v>485</v>
      </c>
      <c r="E24" s="306">
        <v>0.4</v>
      </c>
      <c r="F24" s="84" t="s">
        <v>481</v>
      </c>
      <c r="G24" s="85" t="s">
        <v>637</v>
      </c>
      <c r="H24" s="83" t="s">
        <v>490</v>
      </c>
    </row>
    <row r="25" spans="1:8" ht="15" customHeight="1" x14ac:dyDescent="0.2">
      <c r="A25">
        <f t="shared" si="0"/>
        <v>0</v>
      </c>
      <c r="B25" s="100" t="s">
        <v>310</v>
      </c>
      <c r="C25" s="88" t="s">
        <v>638</v>
      </c>
      <c r="D25" s="101">
        <v>470.5</v>
      </c>
      <c r="E25" s="101">
        <v>0</v>
      </c>
      <c r="F25" s="84" t="s">
        <v>481</v>
      </c>
      <c r="G25" s="85" t="s">
        <v>639</v>
      </c>
      <c r="H25" s="83" t="s">
        <v>490</v>
      </c>
    </row>
    <row r="26" spans="1:8" ht="15" customHeight="1" x14ac:dyDescent="0.2">
      <c r="A26">
        <f t="shared" si="0"/>
        <v>0</v>
      </c>
      <c r="B26" s="100" t="s">
        <v>513</v>
      </c>
      <c r="C26" s="88" t="s">
        <v>640</v>
      </c>
      <c r="D26" s="101">
        <v>545.5</v>
      </c>
      <c r="E26" s="101">
        <v>0</v>
      </c>
      <c r="F26" s="85"/>
      <c r="G26" s="85" t="s">
        <v>641</v>
      </c>
      <c r="H26" s="83" t="s">
        <v>490</v>
      </c>
    </row>
    <row r="27" spans="1:8" ht="15" customHeight="1" x14ac:dyDescent="0.2">
      <c r="A27">
        <f t="shared" si="0"/>
        <v>0.5</v>
      </c>
      <c r="B27" s="100" t="s">
        <v>642</v>
      </c>
      <c r="C27" s="88" t="s">
        <v>643</v>
      </c>
      <c r="D27" s="101">
        <v>607</v>
      </c>
      <c r="E27" s="101">
        <v>0.5</v>
      </c>
      <c r="F27" s="85"/>
      <c r="G27" s="85" t="s">
        <v>644</v>
      </c>
      <c r="H27" s="83" t="s">
        <v>490</v>
      </c>
    </row>
    <row r="28" spans="1:8" ht="15" customHeight="1" x14ac:dyDescent="0.2">
      <c r="A28">
        <f t="shared" si="0"/>
        <v>0.5</v>
      </c>
      <c r="B28" s="100" t="s">
        <v>645</v>
      </c>
      <c r="C28" s="88" t="s">
        <v>646</v>
      </c>
      <c r="D28" s="101">
        <v>625.20000000000005</v>
      </c>
      <c r="E28" s="101">
        <v>0.5</v>
      </c>
      <c r="F28" s="84" t="s">
        <v>481</v>
      </c>
      <c r="G28" s="85" t="s">
        <v>647</v>
      </c>
      <c r="H28" s="83" t="s">
        <v>490</v>
      </c>
    </row>
    <row r="29" spans="1:8" ht="15" customHeight="1" x14ac:dyDescent="0.2">
      <c r="A29">
        <f t="shared" si="0"/>
        <v>1</v>
      </c>
      <c r="B29" s="100" t="s">
        <v>311</v>
      </c>
      <c r="C29" s="88" t="s">
        <v>648</v>
      </c>
      <c r="D29" s="101">
        <v>635.6</v>
      </c>
      <c r="E29" s="101">
        <v>1</v>
      </c>
      <c r="F29" s="85"/>
      <c r="G29" s="85" t="s">
        <v>649</v>
      </c>
      <c r="H29" s="83" t="s">
        <v>490</v>
      </c>
    </row>
    <row r="30" spans="1:8" ht="15" customHeight="1" x14ac:dyDescent="0.2">
      <c r="A30">
        <f t="shared" si="0"/>
        <v>1</v>
      </c>
      <c r="B30" s="100" t="s">
        <v>311</v>
      </c>
      <c r="C30" s="88" t="s">
        <v>650</v>
      </c>
      <c r="D30" s="101" t="s">
        <v>485</v>
      </c>
      <c r="E30" s="101" t="s">
        <v>485</v>
      </c>
      <c r="F30" s="85"/>
      <c r="G30" s="85" t="s">
        <v>651</v>
      </c>
      <c r="H30" s="83" t="s">
        <v>490</v>
      </c>
    </row>
    <row r="31" spans="1:8" ht="32.1" customHeight="1" x14ac:dyDescent="0.2">
      <c r="A31">
        <f t="shared" si="0"/>
        <v>0.4</v>
      </c>
      <c r="B31" s="100" t="s">
        <v>652</v>
      </c>
      <c r="C31" s="88" t="s">
        <v>653</v>
      </c>
      <c r="D31" s="101">
        <v>703.9</v>
      </c>
      <c r="E31" s="101">
        <v>0.4</v>
      </c>
      <c r="F31" s="84" t="s">
        <v>481</v>
      </c>
      <c r="G31" s="85" t="s">
        <v>654</v>
      </c>
      <c r="H31" s="83" t="s">
        <v>587</v>
      </c>
    </row>
    <row r="32" spans="1:8" ht="32.1" customHeight="1" x14ac:dyDescent="0.2">
      <c r="A32">
        <f t="shared" si="0"/>
        <v>0</v>
      </c>
      <c r="B32" s="100" t="s">
        <v>655</v>
      </c>
      <c r="C32" s="88" t="s">
        <v>656</v>
      </c>
      <c r="D32" s="101">
        <v>729.6</v>
      </c>
      <c r="E32" s="101">
        <v>0</v>
      </c>
      <c r="F32" s="84" t="s">
        <v>481</v>
      </c>
      <c r="G32" s="85" t="s">
        <v>657</v>
      </c>
      <c r="H32" s="83" t="s">
        <v>587</v>
      </c>
    </row>
    <row r="33" spans="1:8" ht="32.1" customHeight="1" x14ac:dyDescent="0.2">
      <c r="A33">
        <f t="shared" si="0"/>
        <v>0.5</v>
      </c>
      <c r="B33" s="100" t="s">
        <v>658</v>
      </c>
      <c r="C33" s="88" t="s">
        <v>659</v>
      </c>
      <c r="D33" s="101">
        <v>731.3</v>
      </c>
      <c r="E33" s="101">
        <v>0.5</v>
      </c>
      <c r="F33" s="84" t="s">
        <v>481</v>
      </c>
      <c r="G33" s="85" t="s">
        <v>660</v>
      </c>
      <c r="H33" s="83" t="s">
        <v>587</v>
      </c>
    </row>
    <row r="34" spans="1:8" ht="32.1" customHeight="1" x14ac:dyDescent="0.2">
      <c r="A34">
        <f t="shared" si="0"/>
        <v>0.1</v>
      </c>
      <c r="B34" s="100" t="s">
        <v>661</v>
      </c>
      <c r="C34" s="88" t="s">
        <v>662</v>
      </c>
      <c r="D34" s="102">
        <v>1005.5</v>
      </c>
      <c r="E34" s="101">
        <v>0.1</v>
      </c>
      <c r="F34" s="84" t="s">
        <v>481</v>
      </c>
      <c r="G34" s="85" t="s">
        <v>663</v>
      </c>
      <c r="H34" s="83" t="s">
        <v>490</v>
      </c>
    </row>
    <row r="35" spans="1:8" ht="32.1" customHeight="1" x14ac:dyDescent="0.2">
      <c r="A35">
        <f t="shared" si="0"/>
        <v>0.2</v>
      </c>
      <c r="B35" s="100" t="s">
        <v>260</v>
      </c>
      <c r="C35" s="88" t="s">
        <v>664</v>
      </c>
      <c r="D35" s="102">
        <v>1024.7</v>
      </c>
      <c r="E35" s="101">
        <v>0.2</v>
      </c>
      <c r="F35" s="84" t="s">
        <v>481</v>
      </c>
      <c r="G35" s="85" t="s">
        <v>665</v>
      </c>
      <c r="H35" s="88" t="s">
        <v>666</v>
      </c>
    </row>
    <row r="36" spans="1:8" ht="15" customHeight="1" x14ac:dyDescent="0.2">
      <c r="A36">
        <f t="shared" si="0"/>
        <v>0</v>
      </c>
      <c r="B36" s="103" t="s">
        <v>313</v>
      </c>
      <c r="C36" s="88" t="s">
        <v>667</v>
      </c>
      <c r="D36" s="104">
        <v>1149</v>
      </c>
      <c r="E36" s="105">
        <v>0</v>
      </c>
      <c r="F36" s="84" t="s">
        <v>481</v>
      </c>
      <c r="G36" s="85"/>
      <c r="H36" s="87" t="s">
        <v>668</v>
      </c>
    </row>
    <row r="37" spans="1:8" ht="15" customHeight="1" x14ac:dyDescent="0.2">
      <c r="A37">
        <f t="shared" si="0"/>
        <v>1</v>
      </c>
      <c r="B37" s="103" t="s">
        <v>314</v>
      </c>
      <c r="C37" s="88" t="s">
        <v>669</v>
      </c>
      <c r="D37" s="104">
        <v>1219.0999999999999</v>
      </c>
      <c r="E37" s="105">
        <v>1</v>
      </c>
      <c r="F37" s="84" t="s">
        <v>481</v>
      </c>
      <c r="G37" s="85" t="s">
        <v>670</v>
      </c>
      <c r="H37" s="87" t="s">
        <v>668</v>
      </c>
    </row>
    <row r="38" spans="1:8" ht="15" customHeight="1" x14ac:dyDescent="0.2">
      <c r="A38">
        <f t="shared" si="0"/>
        <v>0</v>
      </c>
      <c r="B38" s="106" t="s">
        <v>558</v>
      </c>
      <c r="C38" s="88" t="s">
        <v>671</v>
      </c>
      <c r="D38" s="107">
        <v>1501.1</v>
      </c>
      <c r="E38" s="96">
        <v>0</v>
      </c>
      <c r="F38" s="85"/>
      <c r="G38" s="85" t="s">
        <v>672</v>
      </c>
      <c r="H38" s="83" t="s">
        <v>490</v>
      </c>
    </row>
    <row r="39" spans="1:8" ht="30.75" customHeight="1" x14ac:dyDescent="0.2">
      <c r="A39">
        <f t="shared" si="0"/>
        <v>1.6</v>
      </c>
      <c r="B39" s="108" t="s">
        <v>673</v>
      </c>
      <c r="C39" s="88" t="s">
        <v>674</v>
      </c>
      <c r="D39" s="107">
        <v>1531.2</v>
      </c>
      <c r="E39" s="96">
        <v>1.6</v>
      </c>
      <c r="F39" s="84" t="s">
        <v>481</v>
      </c>
      <c r="G39" s="85" t="s">
        <v>675</v>
      </c>
      <c r="H39" s="83" t="s">
        <v>676</v>
      </c>
    </row>
    <row r="40" spans="1:8" ht="15" customHeight="1" x14ac:dyDescent="0.2">
      <c r="A40">
        <f t="shared" si="0"/>
        <v>2</v>
      </c>
      <c r="B40" s="108" t="s">
        <v>566</v>
      </c>
      <c r="C40" s="88" t="s">
        <v>677</v>
      </c>
      <c r="D40" s="96" t="s">
        <v>678</v>
      </c>
      <c r="E40" s="96">
        <v>2</v>
      </c>
      <c r="F40" s="84" t="s">
        <v>481</v>
      </c>
      <c r="G40" s="85" t="s">
        <v>679</v>
      </c>
      <c r="H40" s="83" t="s">
        <v>490</v>
      </c>
    </row>
    <row r="41" spans="1:8" ht="15" customHeight="1" x14ac:dyDescent="0.2">
      <c r="A41">
        <f t="shared" si="0"/>
        <v>5.5</v>
      </c>
      <c r="B41" s="108" t="s">
        <v>351</v>
      </c>
      <c r="C41" s="88" t="s">
        <v>680</v>
      </c>
      <c r="D41" s="107">
        <v>1652.9</v>
      </c>
      <c r="E41" s="96">
        <v>5.5</v>
      </c>
      <c r="F41" s="84" t="s">
        <v>481</v>
      </c>
      <c r="G41" s="85" t="s">
        <v>681</v>
      </c>
      <c r="H41" s="83" t="s">
        <v>531</v>
      </c>
    </row>
    <row r="42" spans="1:8" ht="15" customHeight="1" x14ac:dyDescent="0.2">
      <c r="A42">
        <f t="shared" si="0"/>
        <v>0.9</v>
      </c>
      <c r="B42" s="108" t="s">
        <v>682</v>
      </c>
      <c r="C42" s="88" t="s">
        <v>683</v>
      </c>
      <c r="D42" s="107">
        <v>1703</v>
      </c>
      <c r="E42" s="96">
        <v>0.9</v>
      </c>
      <c r="F42" s="84" t="s">
        <v>481</v>
      </c>
      <c r="G42" s="85" t="s">
        <v>684</v>
      </c>
      <c r="H42" s="83" t="s">
        <v>676</v>
      </c>
    </row>
    <row r="43" spans="1:8" ht="15" customHeight="1" x14ac:dyDescent="0.2">
      <c r="A43">
        <f t="shared" si="0"/>
        <v>7.5</v>
      </c>
      <c r="B43" s="108" t="s">
        <v>569</v>
      </c>
      <c r="C43" s="88" t="s">
        <v>685</v>
      </c>
      <c r="D43" s="96" t="s">
        <v>485</v>
      </c>
      <c r="E43" s="96">
        <v>7.5</v>
      </c>
      <c r="F43" s="84" t="s">
        <v>481</v>
      </c>
      <c r="G43" s="85" t="s">
        <v>686</v>
      </c>
      <c r="H43" s="83" t="s">
        <v>490</v>
      </c>
    </row>
    <row r="44" spans="1:8" ht="15" customHeight="1" x14ac:dyDescent="0.2">
      <c r="A44">
        <f t="shared" si="0"/>
        <v>0.5</v>
      </c>
      <c r="B44" s="108" t="s">
        <v>687</v>
      </c>
      <c r="C44" s="88" t="s">
        <v>688</v>
      </c>
      <c r="D44" s="107">
        <v>1706.3</v>
      </c>
      <c r="E44" s="96">
        <v>0.5</v>
      </c>
      <c r="F44" s="84" t="s">
        <v>481</v>
      </c>
      <c r="G44" s="85" t="s">
        <v>689</v>
      </c>
      <c r="H44" s="83" t="s">
        <v>490</v>
      </c>
    </row>
    <row r="45" spans="1:8" ht="33" customHeight="1" x14ac:dyDescent="0.2">
      <c r="A45">
        <f t="shared" si="0"/>
        <v>0.4</v>
      </c>
      <c r="B45" s="108" t="s">
        <v>319</v>
      </c>
      <c r="C45" s="88" t="s">
        <v>690</v>
      </c>
      <c r="D45" s="107">
        <v>1793.1</v>
      </c>
      <c r="E45" s="96">
        <v>0.4</v>
      </c>
      <c r="F45" s="84" t="s">
        <v>481</v>
      </c>
      <c r="G45" s="85" t="s">
        <v>691</v>
      </c>
      <c r="H45" s="88" t="s">
        <v>666</v>
      </c>
    </row>
    <row r="46" spans="1:8" ht="15" customHeight="1" x14ac:dyDescent="0.2">
      <c r="A46">
        <f t="shared" si="0"/>
        <v>0</v>
      </c>
      <c r="B46" s="108" t="s">
        <v>692</v>
      </c>
      <c r="C46" s="88" t="s">
        <v>693</v>
      </c>
      <c r="D46" s="107">
        <v>1893.7</v>
      </c>
      <c r="E46" s="96">
        <v>0</v>
      </c>
      <c r="F46" s="84" t="s">
        <v>481</v>
      </c>
      <c r="G46" s="85" t="s">
        <v>694</v>
      </c>
      <c r="H46" s="83" t="s">
        <v>490</v>
      </c>
    </row>
    <row r="47" spans="1:8" ht="15" customHeight="1" x14ac:dyDescent="0.2">
      <c r="A47">
        <f t="shared" si="0"/>
        <v>3.6</v>
      </c>
      <c r="B47" s="108" t="s">
        <v>695</v>
      </c>
      <c r="C47" s="88" t="s">
        <v>696</v>
      </c>
      <c r="D47" s="96" t="s">
        <v>485</v>
      </c>
      <c r="E47" s="96">
        <v>3.6</v>
      </c>
      <c r="F47" s="84" t="s">
        <v>481</v>
      </c>
      <c r="G47" s="85" t="s">
        <v>697</v>
      </c>
      <c r="H47" s="83" t="s">
        <v>490</v>
      </c>
    </row>
    <row r="48" spans="1:8" ht="15" customHeight="1" x14ac:dyDescent="0.2">
      <c r="A48">
        <f t="shared" si="0"/>
        <v>8</v>
      </c>
      <c r="B48" s="108" t="s">
        <v>322</v>
      </c>
      <c r="C48" s="88" t="s">
        <v>698</v>
      </c>
      <c r="D48" s="107">
        <v>1935.1</v>
      </c>
      <c r="E48" s="96">
        <v>8</v>
      </c>
      <c r="F48" s="84" t="s">
        <v>481</v>
      </c>
      <c r="G48" s="85" t="s">
        <v>699</v>
      </c>
      <c r="H48" s="83" t="s">
        <v>490</v>
      </c>
    </row>
    <row r="49" spans="1:8" ht="15" customHeight="1" x14ac:dyDescent="0.2">
      <c r="A49">
        <f t="shared" si="0"/>
        <v>5</v>
      </c>
      <c r="B49" s="108" t="s">
        <v>324</v>
      </c>
      <c r="C49" s="88" t="s">
        <v>700</v>
      </c>
      <c r="D49" s="107">
        <v>2003.8</v>
      </c>
      <c r="E49" s="96">
        <v>5</v>
      </c>
      <c r="F49" s="84" t="s">
        <v>535</v>
      </c>
      <c r="G49" s="85" t="s">
        <v>701</v>
      </c>
      <c r="H49" s="83" t="s">
        <v>490</v>
      </c>
    </row>
    <row r="50" spans="1:8" ht="15" customHeight="1" x14ac:dyDescent="0.2">
      <c r="A50">
        <f t="shared" si="0"/>
        <v>2</v>
      </c>
      <c r="B50" s="108" t="s">
        <v>702</v>
      </c>
      <c r="C50" s="88" t="s">
        <v>703</v>
      </c>
      <c r="D50" s="107">
        <v>2040.8</v>
      </c>
      <c r="E50" s="96">
        <v>2</v>
      </c>
      <c r="F50" s="84" t="s">
        <v>481</v>
      </c>
      <c r="G50" s="85" t="s">
        <v>704</v>
      </c>
      <c r="H50" s="83" t="s">
        <v>490</v>
      </c>
    </row>
    <row r="51" spans="1:8" ht="15" customHeight="1" x14ac:dyDescent="0.2">
      <c r="A51">
        <f t="shared" si="0"/>
        <v>4</v>
      </c>
      <c r="B51" s="108" t="s">
        <v>325</v>
      </c>
      <c r="C51" s="88" t="s">
        <v>705</v>
      </c>
      <c r="D51" s="107">
        <v>2077.5</v>
      </c>
      <c r="E51" s="96">
        <v>4</v>
      </c>
      <c r="F51" s="84" t="s">
        <v>481</v>
      </c>
      <c r="G51" s="85" t="s">
        <v>706</v>
      </c>
      <c r="H51" s="83" t="s">
        <v>490</v>
      </c>
    </row>
    <row r="52" spans="1:8" ht="15" customHeight="1" x14ac:dyDescent="0.2">
      <c r="A52">
        <f t="shared" si="0"/>
        <v>4</v>
      </c>
      <c r="B52" s="108" t="s">
        <v>325</v>
      </c>
      <c r="C52" s="88" t="s">
        <v>707</v>
      </c>
      <c r="D52" s="96" t="s">
        <v>485</v>
      </c>
      <c r="E52" s="96" t="s">
        <v>485</v>
      </c>
      <c r="F52" s="84" t="s">
        <v>481</v>
      </c>
      <c r="G52" s="85" t="s">
        <v>708</v>
      </c>
      <c r="H52" s="83" t="s">
        <v>490</v>
      </c>
    </row>
    <row r="53" spans="1:8" ht="15" customHeight="1" x14ac:dyDescent="0.2">
      <c r="A53" t="str">
        <f t="shared" si="0"/>
        <v>*</v>
      </c>
      <c r="B53" s="108" t="s">
        <v>326</v>
      </c>
      <c r="C53" s="88" t="s">
        <v>709</v>
      </c>
      <c r="D53" s="96" t="s">
        <v>483</v>
      </c>
      <c r="E53" s="96" t="s">
        <v>483</v>
      </c>
      <c r="F53" s="84" t="s">
        <v>481</v>
      </c>
      <c r="G53" s="85" t="s">
        <v>710</v>
      </c>
      <c r="H53" s="83" t="s">
        <v>490</v>
      </c>
    </row>
    <row r="55" spans="1:8" x14ac:dyDescent="0.2">
      <c r="B55" s="64" t="s">
        <v>738</v>
      </c>
    </row>
    <row r="57" spans="1:8" x14ac:dyDescent="0.2">
      <c r="A57" s="237"/>
      <c r="B57" s="20" t="s">
        <v>788</v>
      </c>
    </row>
    <row r="58" spans="1:8" x14ac:dyDescent="0.2">
      <c r="A58" s="236"/>
      <c r="B58" s="20" t="s">
        <v>2095</v>
      </c>
    </row>
    <row r="59" spans="1:8" x14ac:dyDescent="0.2">
      <c r="A59" s="238"/>
      <c r="B59" s="20" t="s">
        <v>2096</v>
      </c>
    </row>
  </sheetData>
  <conditionalFormatting sqref="A4:A53">
    <cfRule type="cellIs" dxfId="2" priority="1" operator="equal">
      <formula>0</formula>
    </cfRule>
    <cfRule type="cellIs" dxfId="1" priority="2" operator="between">
      <formula>0.1</formula>
      <formula>2</formula>
    </cfRule>
    <cfRule type="cellIs" dxfId="0" priority="3" operator="between">
      <formula>2.1</formula>
      <formula>5</formula>
    </cfRule>
  </conditionalFormatting>
  <hyperlinks>
    <hyperlink ref="B3" r:id="rId1" location="south" display="https://aldha.org/labels/at - south" xr:uid="{00000000-0004-0000-0400-000000000000}"/>
    <hyperlink ref="C3" r:id="rId2" display="javascript:MailingLabel('78')" xr:uid="{00000000-0004-0000-0400-000001000000}"/>
    <hyperlink ref="F3" r:id="rId3" display="https://en.wikipedia.org/wiki/Amicalola_Falls_State_Park" xr:uid="{00000000-0004-0000-0400-000002000000}"/>
    <hyperlink ref="B4" r:id="rId4" location="south" display="https://aldha.org/labels/at - south" xr:uid="{00000000-0004-0000-0400-000003000000}"/>
    <hyperlink ref="C4" r:id="rId5" display="javascript:MailingLabel('56')" xr:uid="{00000000-0004-0000-0400-000004000000}"/>
    <hyperlink ref="F4" r:id="rId6" display="http://www.mountaincrossings.com/" xr:uid="{00000000-0004-0000-0400-000005000000}"/>
    <hyperlink ref="B5" r:id="rId7" location="south" tooltip="or Unicoi Gap" display="https://aldha.org/labels/at - south" xr:uid="{00000000-0004-0000-0400-000006000000}"/>
    <hyperlink ref="C5" r:id="rId8" tooltip="for guests only" display="javascript:MailingLabel('57a')" xr:uid="{00000000-0004-0000-0400-000007000000}"/>
    <hyperlink ref="F5" r:id="rId9" display="http://www.hiawasseebudgetinn.com/" xr:uid="{00000000-0004-0000-0400-000008000000}"/>
    <hyperlink ref="B6" r:id="rId10" location="south" display="https://aldha.org/labels/at - south" xr:uid="{00000000-0004-0000-0400-000009000000}"/>
    <hyperlink ref="C6" r:id="rId11" display="javascript:MailingLabel('57c')" xr:uid="{00000000-0004-0000-0400-00000A000000}"/>
    <hyperlink ref="B7" r:id="rId12" location="south" display="https://aldha.org/labels/at - south" xr:uid="{00000000-0004-0000-0400-00000B000000}"/>
    <hyperlink ref="C7" r:id="rId13" display="javascript:MailingLabel('57b')" xr:uid="{00000000-0004-0000-0400-00000C000000}"/>
    <hyperlink ref="F7" r:id="rId14" display="http://appalachiantrailservices.net/Havenshikerhostel.htm" xr:uid="{00000000-0004-0000-0400-00000D000000}"/>
    <hyperlink ref="B8" r:id="rId15" location="south" display="https://aldha.org/labels/at - south" xr:uid="{00000000-0004-0000-0400-00000E000000}"/>
    <hyperlink ref="C8" r:id="rId16" tooltip="using USPS" display="javascript:MailingLabel('58')" xr:uid="{00000000-0004-0000-0400-00000F000000}"/>
    <hyperlink ref="F8" r:id="rId17" display="http://www.aquonecabins.com/AT.html" xr:uid="{00000000-0004-0000-0400-000010000000}"/>
    <hyperlink ref="B9" r:id="rId18" location="south" display="https://aldha.org/labels/at - south" xr:uid="{00000000-0004-0000-0400-000011000000}"/>
    <hyperlink ref="C9" r:id="rId19" display="javascript:MailingLabel('59')" xr:uid="{00000000-0004-0000-0400-000012000000}"/>
    <hyperlink ref="F9" r:id="rId20" display="http://www.noc.com/" xr:uid="{00000000-0004-0000-0400-000013000000}"/>
    <hyperlink ref="B10" r:id="rId21" location="south" display="https://aldha.org/labels/at - south" xr:uid="{00000000-0004-0000-0400-000014000000}"/>
    <hyperlink ref="C10" r:id="rId22" display="javascript:MailingLabel('59a')" xr:uid="{00000000-0004-0000-0400-000015000000}"/>
    <hyperlink ref="F10" r:id="rId23" display="http://www.fontanavillage.com/" xr:uid="{00000000-0004-0000-0400-000016000000}"/>
    <hyperlink ref="B11" r:id="rId24" location="south" display="https://aldha.org/labels/at - south" xr:uid="{00000000-0004-0000-0400-000017000000}"/>
    <hyperlink ref="C11" r:id="rId25" tooltip="$30 or free with stay" display="javascript:MailingLabel('60')" xr:uid="{00000000-0004-0000-0400-000018000000}"/>
    <hyperlink ref="F11" r:id="rId26" display="http://thehikeinn.com/" xr:uid="{00000000-0004-0000-0400-000019000000}"/>
    <hyperlink ref="B12" r:id="rId27" location="south" display="https://aldha.org/labels/at - south" xr:uid="{00000000-0004-0000-0400-00001A000000}"/>
    <hyperlink ref="C12" r:id="rId28" display="javascript:MailingLabel('60c')" xr:uid="{00000000-0004-0000-0400-00001B000000}"/>
    <hyperlink ref="F12" r:id="rId29" display="https://www.theappylodge.com/" xr:uid="{00000000-0004-0000-0400-00001C000000}"/>
    <hyperlink ref="B13" r:id="rId30" location="south" display="https://aldha.org/labels/at - south" xr:uid="{00000000-0004-0000-0400-00001D000000}"/>
    <hyperlink ref="C13" r:id="rId31" display="javascript:MailingLabel('60a')" xr:uid="{00000000-0004-0000-0400-00001E000000}"/>
    <hyperlink ref="F13" r:id="rId32" display="https://www.motel6.com/en/motels.tn.gatlinburg.4767.html" xr:uid="{00000000-0004-0000-0400-00001F000000}"/>
    <hyperlink ref="B14" r:id="rId33" location="south" display="https://aldha.org/labels/at - south" xr:uid="{00000000-0004-0000-0400-000020000000}"/>
    <hyperlink ref="C14" r:id="rId34" display="javascript:MailingLabel('61')" xr:uid="{00000000-0004-0000-0400-000021000000}"/>
    <hyperlink ref="B15" r:id="rId35" location="south" display="https://aldha.org/labels/at - south" xr:uid="{00000000-0004-0000-0400-000022000000}"/>
    <hyperlink ref="C15" r:id="rId36" display="javascript:MailingLabel('62a')" xr:uid="{00000000-0004-0000-0400-000023000000}"/>
    <hyperlink ref="F15" r:id="rId37" display="http://www.laughingheartlodge.com/index.php/accommodations/hostel/" xr:uid="{00000000-0004-0000-0400-000024000000}"/>
    <hyperlink ref="B16" r:id="rId38" location="south" display="https://aldha.org/labels/at - south" xr:uid="{00000000-0004-0000-0400-000025000000}"/>
    <hyperlink ref="C16" r:id="rId39" display="javascript:MailingLabel('62')" xr:uid="{00000000-0004-0000-0400-000026000000}"/>
    <hyperlink ref="F16" r:id="rId40" display="http://www.sunnybankretreatassociation.org/" xr:uid="{00000000-0004-0000-0400-000027000000}"/>
    <hyperlink ref="B17" r:id="rId41" location="south" display="https://aldha.org/labels/at - south" xr:uid="{00000000-0004-0000-0400-000028000000}"/>
    <hyperlink ref="C17" r:id="rId42" display="javascript:MailingLabel('63')" xr:uid="{00000000-0004-0000-0400-000029000000}"/>
    <hyperlink ref="F17" r:id="rId43" display="https://tinyurl.com/y7el2ra7" xr:uid="{00000000-0004-0000-0400-00002A000000}"/>
    <hyperlink ref="B18" r:id="rId44" location="south" display="https://aldha.org/labels/at - south" xr:uid="{00000000-0004-0000-0400-00002B000000}"/>
    <hyperlink ref="C18" r:id="rId45" display="javascript:MailingLabel('64')" xr:uid="{00000000-0004-0000-0400-00002C000000}"/>
    <hyperlink ref="F18" r:id="rId46" display="http://www.unclejohnnys.net/" xr:uid="{00000000-0004-0000-0400-00002D000000}"/>
    <hyperlink ref="B19" r:id="rId47" location="south" display="https://aldha.org/labels/at - south" xr:uid="{00000000-0004-0000-0400-00002E000000}"/>
    <hyperlink ref="C19" r:id="rId48" display="javascript:MailingLabel('65')" xr:uid="{00000000-0004-0000-0400-00002F000000}"/>
    <hyperlink ref="B20" r:id="rId49" location="south" display="https://aldha.org/labels/at - south" xr:uid="{00000000-0004-0000-0400-000030000000}"/>
    <hyperlink ref="C20" r:id="rId50" display="javascript:MailingLabel('66')" xr:uid="{00000000-0004-0000-0400-000031000000}"/>
    <hyperlink ref="F20" r:id="rId51" display="http://www.mountainharbour.net/" xr:uid="{00000000-0004-0000-0400-000032000000}"/>
    <hyperlink ref="B21" r:id="rId52" location="south" display="https://aldha.org/labels/at - south" xr:uid="{00000000-0004-0000-0400-000033000000}"/>
    <hyperlink ref="C21" r:id="rId53" display="javascript:MailingLabel('66b')" xr:uid="{00000000-0004-0000-0400-000034000000}"/>
    <hyperlink ref="F21" r:id="rId54" display="https://thestationat19e.com/" xr:uid="{00000000-0004-0000-0400-000035000000}"/>
    <hyperlink ref="B22" r:id="rId55" location="south" display="https://aldha.org/labels/at - south" xr:uid="{00000000-0004-0000-0400-000036000000}"/>
    <hyperlink ref="C22" r:id="rId56" display="javascript:MailingLabel('66a')" xr:uid="{00000000-0004-0000-0400-000037000000}"/>
    <hyperlink ref="B23" r:id="rId57" location="south" display="https://aldha.org/labels/at - south" xr:uid="{00000000-0004-0000-0400-000038000000}"/>
    <hyperlink ref="C23" r:id="rId58" display="javascript:MailingLabel('67')" xr:uid="{00000000-0004-0000-0400-000039000000}"/>
    <hyperlink ref="B24" r:id="rId59" location="south" display="https://aldha.org/labels/at - south" xr:uid="{00000000-0004-0000-0400-00003A000000}"/>
    <hyperlink ref="C24" r:id="rId60" display="javascript:MailingLabel('67a')" xr:uid="{00000000-0004-0000-0400-00003B000000}"/>
    <hyperlink ref="F24" r:id="rId61" display="http://blackbearresorttn.com/" xr:uid="{00000000-0004-0000-0400-00003C000000}"/>
    <hyperlink ref="B25" r:id="rId62" location="central" display="https://aldha.org/labels/at - central" xr:uid="{00000000-0004-0000-0400-00003D000000}"/>
    <hyperlink ref="C25" r:id="rId63" display="javascript:MailingLabel('68a')" xr:uid="{00000000-0004-0000-0400-00003E000000}"/>
    <hyperlink ref="F25" r:id="rId64" display="http://mtrogersoutfitters.com/" xr:uid="{00000000-0004-0000-0400-00003F000000}"/>
    <hyperlink ref="B26" r:id="rId65" location="central" display="https://aldha.org/labels/at - central" xr:uid="{00000000-0004-0000-0400-000040000000}"/>
    <hyperlink ref="C26" r:id="rId66" display="javascript:MailingLabel('68')" xr:uid="{00000000-0004-0000-0400-000041000000}"/>
    <hyperlink ref="B27" r:id="rId67" location="central" display="https://aldha.org/labels/at - central" xr:uid="{00000000-0004-0000-0400-000042000000}"/>
    <hyperlink ref="C27" r:id="rId68" display="javascript:MailingLabel('69')" xr:uid="{00000000-0004-0000-0400-000043000000}"/>
    <hyperlink ref="B28" r:id="rId69" location="central" display="https://aldha.org/labels/at - central" xr:uid="{00000000-0004-0000-0400-000044000000}"/>
    <hyperlink ref="C28" r:id="rId70" display="javascript:MailingLabel('70')" xr:uid="{00000000-0004-0000-0400-000045000000}"/>
    <hyperlink ref="F28" r:id="rId71" display="http://www.woodsholehostel.com/" xr:uid="{00000000-0004-0000-0400-000046000000}"/>
    <hyperlink ref="B29" r:id="rId72" location="central" display="https://aldha.org/labels/at - central" xr:uid="{00000000-0004-0000-0400-000047000000}"/>
    <hyperlink ref="C29" r:id="rId73" display="javascript:MailingLabel('71')" xr:uid="{00000000-0004-0000-0400-000048000000}"/>
    <hyperlink ref="B30" r:id="rId74" location="central" display="https://aldha.org/labels/at - central" xr:uid="{00000000-0004-0000-0400-000049000000}"/>
    <hyperlink ref="C30" r:id="rId75" display="javascript:MailingLabel('71a')" xr:uid="{00000000-0004-0000-0400-00004A000000}"/>
    <hyperlink ref="B31" r:id="rId76" location="central" display="https://aldha.org/labels/at - central" xr:uid="{00000000-0004-0000-0400-00004B000000}"/>
    <hyperlink ref="C31" r:id="rId77" display="javascript:MailingLabel('72')" xr:uid="{00000000-0004-0000-0400-00004C000000}"/>
    <hyperlink ref="F31" r:id="rId78" display="https://www.facebook.com/pages/Four-Pines-Hostel/215902991760062" xr:uid="{00000000-0004-0000-0400-00004D000000}"/>
    <hyperlink ref="B32" r:id="rId79" location="central" display="https://aldha.org/labels/at - central" xr:uid="{00000000-0004-0000-0400-00004E000000}"/>
    <hyperlink ref="C32" r:id="rId80" display="javascript:MailingLabel('73')" xr:uid="{00000000-0004-0000-0400-00004F000000}"/>
    <hyperlink ref="F32" r:id="rId81" display="http://www.hojo.com/hotels/virginia/daleville/howard-johnson-inn-daleville-roanoke-north/hotel-        overview?hotel_id=14978" xr:uid="{00000000-0004-0000-0400-000050000000}"/>
    <hyperlink ref="B33" r:id="rId82" location="central" display="https://aldha.org/labels/at - central" xr:uid="{00000000-0004-0000-0400-000051000000}"/>
    <hyperlink ref="C33" r:id="rId83" display="javascript:MailingLabel('74')" xr:uid="{00000000-0004-0000-0400-000052000000}"/>
    <hyperlink ref="F33" r:id="rId84" display="http://www.comfortinn.com/hotel-troutville-virginia-VA413" xr:uid="{00000000-0004-0000-0400-000053000000}"/>
    <hyperlink ref="B34" r:id="rId85" location="central" display="https://aldha.org/labels/at - central" xr:uid="{00000000-0004-0000-0400-000054000000}"/>
    <hyperlink ref="C34" r:id="rId86" display="javascript:MailingLabel('75')" xr:uid="{00000000-0004-0000-0400-000055000000}"/>
    <hyperlink ref="F34" r:id="rId87" display="http://bearsdencenter.org/" xr:uid="{00000000-0004-0000-0400-000056000000}"/>
    <hyperlink ref="B35" r:id="rId88" location="central" display="https://aldha.org/labels/at - central" xr:uid="{00000000-0004-0000-0400-000057000000}"/>
    <hyperlink ref="C35" r:id="rId89" display="javascript:MailingLabel('76a')" xr:uid="{00000000-0004-0000-0400-000058000000}"/>
    <hyperlink ref="F35" r:id="rId90" display="http://www.appalachiantrail.org/hiking/trail-updates/thru-hikers-companion" xr:uid="{00000000-0004-0000-0400-000059000000}"/>
    <hyperlink ref="H35" r:id="rId91" tooltip="UPS or FedEx label" display="javascript:MailingLabel('76b')" xr:uid="{00000000-0004-0000-0400-00005A000000}"/>
    <hyperlink ref="B36" r:id="rId92" location="mid" display="https://aldha.org/labels/at - mid" xr:uid="{00000000-0004-0000-0400-00005B000000}"/>
    <hyperlink ref="C36" r:id="rId93" display="javascript:MailingLabel('79')" xr:uid="{00000000-0004-0000-0400-00005C000000}"/>
    <hyperlink ref="F36" r:id="rId94" display="https://www.kindofoutdoorsy.com/" xr:uid="{00000000-0004-0000-0400-00005D000000}"/>
    <hyperlink ref="B37" r:id="rId95" location="mid" display="https://aldha.org/labels/at - mid" xr:uid="{00000000-0004-0000-0400-00005E000000}"/>
    <hyperlink ref="C37" r:id="rId96" display="javascript:MailingLabel('79a')" xr:uid="{00000000-0004-0000-0400-00005F000000}"/>
    <hyperlink ref="F37" r:id="rId97" display="http://www.microtelinn.com/hotels/pennsylvania/hamburg/microtel-inn-and-suites-hamburg/hotel-        overview" xr:uid="{00000000-0004-0000-0400-000060000000}"/>
    <hyperlink ref="C38" r:id="rId98" display="javascript:MailingLabel('80')" xr:uid="{00000000-0004-0000-0400-000061000000}"/>
    <hyperlink ref="B39" r:id="rId99" location="New" display="https://aldha.org/labels/at - New" xr:uid="{00000000-0004-0000-0400-000062000000}"/>
    <hyperlink ref="C39" r:id="rId100" display="javascript:MailingLabel('81')" xr:uid="{00000000-0004-0000-0400-000063000000}"/>
    <hyperlink ref="F39" r:id="rId101" display="http://eastretreat.org/" xr:uid="{00000000-0004-0000-0400-000064000000}"/>
    <hyperlink ref="B40" r:id="rId102" location="New" display="https://aldha.org/labels/at - New" xr:uid="{00000000-0004-0000-0400-000065000000}"/>
    <hyperlink ref="C40" r:id="rId103" display="javascript:MailingLabel('83')" xr:uid="{00000000-0004-0000-0400-000066000000}"/>
    <hyperlink ref="F40" r:id="rId104" display="http://www.willowsmotel.com/" xr:uid="{00000000-0004-0000-0400-000067000000}"/>
    <hyperlink ref="B41" r:id="rId105" location="New" display="https://aldha.org/labels/at - New" xr:uid="{00000000-0004-0000-0400-000068000000}"/>
    <hyperlink ref="C41" r:id="rId106" display="javascript:MailingLabel('85')" xr:uid="{00000000-0004-0000-0400-000069000000}"/>
    <hyperlink ref="F41" r:id="rId107" display="http://www.mountaingoat.com/" xr:uid="{00000000-0004-0000-0400-00006A000000}"/>
    <hyperlink ref="B42" r:id="rId108" location="New" display="https://aldha.org/labels/at - New" xr:uid="{00000000-0004-0000-0400-00006B000000}"/>
    <hyperlink ref="C42" r:id="rId109" display="javascript:MailingLabel('86')" xr:uid="{00000000-0004-0000-0400-00006C000000}"/>
    <hyperlink ref="F42" r:id="rId110" display="http://www.innatlongtrail.com/Home.html" xr:uid="{00000000-0004-0000-0400-00006D000000}"/>
    <hyperlink ref="B43" r:id="rId111" location="New" display="https://aldha.org/labels/at - New" xr:uid="{00000000-0004-0000-0400-00006E000000}"/>
    <hyperlink ref="C43" r:id="rId112" display="javascript:MailingLabel('87a')" xr:uid="{00000000-0004-0000-0400-00006F000000}"/>
    <hyperlink ref="F43" r:id="rId113" display="http://hikershostel.org/hikers/" xr:uid="{00000000-0004-0000-0400-000070000000}"/>
    <hyperlink ref="B44" r:id="rId114" location="New" display="https://aldha.org/labels/at - New" xr:uid="{00000000-0004-0000-0400-000071000000}"/>
    <hyperlink ref="C44" r:id="rId115" display="javascript:MailingLabel('87')" xr:uid="{00000000-0004-0000-0400-000072000000}"/>
    <hyperlink ref="F44" r:id="rId116" display="http://basecampvt.com/" xr:uid="{00000000-0004-0000-0400-000073000000}"/>
    <hyperlink ref="B45" r:id="rId117" location="New" display="https://aldha.org/labels/at - New" xr:uid="{00000000-0004-0000-0400-000074000000}"/>
    <hyperlink ref="C45" r:id="rId118" tooltip="USPS label" display="javascript:MailingLabel('89')" xr:uid="{00000000-0004-0000-0400-000075000000}"/>
    <hyperlink ref="F45" r:id="rId119" display="https://hikerswelcome.com/" xr:uid="{00000000-0004-0000-0400-000076000000}"/>
    <hyperlink ref="H45" r:id="rId120" tooltip="UPS or FedEx labels" display="javascript:MailingLabel('89a')" xr:uid="{00000000-0004-0000-0400-000077000000}"/>
    <hyperlink ref="B46" r:id="rId121" location="New" display="https://aldha.org/labels/at - New" xr:uid="{00000000-0004-0000-0400-000078000000}"/>
    <hyperlink ref="C46" r:id="rId122" display="javascript:MailingLabel('90')" xr:uid="{00000000-0004-0000-0400-000079000000}"/>
    <hyperlink ref="F46" r:id="rId123" display="https://rattleriverhostel.com/" xr:uid="{00000000-0004-0000-0400-00007A000000}"/>
    <hyperlink ref="B47" r:id="rId124" location="New" display="https://aldha.org/labels/at - New" xr:uid="{00000000-0004-0000-0400-00007B000000}"/>
    <hyperlink ref="C47" r:id="rId125" display="javascript:MailingLabel('91')" xr:uid="{00000000-0004-0000-0400-00007C000000}"/>
    <hyperlink ref="F47" r:id="rId126" display="http://www.libbyhouseinn.webs.com/" xr:uid="{00000000-0004-0000-0400-00007D000000}"/>
    <hyperlink ref="B48" r:id="rId127" location="New" display="https://aldha.org/labels/at - New" xr:uid="{00000000-0004-0000-0400-00007E000000}"/>
    <hyperlink ref="C48" r:id="rId128" display="javascript:MailingLabel('92')" xr:uid="{00000000-0004-0000-0400-00007F000000}"/>
    <hyperlink ref="F48" r:id="rId129" display="http://pineellislodging.com/" xr:uid="{00000000-0004-0000-0400-000080000000}"/>
    <hyperlink ref="B49" r:id="rId130" location="New" display="https://aldha.org/labels/at - New" xr:uid="{00000000-0004-0000-0400-000081000000}"/>
    <hyperlink ref="C49" r:id="rId131" display="javascript:MailingLabel('93')" xr:uid="{00000000-0004-0000-0400-000082000000}"/>
    <hyperlink ref="F49" r:id="rId132" display="http://thestrattonmotel.com/" xr:uid="{00000000-0004-0000-0400-000083000000}"/>
    <hyperlink ref="B50" r:id="rId133" location="New" display="https://aldha.org/labels/at - New" xr:uid="{00000000-0004-0000-0400-000084000000}"/>
    <hyperlink ref="C50" r:id="rId134" display="javascript:MailingLabel('94')" xr:uid="{00000000-0004-0000-0400-000085000000}"/>
    <hyperlink ref="F50" r:id="rId135" display="http://www.northernoutdoors.com/" xr:uid="{00000000-0004-0000-0400-000086000000}"/>
    <hyperlink ref="B51" r:id="rId136" location="New" display="https://aldha.org/labels/at - New" xr:uid="{00000000-0004-0000-0400-000087000000}"/>
    <hyperlink ref="C51" r:id="rId137" display="javascript:MailingLabel('95')" xr:uid="{00000000-0004-0000-0400-000088000000}"/>
    <hyperlink ref="F51" r:id="rId138" display="http://www.shawshikerhostel.com/" xr:uid="{00000000-0004-0000-0400-000089000000}"/>
    <hyperlink ref="B52" r:id="rId139" location="New" display="https://aldha.org/labels/at - New" xr:uid="{00000000-0004-0000-0400-00008A000000}"/>
    <hyperlink ref="C52" r:id="rId140" display="javascript:MailingLabel('96')" xr:uid="{00000000-0004-0000-0400-00008B000000}"/>
    <hyperlink ref="F52" r:id="rId141" display="http://thelakeshorehouse.com/" xr:uid="{00000000-0004-0000-0400-00008C000000}"/>
    <hyperlink ref="B53" r:id="rId142" location="New" display="https://aldha.org/labels/at - New" xr:uid="{00000000-0004-0000-0400-00008D000000}"/>
    <hyperlink ref="C53" r:id="rId143" display="javascript:MailingLabel('97')" xr:uid="{00000000-0004-0000-0400-00008E000000}"/>
    <hyperlink ref="F53" r:id="rId144" display="http://www.appalachiantraillodge.com/" xr:uid="{00000000-0004-0000-0400-00008F000000}"/>
    <hyperlink ref="B55" r:id="rId145" display="https://aldha.org/labels/at" xr:uid="{00000000-0004-0000-0400-000090000000}"/>
  </hyperlinks>
  <pageMargins left="0.5" right="0.5" top="0.75" bottom="0.75" header="0.3" footer="0.3"/>
  <pageSetup orientation="portrait" r:id="rId14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2"/>
  <sheetViews>
    <sheetView workbookViewId="0">
      <pane ySplit="2" topLeftCell="A26" activePane="bottomLeft" state="frozen"/>
      <selection pane="bottomLeft" activeCell="A3" sqref="A3:IV3"/>
    </sheetView>
  </sheetViews>
  <sheetFormatPr defaultRowHeight="12.75" x14ac:dyDescent="0.2"/>
  <cols>
    <col min="1" max="1" width="10.85546875" bestFit="1" customWidth="1"/>
    <col min="2" max="3" width="12" bestFit="1" customWidth="1"/>
    <col min="4" max="4" width="12.28515625" customWidth="1"/>
    <col min="5" max="5" width="39.140625" customWidth="1"/>
    <col min="6" max="6" width="19.7109375" customWidth="1"/>
    <col min="7" max="7" width="17.5703125" customWidth="1"/>
    <col min="8" max="8" width="22" customWidth="1"/>
  </cols>
  <sheetData>
    <row r="1" spans="1:8" ht="15" x14ac:dyDescent="0.25">
      <c r="E1" s="155" t="s">
        <v>950</v>
      </c>
      <c r="F1" s="156"/>
    </row>
    <row r="2" spans="1:8" ht="32.25" thickBot="1" x14ac:dyDescent="0.3">
      <c r="A2" s="7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72" t="s">
        <v>18</v>
      </c>
    </row>
    <row r="3" spans="1:8" ht="51" x14ac:dyDescent="0.2">
      <c r="A3" s="38">
        <v>1</v>
      </c>
      <c r="B3" s="39">
        <f>SUM(C3,-9)</f>
        <v>46462</v>
      </c>
      <c r="C3" s="39">
        <f>'Itinerary-OLD'!C6</f>
        <v>46471</v>
      </c>
      <c r="D3" s="40"/>
      <c r="E3" s="41" t="str">
        <f>("David Smith
c/o General Dilevery
Neels Gap
Hold for A.T. Hiker, expected " &amp;TEXT($C3,"d mmmm"))</f>
        <v>David Smith
c/o General Dilevery
Neels Gap
Hold for A.T. Hiker, expected 25 March</v>
      </c>
      <c r="F3" s="42" t="s">
        <v>26</v>
      </c>
      <c r="G3" s="42"/>
      <c r="H3" s="73" t="s">
        <v>411</v>
      </c>
    </row>
    <row r="4" spans="1:8" ht="38.25" x14ac:dyDescent="0.2">
      <c r="A4" s="43">
        <f>A3+1</f>
        <v>2</v>
      </c>
      <c r="B4" s="44">
        <f>SUM(C4,-9)</f>
        <v>46465</v>
      </c>
      <c r="C4" s="44">
        <f>'Itinerary-OLD'!C10</f>
        <v>46474</v>
      </c>
      <c r="D4" s="45"/>
      <c r="E4" s="46" t="str">
        <f>("Hiawassee, Ga (Poteats 3.5m)
Hold for A.T. hiker, expected " &amp;TEXT(C4,"d mmmm") )</f>
        <v>Hiawassee, Ga (Poteats 3.5m)
Hold for A.T. hiker, expected 28 March</v>
      </c>
      <c r="F4" s="74"/>
      <c r="G4" s="47"/>
      <c r="H4" s="77" t="s">
        <v>419</v>
      </c>
    </row>
    <row r="5" spans="1:8" ht="26.25" x14ac:dyDescent="0.2">
      <c r="A5" s="43">
        <f t="shared" ref="A5:A33" si="0">A4+1</f>
        <v>3</v>
      </c>
      <c r="B5" s="44">
        <f>SUM(C5,-9)</f>
        <v>46462</v>
      </c>
      <c r="C5" s="44">
        <f>'Itinerary-OLD'!C6</f>
        <v>46471</v>
      </c>
      <c r="D5" s="45"/>
      <c r="E5" s="46" t="str">
        <f>("NOC, NC
Hold for A.T. hiker, expected " &amp;TEXT(C5,"d mmmm") )</f>
        <v>NOC, NC
Hold for A.T. hiker, expected 25 March</v>
      </c>
      <c r="F5" s="47"/>
      <c r="G5" s="47"/>
      <c r="H5" s="46" t="s">
        <v>469</v>
      </c>
    </row>
    <row r="6" spans="1:8" ht="51" x14ac:dyDescent="0.2">
      <c r="A6" s="43">
        <f t="shared" si="0"/>
        <v>4</v>
      </c>
      <c r="B6" s="44">
        <f>SUM(C6,-9)</f>
        <v>46473</v>
      </c>
      <c r="C6" s="44">
        <f>'Itinerary-OLD'!C18</f>
        <v>46482</v>
      </c>
      <c r="D6" s="45"/>
      <c r="E6" s="46" t="str">
        <f>("David Smith
c/o General Dilevery
Fontanna Dam, NC 28733
Hold for A.T. Hiker, expected "&amp;TEXT(C6,"d mmmm"))</f>
        <v>David Smith
c/o General Dilevery
Fontanna Dam, NC 28733
Hold for A.T. Hiker, expected 5 April</v>
      </c>
      <c r="F6" s="47"/>
      <c r="G6" s="47"/>
      <c r="H6" s="47" t="s">
        <v>445</v>
      </c>
    </row>
    <row r="7" spans="1:8" ht="26.25" x14ac:dyDescent="0.2">
      <c r="A7" s="43">
        <f t="shared" si="0"/>
        <v>5</v>
      </c>
      <c r="B7" s="44">
        <f>SUM(C7,-9)</f>
        <v>46480</v>
      </c>
      <c r="C7" s="44">
        <f>'Itinerary-OLD'!C27</f>
        <v>46489</v>
      </c>
      <c r="D7" s="45"/>
      <c r="E7" s="46" t="str">
        <f>("Hot Spring, NC
Hold for A.T. hiker, expected " &amp;TEXT(C7,"d mmmm") )</f>
        <v>Hot Spring, NC
Hold for A.T. hiker, expected 12 April</v>
      </c>
      <c r="F7" s="47"/>
      <c r="G7" s="47"/>
      <c r="H7" s="46"/>
    </row>
    <row r="8" spans="1:8" ht="26.25" x14ac:dyDescent="0.2">
      <c r="A8" s="43">
        <f t="shared" si="0"/>
        <v>6</v>
      </c>
      <c r="B8" s="44">
        <f t="shared" ref="B8:B33" si="1">SUM(C8,-9)</f>
        <v>46486</v>
      </c>
      <c r="C8" s="44">
        <f>'Itinerary-OLD'!C33</f>
        <v>46495</v>
      </c>
      <c r="D8" s="45"/>
      <c r="E8" s="46" t="str">
        <f>("Erwin, TN
Hold for A.T. hiker, expected " &amp;TEXT(C8,"d mmmm") )</f>
        <v>Erwin, TN
Hold for A.T. hiker, expected 18 April</v>
      </c>
      <c r="F8" s="47"/>
      <c r="G8" s="47"/>
      <c r="H8" s="47" t="s">
        <v>446</v>
      </c>
    </row>
    <row r="9" spans="1:8" ht="26.25" x14ac:dyDescent="0.2">
      <c r="A9" s="43">
        <f t="shared" si="0"/>
        <v>7</v>
      </c>
      <c r="B9" s="44">
        <f t="shared" si="1"/>
        <v>46491</v>
      </c>
      <c r="C9" s="44">
        <f>'Itinerary-OLD'!C38</f>
        <v>46500</v>
      </c>
      <c r="D9" s="45"/>
      <c r="E9" s="46" t="str">
        <f>("Kincora, TN
Hold for A.T. hiker, expected " &amp;TEXT(C9,"d mmmm") )</f>
        <v>Kincora, TN
Hold for A.T. hiker, expected 23 April</v>
      </c>
      <c r="F9" s="47"/>
      <c r="G9" s="47"/>
      <c r="H9" s="77" t="s">
        <v>447</v>
      </c>
    </row>
    <row r="10" spans="1:8" ht="26.25" x14ac:dyDescent="0.2">
      <c r="A10" s="43">
        <f t="shared" si="0"/>
        <v>8</v>
      </c>
      <c r="B10" s="44">
        <f t="shared" si="1"/>
        <v>46495</v>
      </c>
      <c r="C10" s="44">
        <f>'Itinerary-OLD'!C42</f>
        <v>46504</v>
      </c>
      <c r="D10" s="45"/>
      <c r="E10" s="46" t="str">
        <f>("Damascus, VA
Hold for A.T. hiker, expected " &amp;TEXT(C9,"d mmmm") )</f>
        <v>Damascus, VA
Hold for A.T. hiker, expected 23 April</v>
      </c>
      <c r="G10" s="47"/>
      <c r="H10" s="36"/>
    </row>
    <row r="11" spans="1:8" ht="26.25" x14ac:dyDescent="0.2">
      <c r="A11" s="43">
        <f t="shared" si="0"/>
        <v>9</v>
      </c>
      <c r="B11" s="44">
        <f t="shared" si="1"/>
        <v>46501</v>
      </c>
      <c r="C11" s="44">
        <f>'Itinerary-OLD'!C48</f>
        <v>46510</v>
      </c>
      <c r="D11" s="45"/>
      <c r="E11" s="46" t="str">
        <f>("Atkins, VA
Hold for A.T. hiker, expected " &amp;TEXT(C11,"d mmmm") )</f>
        <v>Atkins, VA
Hold for A.T. hiker, expected 3 May</v>
      </c>
      <c r="F11" s="47"/>
      <c r="G11" s="47"/>
      <c r="H11" s="77" t="s">
        <v>448</v>
      </c>
    </row>
    <row r="12" spans="1:8" ht="26.25" x14ac:dyDescent="0.2">
      <c r="A12" s="43">
        <f t="shared" si="0"/>
        <v>10</v>
      </c>
      <c r="B12" s="44">
        <f t="shared" si="1"/>
        <v>46507</v>
      </c>
      <c r="C12" s="44">
        <f>'Itinerary-OLD'!C54</f>
        <v>46516</v>
      </c>
      <c r="D12" s="45"/>
      <c r="E12" s="46" t="str">
        <f>("Pearisburg, VA
Hold for A.T. hiker, expected " &amp;TEXT(C12,"d mmm") )</f>
        <v>Pearisburg, VA
Hold for A.T. hiker, expected 9 May</v>
      </c>
      <c r="F12" s="47"/>
      <c r="G12" s="47"/>
      <c r="H12" s="36"/>
    </row>
    <row r="13" spans="1:8" ht="26.25" x14ac:dyDescent="0.2">
      <c r="A13" s="43">
        <f t="shared" si="0"/>
        <v>11</v>
      </c>
      <c r="B13" s="44">
        <f t="shared" si="1"/>
        <v>46513</v>
      </c>
      <c r="C13" s="44">
        <f>'Itinerary-OLD'!C60</f>
        <v>46522</v>
      </c>
      <c r="D13" s="45"/>
      <c r="E13" s="46" t="str">
        <f>("Daleville, VA
Hold for A.T. hiker, expected " &amp;TEXT(C13,"d mmmm") )</f>
        <v>Daleville, VA
Hold for A.T. hiker, expected 15 May</v>
      </c>
      <c r="F13" s="47"/>
      <c r="G13" s="47"/>
      <c r="H13" s="36"/>
    </row>
    <row r="14" spans="1:8" ht="26.25" x14ac:dyDescent="0.2">
      <c r="A14" s="43">
        <f t="shared" si="0"/>
        <v>12</v>
      </c>
      <c r="B14" s="44">
        <f t="shared" si="1"/>
        <v>46521</v>
      </c>
      <c r="C14" s="44">
        <f>'Itinerary-OLD'!C68</f>
        <v>46530</v>
      </c>
      <c r="D14" s="45"/>
      <c r="E14" s="46" t="str">
        <f>("Waynesboro, VA
Hold for A.T. hiker, expected " &amp;TEXT(C14,"d mmmm") )</f>
        <v>Waynesboro, VA
Hold for A.T. hiker, expected 23 May</v>
      </c>
      <c r="F14" s="47"/>
      <c r="G14" s="47"/>
      <c r="H14" s="77" t="s">
        <v>449</v>
      </c>
    </row>
    <row r="15" spans="1:8" ht="26.25" x14ac:dyDescent="0.2">
      <c r="A15" s="43">
        <f t="shared" si="0"/>
        <v>13</v>
      </c>
      <c r="B15" s="44">
        <f t="shared" si="1"/>
        <v>46526</v>
      </c>
      <c r="C15" s="44">
        <f>'Itinerary-OLD'!C73</f>
        <v>46535</v>
      </c>
      <c r="D15" s="45"/>
      <c r="E15" s="75" t="str">
        <f>("Linden, VA
Hold for A.T. hiker, expected " &amp;TEXT(C15,"d mmmm") )</f>
        <v>Linden, VA
Hold for A.T. hiker, expected 28 May</v>
      </c>
      <c r="F15" s="47"/>
      <c r="G15" s="47"/>
      <c r="H15" s="36"/>
    </row>
    <row r="16" spans="1:8" ht="26.25" x14ac:dyDescent="0.2">
      <c r="A16" s="43">
        <f t="shared" si="0"/>
        <v>14</v>
      </c>
      <c r="B16" s="44">
        <f t="shared" si="1"/>
        <v>46530</v>
      </c>
      <c r="C16" s="44">
        <f>'Itinerary-OLD'!C77</f>
        <v>46539</v>
      </c>
      <c r="D16" s="45"/>
      <c r="E16" s="75" t="str">
        <f>("Harpers Ferry, WV
Hold for A.T. hiker, expected " &amp;TEXT(C16,"d mmmm") )</f>
        <v>Harpers Ferry, WV
Hold for A.T. hiker, expected 1 June</v>
      </c>
      <c r="F16" s="47"/>
      <c r="G16" s="47"/>
      <c r="H16" s="36"/>
    </row>
    <row r="17" spans="1:8" ht="26.25" x14ac:dyDescent="0.2">
      <c r="A17" s="43"/>
      <c r="B17" s="44"/>
      <c r="C17" s="44">
        <f>'Itinerary-OLD'!C81</f>
        <v>46543</v>
      </c>
      <c r="D17" s="45"/>
      <c r="E17" s="75" t="s">
        <v>453</v>
      </c>
      <c r="F17" s="47"/>
      <c r="G17" s="47"/>
      <c r="H17" s="36" t="s">
        <v>454</v>
      </c>
    </row>
    <row r="18" spans="1:8" ht="26.25" x14ac:dyDescent="0.2">
      <c r="A18" s="43">
        <f>A16+1</f>
        <v>15</v>
      </c>
      <c r="B18" s="44">
        <f t="shared" si="1"/>
        <v>46538</v>
      </c>
      <c r="C18" s="44">
        <f>'Itinerary-OLD'!C85</f>
        <v>46547</v>
      </c>
      <c r="D18" s="45"/>
      <c r="E18" s="75" t="str">
        <f>("Duncannon, PA
Hold for A.T. hiker, expected " &amp;TEXT(C18,"d mmmm") )</f>
        <v>Duncannon, PA
Hold for A.T. hiker, expected 9 June</v>
      </c>
      <c r="F18" s="47"/>
      <c r="G18" s="47"/>
      <c r="H18" s="36"/>
    </row>
    <row r="19" spans="1:8" ht="26.25" x14ac:dyDescent="0.2">
      <c r="A19" s="43">
        <f t="shared" si="0"/>
        <v>16</v>
      </c>
      <c r="B19" s="44">
        <f t="shared" si="1"/>
        <v>46543</v>
      </c>
      <c r="C19" s="44">
        <f>'Itinerary-OLD'!C90</f>
        <v>46552</v>
      </c>
      <c r="D19" s="45"/>
      <c r="E19" s="75" t="str">
        <f>("Port Clinton, PA
Hold for A.T. hiker, expected " &amp;TEXT(C19,"d mmmm") )</f>
        <v>Port Clinton, PA
Hold for A.T. hiker, expected 14 June</v>
      </c>
      <c r="F19" s="47"/>
      <c r="G19" s="47"/>
      <c r="H19" s="36"/>
    </row>
    <row r="20" spans="1:8" ht="26.25" x14ac:dyDescent="0.2">
      <c r="A20" s="43">
        <f t="shared" si="0"/>
        <v>17</v>
      </c>
      <c r="B20" s="44">
        <f t="shared" si="1"/>
        <v>46548</v>
      </c>
      <c r="C20" s="44">
        <f>'Itinerary-OLD'!C95</f>
        <v>46557</v>
      </c>
      <c r="D20" s="45"/>
      <c r="E20" s="75" t="str">
        <f>("DWG, PA
Hold for A.T. hiker, expected " &amp;TEXT(C20,"d mmmm") )</f>
        <v>DWG, PA
Hold for A.T. hiker, expected 19 June</v>
      </c>
      <c r="F20" s="47"/>
      <c r="G20" s="47"/>
      <c r="H20" s="36"/>
    </row>
    <row r="21" spans="1:8" ht="26.25" x14ac:dyDescent="0.2">
      <c r="A21" s="43">
        <f t="shared" si="0"/>
        <v>18</v>
      </c>
      <c r="B21" s="44">
        <f t="shared" si="1"/>
        <v>46552</v>
      </c>
      <c r="C21" s="44">
        <f>'Itinerary-OLD'!C99</f>
        <v>46561</v>
      </c>
      <c r="D21" s="45"/>
      <c r="E21" s="75" t="str">
        <f>("Vernon, NJ
Hold for A.T. hiker, expected " &amp;TEXT(C21,"d mmmm") )</f>
        <v>Vernon, NJ
Hold for A.T. hiker, expected 23 June</v>
      </c>
      <c r="F21" s="47"/>
      <c r="G21" s="47"/>
      <c r="H21" s="77" t="s">
        <v>450</v>
      </c>
    </row>
    <row r="22" spans="1:8" ht="26.25" x14ac:dyDescent="0.2">
      <c r="A22" s="43">
        <f t="shared" si="0"/>
        <v>19</v>
      </c>
      <c r="B22" s="44">
        <f t="shared" si="1"/>
        <v>46556</v>
      </c>
      <c r="C22" s="44">
        <f>'Itinerary-OLD'!C103</f>
        <v>46565</v>
      </c>
      <c r="D22" s="45"/>
      <c r="E22" s="75" t="str">
        <f>("Bear Mountain, NY
Hold for A.T. hiker, expected " &amp;TEXT(C22,"d mmmm") )</f>
        <v>Bear Mountain, NY
Hold for A.T. hiker, expected 27 June</v>
      </c>
      <c r="F22" s="47"/>
      <c r="G22" s="47"/>
      <c r="H22" s="36"/>
    </row>
    <row r="23" spans="1:8" ht="26.25" x14ac:dyDescent="0.2">
      <c r="A23" s="43">
        <f t="shared" si="0"/>
        <v>20</v>
      </c>
      <c r="B23" s="44">
        <f t="shared" si="1"/>
        <v>46561</v>
      </c>
      <c r="C23" s="44">
        <f>'Itinerary-OLD'!C108</f>
        <v>46570</v>
      </c>
      <c r="D23" s="45"/>
      <c r="E23" s="36" t="str">
        <f>("Falls Village, CT
Hold for A.T. hiker, expected " &amp;TEXT(C23,"d mmmm") )</f>
        <v>Falls Village, CT
Hold for A.T. hiker, expected 2 July</v>
      </c>
      <c r="F23" s="47"/>
      <c r="G23" s="47"/>
      <c r="H23" s="36"/>
    </row>
    <row r="24" spans="1:8" ht="26.25" x14ac:dyDescent="0.2">
      <c r="A24" s="43">
        <f t="shared" si="0"/>
        <v>21</v>
      </c>
      <c r="B24" s="44">
        <f t="shared" si="1"/>
        <v>46568</v>
      </c>
      <c r="C24" s="44">
        <f>'Itinerary-OLD'!C115</f>
        <v>46577</v>
      </c>
      <c r="D24" s="45"/>
      <c r="E24" s="36" t="str">
        <f>("Cheshire, MA
Hold for A.T. hiker, expected " &amp;TEXT(C24,"d mmmm") )</f>
        <v>Cheshire, MA
Hold for A.T. hiker, expected 9 July</v>
      </c>
      <c r="F24" s="47"/>
      <c r="G24" s="47"/>
      <c r="H24" s="36"/>
    </row>
    <row r="25" spans="1:8" ht="29.25" customHeight="1" x14ac:dyDescent="0.2">
      <c r="A25" s="43">
        <f t="shared" si="0"/>
        <v>22</v>
      </c>
      <c r="B25" s="44">
        <f t="shared" si="1"/>
        <v>46574</v>
      </c>
      <c r="C25" s="44">
        <f>'Itinerary-OLD'!C121</f>
        <v>46583</v>
      </c>
      <c r="D25" s="45"/>
      <c r="E25" s="37" t="str">
        <f>("Manchester Center, VT 
Hold for A.T. hiker, expected " &amp;TEXT(C25,"d mmmm") )</f>
        <v>Manchester Center, VT 
Hold for A.T. hiker, expected 15 July</v>
      </c>
      <c r="F25" s="47" t="s">
        <v>468</v>
      </c>
      <c r="G25" s="48" t="s">
        <v>437</v>
      </c>
      <c r="H25" s="48" t="s">
        <v>451</v>
      </c>
    </row>
    <row r="26" spans="1:8" ht="26.25" x14ac:dyDescent="0.2">
      <c r="A26" s="43">
        <f t="shared" si="0"/>
        <v>23</v>
      </c>
      <c r="B26" s="44">
        <f t="shared" si="1"/>
        <v>46580</v>
      </c>
      <c r="C26" s="44">
        <f>'Itinerary-OLD'!C127</f>
        <v>46589</v>
      </c>
      <c r="D26" s="45"/>
      <c r="E26" s="46" t="str">
        <f>("Hanover, NH
Hold for A.T. hiker, expected " &amp;TEXT(C26,"d mmmm") )</f>
        <v>Hanover, NH
Hold for A.T. hiker, expected 21 July</v>
      </c>
      <c r="F26" s="47"/>
      <c r="G26" s="47"/>
      <c r="H26" s="36"/>
    </row>
    <row r="27" spans="1:8" ht="51" x14ac:dyDescent="0.2">
      <c r="A27" s="43">
        <f t="shared" si="0"/>
        <v>24</v>
      </c>
      <c r="B27" s="44">
        <f t="shared" si="1"/>
        <v>46585</v>
      </c>
      <c r="C27" s="44">
        <f>'Itinerary-OLD'!C132</f>
        <v>46594</v>
      </c>
      <c r="D27" s="45"/>
      <c r="E27" s="46" t="str">
        <f>("David Smith
c/o General Delivery
Glencliff, NH 03238
Hold for A.T. hiker, expected " &amp;TEXT(C27,"d mmmm") )</f>
        <v>David Smith
c/o General Delivery
Glencliff, NH 03238
Hold for A.T. hiker, expected 26 July</v>
      </c>
      <c r="F27" s="48"/>
      <c r="G27" s="47"/>
      <c r="H27" s="36"/>
    </row>
    <row r="28" spans="1:8" ht="26.25" x14ac:dyDescent="0.2">
      <c r="A28" s="43">
        <f t="shared" si="0"/>
        <v>25</v>
      </c>
      <c r="B28" s="44">
        <f t="shared" si="1"/>
        <v>46588</v>
      </c>
      <c r="C28" s="44">
        <f>'Itinerary-OLD'!C135</f>
        <v>46597</v>
      </c>
      <c r="D28" s="45"/>
      <c r="E28" s="46" t="str">
        <f>("North Woodstock, NH 
Hold for A.T. hiker, expected " &amp;TEXT(C28,"d mmmm") )</f>
        <v>North Woodstock, NH 
Hold for A.T. hiker, expected 29 July</v>
      </c>
      <c r="F28" s="47"/>
      <c r="G28" s="47"/>
      <c r="H28" s="77" t="s">
        <v>455</v>
      </c>
    </row>
    <row r="29" spans="1:8" ht="26.25" x14ac:dyDescent="0.2">
      <c r="A29" s="43">
        <f t="shared" si="0"/>
        <v>26</v>
      </c>
      <c r="B29" s="44">
        <f t="shared" si="1"/>
        <v>46593</v>
      </c>
      <c r="C29" s="44">
        <f>'Itinerary-OLD'!C140</f>
        <v>46602</v>
      </c>
      <c r="D29" s="45"/>
      <c r="E29" s="46" t="str">
        <f>("Gorham, NH
Hold for A.T. hiker, expected " &amp;TEXT(C29,"d mmmm") )</f>
        <v>Gorham, NH
Hold for A.T. hiker, expected 3 August</v>
      </c>
      <c r="F29" s="47"/>
      <c r="G29" s="47"/>
      <c r="H29" s="77" t="s">
        <v>456</v>
      </c>
    </row>
    <row r="30" spans="1:8" ht="26.25" x14ac:dyDescent="0.2">
      <c r="A30" s="43">
        <f t="shared" si="0"/>
        <v>27</v>
      </c>
      <c r="B30" s="44">
        <f t="shared" si="1"/>
        <v>46598</v>
      </c>
      <c r="C30" s="44">
        <f>'Itinerary-OLD'!C145</f>
        <v>46607</v>
      </c>
      <c r="D30" s="45"/>
      <c r="E30" s="36" t="str">
        <f>("Andover, ME
Hold for A.T. hiker, expected " &amp;TEXT(C30,"d mmmm") )</f>
        <v>Andover, ME
Hold for A.T. hiker, expected 8 August</v>
      </c>
      <c r="F30" s="47"/>
      <c r="G30" s="47"/>
      <c r="H30" s="36"/>
    </row>
    <row r="31" spans="1:8" ht="26.25" x14ac:dyDescent="0.2">
      <c r="A31" s="43">
        <f t="shared" si="0"/>
        <v>28</v>
      </c>
      <c r="B31" s="44">
        <f t="shared" si="1"/>
        <v>46604</v>
      </c>
      <c r="C31" s="44">
        <f>'Itinerary-OLD'!C151</f>
        <v>46613</v>
      </c>
      <c r="D31" s="45"/>
      <c r="E31" s="36" t="str">
        <f>("Strantton, ME
Hold for A.T. hiker, expected " &amp;TEXT(C31,"d mmmm") )</f>
        <v>Strantton, ME
Hold for A.T. hiker, expected 14 August</v>
      </c>
      <c r="F31" s="47"/>
      <c r="G31" s="47"/>
      <c r="H31" s="36"/>
    </row>
    <row r="32" spans="1:8" ht="26.25" x14ac:dyDescent="0.2">
      <c r="A32" s="43">
        <f t="shared" si="0"/>
        <v>29</v>
      </c>
      <c r="B32" s="44">
        <f t="shared" si="1"/>
        <v>46609</v>
      </c>
      <c r="C32" s="44">
        <f>'Itinerary-OLD'!C156</f>
        <v>46618</v>
      </c>
      <c r="D32" s="45"/>
      <c r="E32" s="36" t="str">
        <f>("Monson, ME
Hold for A.T. hiker, expected " &amp;TEXT(C32,"d mmmm") )</f>
        <v>Monson, ME
Hold for A.T. hiker, expected 19 August</v>
      </c>
      <c r="F32" s="47"/>
      <c r="G32" s="47"/>
      <c r="H32" s="36"/>
    </row>
    <row r="33" spans="1:8" ht="26.25" x14ac:dyDescent="0.2">
      <c r="A33" s="43">
        <f t="shared" si="0"/>
        <v>30</v>
      </c>
      <c r="B33" s="44">
        <f t="shared" si="1"/>
        <v>46615</v>
      </c>
      <c r="C33" s="44">
        <f>'Itinerary-OLD'!C162</f>
        <v>46624</v>
      </c>
      <c r="D33" s="45"/>
      <c r="E33" s="36" t="str">
        <f>("Abol Bridge, ME
Hold for A.T. hiker, expected " &amp;TEXT(C33,"d mmmm") )</f>
        <v>Abol Bridge, ME
Hold for A.T. hiker, expected 25 August</v>
      </c>
      <c r="F33" s="47"/>
      <c r="G33" s="47"/>
      <c r="H33" s="36"/>
    </row>
    <row r="34" spans="1:8" ht="26.25" x14ac:dyDescent="0.2">
      <c r="A34" s="43"/>
      <c r="B34" s="44"/>
      <c r="C34" s="44"/>
      <c r="D34" s="45"/>
      <c r="E34" s="46"/>
      <c r="F34" s="47"/>
      <c r="G34" s="47"/>
      <c r="H34" s="46"/>
    </row>
    <row r="36" spans="1:8" x14ac:dyDescent="0.2">
      <c r="E36" t="s">
        <v>375</v>
      </c>
    </row>
    <row r="37" spans="1:8" x14ac:dyDescent="0.2">
      <c r="E37" s="64" t="s">
        <v>376</v>
      </c>
    </row>
    <row r="40" spans="1:8" x14ac:dyDescent="0.2">
      <c r="E40" t="s">
        <v>408</v>
      </c>
    </row>
    <row r="41" spans="1:8" x14ac:dyDescent="0.2">
      <c r="E41" t="s">
        <v>409</v>
      </c>
    </row>
    <row r="42" spans="1:8" x14ac:dyDescent="0.2">
      <c r="E42" t="s">
        <v>410</v>
      </c>
    </row>
    <row r="43" spans="1:8" x14ac:dyDescent="0.2">
      <c r="E43" s="78" t="s">
        <v>444</v>
      </c>
    </row>
    <row r="44" spans="1:8" x14ac:dyDescent="0.2">
      <c r="E44" s="78"/>
    </row>
    <row r="46" spans="1:8" x14ac:dyDescent="0.2">
      <c r="E46" t="s">
        <v>411</v>
      </c>
    </row>
    <row r="47" spans="1:8" x14ac:dyDescent="0.2">
      <c r="E47" s="35" t="s">
        <v>419</v>
      </c>
    </row>
    <row r="48" spans="1:8" x14ac:dyDescent="0.2">
      <c r="E48" t="s">
        <v>412</v>
      </c>
    </row>
    <row r="49" spans="5:5" x14ac:dyDescent="0.2">
      <c r="E49" s="35" t="s">
        <v>420</v>
      </c>
    </row>
    <row r="50" spans="5:5" x14ac:dyDescent="0.2">
      <c r="E50" t="s">
        <v>413</v>
      </c>
    </row>
    <row r="51" spans="5:5" x14ac:dyDescent="0.2">
      <c r="E51" s="35" t="s">
        <v>421</v>
      </c>
    </row>
    <row r="52" spans="5:5" x14ac:dyDescent="0.2">
      <c r="E52" s="35" t="s">
        <v>422</v>
      </c>
    </row>
    <row r="53" spans="5:5" x14ac:dyDescent="0.2">
      <c r="E53" t="s">
        <v>414</v>
      </c>
    </row>
    <row r="54" spans="5:5" x14ac:dyDescent="0.2">
      <c r="E54" s="35" t="s">
        <v>423</v>
      </c>
    </row>
    <row r="55" spans="5:5" x14ac:dyDescent="0.2">
      <c r="E55" t="s">
        <v>415</v>
      </c>
    </row>
    <row r="56" spans="5:5" x14ac:dyDescent="0.2">
      <c r="E56" t="s">
        <v>416</v>
      </c>
    </row>
    <row r="57" spans="5:5" x14ac:dyDescent="0.2">
      <c r="E57" s="35" t="s">
        <v>424</v>
      </c>
    </row>
    <row r="58" spans="5:5" x14ac:dyDescent="0.2">
      <c r="E58" t="s">
        <v>417</v>
      </c>
    </row>
    <row r="59" spans="5:5" x14ac:dyDescent="0.2">
      <c r="E59" t="s">
        <v>418</v>
      </c>
    </row>
    <row r="61" spans="5:5" x14ac:dyDescent="0.2">
      <c r="E61" t="s">
        <v>429</v>
      </c>
    </row>
    <row r="62" spans="5:5" x14ac:dyDescent="0.2">
      <c r="E62" t="s">
        <v>457</v>
      </c>
    </row>
    <row r="64" spans="5:5" x14ac:dyDescent="0.2">
      <c r="E64" t="s">
        <v>430</v>
      </c>
    </row>
    <row r="66" spans="5:5" x14ac:dyDescent="0.2">
      <c r="E66" t="s">
        <v>425</v>
      </c>
    </row>
    <row r="67" spans="5:5" x14ac:dyDescent="0.2">
      <c r="E67" t="s">
        <v>426</v>
      </c>
    </row>
    <row r="68" spans="5:5" x14ac:dyDescent="0.2">
      <c r="E68" t="s">
        <v>431</v>
      </c>
    </row>
    <row r="69" spans="5:5" x14ac:dyDescent="0.2">
      <c r="E69" s="35" t="s">
        <v>432</v>
      </c>
    </row>
    <row r="70" spans="5:5" x14ac:dyDescent="0.2">
      <c r="E70" t="s">
        <v>433</v>
      </c>
    </row>
    <row r="71" spans="5:5" x14ac:dyDescent="0.2">
      <c r="E71" t="s">
        <v>434</v>
      </c>
    </row>
    <row r="72" spans="5:5" x14ac:dyDescent="0.2">
      <c r="E72" t="s">
        <v>435</v>
      </c>
    </row>
    <row r="73" spans="5:5" x14ac:dyDescent="0.2">
      <c r="E73" s="35" t="s">
        <v>436</v>
      </c>
    </row>
    <row r="74" spans="5:5" x14ac:dyDescent="0.2">
      <c r="E74" t="s">
        <v>437</v>
      </c>
    </row>
    <row r="75" spans="5:5" x14ac:dyDescent="0.2">
      <c r="E75" t="s">
        <v>438</v>
      </c>
    </row>
    <row r="76" spans="5:5" x14ac:dyDescent="0.2">
      <c r="E76" t="s">
        <v>439</v>
      </c>
    </row>
    <row r="77" spans="5:5" x14ac:dyDescent="0.2">
      <c r="E77" s="35" t="s">
        <v>440</v>
      </c>
    </row>
    <row r="78" spans="5:5" x14ac:dyDescent="0.2">
      <c r="E78" s="35" t="s">
        <v>441</v>
      </c>
    </row>
    <row r="79" spans="5:5" x14ac:dyDescent="0.2">
      <c r="E79" t="s">
        <v>271</v>
      </c>
    </row>
    <row r="80" spans="5:5" x14ac:dyDescent="0.2">
      <c r="E80" t="s">
        <v>442</v>
      </c>
    </row>
    <row r="81" spans="5:5" x14ac:dyDescent="0.2">
      <c r="E81" t="s">
        <v>443</v>
      </c>
    </row>
    <row r="82" spans="5:5" x14ac:dyDescent="0.2">
      <c r="E82" t="s">
        <v>273</v>
      </c>
    </row>
  </sheetData>
  <phoneticPr fontId="2" type="noConversion"/>
  <hyperlinks>
    <hyperlink ref="E37" r:id="rId1" xr:uid="{00000000-0004-0000-0200-000000000000}"/>
  </hyperlinks>
  <pageMargins left="0.75" right="0.75" top="1" bottom="1" header="0.5" footer="0.5"/>
  <pageSetup scale="85" fitToHeight="4" orientation="landscape" r:id="rId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"/>
  <sheetViews>
    <sheetView workbookViewId="0">
      <selection activeCell="A13" sqref="A13"/>
    </sheetView>
  </sheetViews>
  <sheetFormatPr defaultRowHeight="12.75" x14ac:dyDescent="0.2"/>
  <cols>
    <col min="1" max="1" width="28" customWidth="1"/>
    <col min="2" max="2" width="67.140625" customWidth="1"/>
    <col min="3" max="3" width="19.28515625" customWidth="1"/>
    <col min="4" max="4" width="4.28515625" customWidth="1"/>
  </cols>
  <sheetData>
    <row r="1" spans="1:5" x14ac:dyDescent="0.2">
      <c r="A1" s="20" t="s">
        <v>735</v>
      </c>
      <c r="B1" s="64" t="s">
        <v>734</v>
      </c>
      <c r="C1" s="135"/>
      <c r="E1" s="121" t="s">
        <v>760</v>
      </c>
    </row>
    <row r="2" spans="1:5" x14ac:dyDescent="0.2">
      <c r="A2" s="20" t="s">
        <v>737</v>
      </c>
      <c r="B2" s="64" t="s">
        <v>736</v>
      </c>
      <c r="C2" s="135"/>
    </row>
    <row r="3" spans="1:5" x14ac:dyDescent="0.2">
      <c r="A3" s="20" t="s">
        <v>739</v>
      </c>
      <c r="B3" s="64" t="s">
        <v>738</v>
      </c>
      <c r="C3" s="135"/>
      <c r="E3" s="122" t="s">
        <v>761</v>
      </c>
    </row>
    <row r="4" spans="1:5" x14ac:dyDescent="0.2">
      <c r="C4" s="20"/>
      <c r="E4" s="121" t="s">
        <v>762</v>
      </c>
    </row>
    <row r="5" spans="1:5" x14ac:dyDescent="0.2">
      <c r="A5" s="20" t="s">
        <v>742</v>
      </c>
      <c r="B5" s="64" t="s">
        <v>733</v>
      </c>
      <c r="C5" s="135"/>
      <c r="E5" s="121" t="s">
        <v>763</v>
      </c>
    </row>
    <row r="6" spans="1:5" x14ac:dyDescent="0.2">
      <c r="A6" s="20" t="s">
        <v>741</v>
      </c>
      <c r="B6" s="64" t="s">
        <v>740</v>
      </c>
      <c r="C6" s="135"/>
      <c r="E6" s="121" t="s">
        <v>764</v>
      </c>
    </row>
    <row r="7" spans="1:5" x14ac:dyDescent="0.2">
      <c r="A7" s="20" t="s">
        <v>743</v>
      </c>
      <c r="B7" s="65" t="s">
        <v>754</v>
      </c>
      <c r="C7" s="135"/>
      <c r="E7" s="121" t="s">
        <v>765</v>
      </c>
    </row>
    <row r="8" spans="1:5" x14ac:dyDescent="0.2">
      <c r="A8" s="20" t="s">
        <v>744</v>
      </c>
      <c r="B8" s="64" t="s">
        <v>755</v>
      </c>
      <c r="C8" s="135"/>
      <c r="E8" s="121" t="s">
        <v>766</v>
      </c>
    </row>
    <row r="9" spans="1:5" x14ac:dyDescent="0.2">
      <c r="A9" s="20" t="s">
        <v>757</v>
      </c>
      <c r="B9" s="64" t="s">
        <v>756</v>
      </c>
      <c r="C9" s="134"/>
      <c r="E9" s="121" t="s">
        <v>767</v>
      </c>
    </row>
    <row r="10" spans="1:5" x14ac:dyDescent="0.2">
      <c r="A10" s="20" t="s">
        <v>758</v>
      </c>
      <c r="B10" s="64" t="s">
        <v>759</v>
      </c>
      <c r="C10" s="133" t="s">
        <v>787</v>
      </c>
      <c r="E10" s="121" t="s">
        <v>768</v>
      </c>
    </row>
    <row r="11" spans="1:5" x14ac:dyDescent="0.2">
      <c r="C11" s="20"/>
      <c r="E11" s="121" t="s">
        <v>769</v>
      </c>
    </row>
    <row r="12" spans="1:5" x14ac:dyDescent="0.2">
      <c r="A12" s="20" t="s">
        <v>792</v>
      </c>
      <c r="B12" s="64" t="s">
        <v>791</v>
      </c>
      <c r="C12" s="20"/>
      <c r="E12" s="121" t="s">
        <v>770</v>
      </c>
    </row>
    <row r="13" spans="1:5" x14ac:dyDescent="0.2">
      <c r="C13" s="20"/>
      <c r="E13" s="121" t="s">
        <v>771</v>
      </c>
    </row>
    <row r="14" spans="1:5" x14ac:dyDescent="0.2">
      <c r="C14" s="20"/>
      <c r="E14" s="121" t="s">
        <v>772</v>
      </c>
    </row>
    <row r="15" spans="1:5" x14ac:dyDescent="0.2">
      <c r="C15" s="20"/>
    </row>
    <row r="16" spans="1:5" x14ac:dyDescent="0.2">
      <c r="A16" s="20" t="s">
        <v>753</v>
      </c>
      <c r="C16" s="20"/>
      <c r="E16" s="121" t="s">
        <v>773</v>
      </c>
    </row>
    <row r="17" spans="1:5" x14ac:dyDescent="0.2">
      <c r="C17" s="20"/>
    </row>
    <row r="18" spans="1:5" ht="15" x14ac:dyDescent="0.2">
      <c r="A18" s="118" t="s">
        <v>745</v>
      </c>
      <c r="C18" s="20"/>
      <c r="E18" s="122" t="s">
        <v>774</v>
      </c>
    </row>
    <row r="19" spans="1:5" ht="15" x14ac:dyDescent="0.2">
      <c r="A19" s="118" t="s">
        <v>746</v>
      </c>
      <c r="C19" s="20"/>
      <c r="E19" s="121" t="s">
        <v>775</v>
      </c>
    </row>
    <row r="20" spans="1:5" ht="15" x14ac:dyDescent="0.2">
      <c r="A20" s="118" t="s">
        <v>747</v>
      </c>
      <c r="C20" s="20"/>
      <c r="E20" s="121" t="s">
        <v>776</v>
      </c>
    </row>
    <row r="21" spans="1:5" x14ac:dyDescent="0.2">
      <c r="C21" s="20"/>
      <c r="E21" s="121" t="s">
        <v>777</v>
      </c>
    </row>
    <row r="22" spans="1:5" x14ac:dyDescent="0.2">
      <c r="A22" s="119"/>
      <c r="C22" s="20"/>
      <c r="E22" s="121" t="s">
        <v>778</v>
      </c>
    </row>
    <row r="23" spans="1:5" x14ac:dyDescent="0.2">
      <c r="A23" s="119"/>
      <c r="C23" s="20"/>
      <c r="E23" s="121" t="s">
        <v>779</v>
      </c>
    </row>
    <row r="24" spans="1:5" x14ac:dyDescent="0.2">
      <c r="A24" s="119"/>
      <c r="E24" s="121" t="s">
        <v>780</v>
      </c>
    </row>
    <row r="25" spans="1:5" x14ac:dyDescent="0.2">
      <c r="A25" s="119"/>
      <c r="E25" s="121" t="s">
        <v>781</v>
      </c>
    </row>
    <row r="26" spans="1:5" ht="15" x14ac:dyDescent="0.2">
      <c r="A26" s="119"/>
      <c r="C26" s="120"/>
      <c r="E26" s="121" t="s">
        <v>782</v>
      </c>
    </row>
    <row r="27" spans="1:5" ht="15" x14ac:dyDescent="0.2">
      <c r="A27" s="120"/>
      <c r="B27" s="120" t="s">
        <v>745</v>
      </c>
      <c r="C27" s="120"/>
      <c r="E27" s="121" t="s">
        <v>783</v>
      </c>
    </row>
    <row r="28" spans="1:5" ht="15" x14ac:dyDescent="0.2">
      <c r="A28" s="120"/>
      <c r="B28" s="120" t="s">
        <v>748</v>
      </c>
      <c r="C28" s="120"/>
      <c r="E28" s="121" t="s">
        <v>784</v>
      </c>
    </row>
    <row r="29" spans="1:5" ht="15" x14ac:dyDescent="0.2">
      <c r="A29" s="120"/>
      <c r="B29" s="120" t="s">
        <v>749</v>
      </c>
      <c r="C29" s="120"/>
      <c r="E29" s="121" t="s">
        <v>785</v>
      </c>
    </row>
    <row r="30" spans="1:5" ht="15" x14ac:dyDescent="0.2">
      <c r="A30" s="120"/>
      <c r="B30" s="120" t="s">
        <v>750</v>
      </c>
      <c r="E30" s="121" t="s">
        <v>786</v>
      </c>
    </row>
    <row r="36" spans="1:1" ht="15" x14ac:dyDescent="0.2">
      <c r="A36" s="118" t="s">
        <v>751</v>
      </c>
    </row>
    <row r="37" spans="1:1" ht="15" x14ac:dyDescent="0.2">
      <c r="A37" s="118"/>
    </row>
    <row r="38" spans="1:1" ht="15" x14ac:dyDescent="0.2">
      <c r="A38" s="118" t="s">
        <v>752</v>
      </c>
    </row>
  </sheetData>
  <hyperlinks>
    <hyperlink ref="B5" r:id="rId1" display="https://www.whiteblazepages.com/store/" xr:uid="{00000000-0004-0000-0700-000000000000}"/>
    <hyperlink ref="B6" r:id="rId2" display="https://www.whiteblaze.net/forum/articles/2022-hostels.pdf" xr:uid="{00000000-0004-0000-0700-000001000000}"/>
    <hyperlink ref="B7" r:id="rId3" display="https://www.whiteblaze.net/forum/articles/2021-post-offices.pdf" xr:uid="{00000000-0004-0000-0700-000002000000}"/>
    <hyperlink ref="B8" r:id="rId4" display="https://whiteblaze.net/forum/articles/at-resupply.pdf" xr:uid="{00000000-0004-0000-0700-000003000000}"/>
    <hyperlink ref="B9" r:id="rId5" display="https://www.whiteblaze.net/forum/articles/2022-Shelters.pdf" xr:uid="{00000000-0004-0000-0700-000004000000}"/>
    <hyperlink ref="B10" r:id="rId6" display="https://whiteblaze.net/forum/content.php/44-AT-Hiking-Rates-Section-by-Section" xr:uid="{00000000-0004-0000-0700-000005000000}"/>
    <hyperlink ref="B1" r:id="rId7" display="https://aldha.org/companion" xr:uid="{00000000-0004-0000-0700-000006000000}"/>
    <hyperlink ref="B2" r:id="rId8" display="https://aldha.org/planning" xr:uid="{00000000-0004-0000-0700-000007000000}"/>
    <hyperlink ref="B3" r:id="rId9" display="https://aldha.org/labels/at" xr:uid="{00000000-0004-0000-0700-000008000000}"/>
    <hyperlink ref="B12" r:id="rId10" display="http://appalachiantrailtravelguide.com/appalachian-trail-shelters-by-mileage/" xr:uid="{00000000-0004-0000-0700-000009000000}"/>
  </hyperlinks>
  <pageMargins left="0.7" right="0.7" top="0.75" bottom="0.75" header="0.3" footer="0.3"/>
  <pageSetup orientation="landscape" r:id="rId1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9"/>
  <sheetViews>
    <sheetView workbookViewId="0">
      <selection activeCell="B7" sqref="B7"/>
    </sheetView>
  </sheetViews>
  <sheetFormatPr defaultRowHeight="12.75" x14ac:dyDescent="0.2"/>
  <sheetData>
    <row r="2" spans="1:1" x14ac:dyDescent="0.2">
      <c r="A2" t="s">
        <v>19</v>
      </c>
    </row>
    <row r="3" spans="1:1" x14ac:dyDescent="0.2">
      <c r="A3" t="s">
        <v>20</v>
      </c>
    </row>
    <row r="4" spans="1:1" x14ac:dyDescent="0.2">
      <c r="A4" t="s">
        <v>21</v>
      </c>
    </row>
    <row r="5" spans="1:1" x14ac:dyDescent="0.2">
      <c r="A5" t="s">
        <v>22</v>
      </c>
    </row>
    <row r="6" spans="1:1" x14ac:dyDescent="0.2">
      <c r="A6" t="s">
        <v>23</v>
      </c>
    </row>
    <row r="7" spans="1:1" x14ac:dyDescent="0.2">
      <c r="A7" t="s">
        <v>24</v>
      </c>
    </row>
    <row r="9" spans="1:1" x14ac:dyDescent="0.2">
      <c r="A9" t="s">
        <v>25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15</vt:i4>
      </vt:variant>
    </vt:vector>
  </HeadingPairs>
  <TitlesOfParts>
    <vt:vector size="25" baseType="lpstr">
      <vt:lpstr>Itinerary-OLD</vt:lpstr>
      <vt:lpstr>Itinerary</vt:lpstr>
      <vt:lpstr>Postholer</vt:lpstr>
      <vt:lpstr>Shelters</vt:lpstr>
      <vt:lpstr>Resupply</vt:lpstr>
      <vt:lpstr>Post Offices</vt:lpstr>
      <vt:lpstr>Hostels_Drops</vt:lpstr>
      <vt:lpstr>MailDrops</vt:lpstr>
      <vt:lpstr>Info</vt:lpstr>
      <vt:lpstr>PriceCalc</vt:lpstr>
      <vt:lpstr>'Post Offices'!central</vt:lpstr>
      <vt:lpstr>Hostels_Drops!HostelN</vt:lpstr>
      <vt:lpstr>Hostels_Drops!Hostels</vt:lpstr>
      <vt:lpstr>Hostels_Drops!HostelV</vt:lpstr>
      <vt:lpstr>'Post Offices'!Legend</vt:lpstr>
      <vt:lpstr>'Post Offices'!mid</vt:lpstr>
      <vt:lpstr>'Post Offices'!New</vt:lpstr>
      <vt:lpstr>Itinerary!Print_Area</vt:lpstr>
      <vt:lpstr>'Itinerary-OLD'!Print_Area</vt:lpstr>
      <vt:lpstr>Hostels_Drops!Print_Titles</vt:lpstr>
      <vt:lpstr>Itinerary!Print_Titles</vt:lpstr>
      <vt:lpstr>'Itinerary-OLD'!Print_Titles</vt:lpstr>
      <vt:lpstr>MailDrops!Print_Titles</vt:lpstr>
      <vt:lpstr>Resupply!Print_Titles</vt:lpstr>
      <vt:lpstr>Shelters!Print_Titles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David P</cp:lastModifiedBy>
  <cp:lastPrinted>2022-08-18T18:31:02Z</cp:lastPrinted>
  <dcterms:created xsi:type="dcterms:W3CDTF">1996-10-14T23:33:28Z</dcterms:created>
  <dcterms:modified xsi:type="dcterms:W3CDTF">2026-02-17T21:14:13Z</dcterms:modified>
</cp:coreProperties>
</file>