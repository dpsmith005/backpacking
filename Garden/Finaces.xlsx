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llspan-my.sharepoint.com/personal/dsmith14_wellspan_org/Documents/Documents/GitHub/dps/"/>
    </mc:Choice>
  </mc:AlternateContent>
  <xr:revisionPtr revIDLastSave="115" documentId="8_{CF683769-300F-46A7-B869-15D0829E1258}" xr6:coauthVersionLast="47" xr6:coauthVersionMax="47" xr10:uidLastSave="{CA838FAE-A988-45BF-A01C-8621CEDF5F52}"/>
  <bookViews>
    <workbookView xWindow="735" yWindow="195" windowWidth="21600" windowHeight="15795" xr2:uid="{3107E129-E4FF-4BFB-940E-7FEDFEECAD41}"/>
  </bookViews>
  <sheets>
    <sheet name="Income" sheetId="1" r:id="rId1"/>
    <sheet name="Investments" sheetId="2" r:id="rId2"/>
    <sheet name="Debt" sheetId="3" r:id="rId3"/>
    <sheet name="Funer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B10" i="1"/>
  <c r="B6" i="1"/>
  <c r="B7" i="1" s="1"/>
  <c r="B11" i="1" s="1"/>
  <c r="G8" i="2"/>
  <c r="G18" i="2" s="1"/>
  <c r="G12" i="2"/>
</calcChain>
</file>

<file path=xl/sharedStrings.xml><?xml version="1.0" encoding="utf-8"?>
<sst xmlns="http://schemas.openxmlformats.org/spreadsheetml/2006/main" count="89" uniqueCount="55">
  <si>
    <t>Type</t>
  </si>
  <si>
    <t>Amount</t>
  </si>
  <si>
    <t>Person</t>
  </si>
  <si>
    <t>School Pension</t>
  </si>
  <si>
    <t>Social Security</t>
  </si>
  <si>
    <t>Sharon</t>
  </si>
  <si>
    <t>David</t>
  </si>
  <si>
    <t>amount</t>
  </si>
  <si>
    <t>Forester Loan</t>
  </si>
  <si>
    <t>Truck Loan</t>
  </si>
  <si>
    <t>per month</t>
  </si>
  <si>
    <t>Frequency</t>
  </si>
  <si>
    <t>End Date</t>
  </si>
  <si>
    <t>Investor</t>
  </si>
  <si>
    <t>Belongs to</t>
  </si>
  <si>
    <t>Stifle</t>
  </si>
  <si>
    <t>Account Number</t>
  </si>
  <si>
    <t>Date</t>
  </si>
  <si>
    <t>TOD</t>
  </si>
  <si>
    <t>No</t>
  </si>
  <si>
    <t>PSECU Checking</t>
  </si>
  <si>
    <t>PSECU Savings</t>
  </si>
  <si>
    <t>PSECU Christmas</t>
  </si>
  <si>
    <t>Equity Line Citizens</t>
  </si>
  <si>
    <t>Both</t>
  </si>
  <si>
    <t>403B Wellspan</t>
  </si>
  <si>
    <t>Thrivent Traditional IRA</t>
  </si>
  <si>
    <t>Thrivent Individual</t>
  </si>
  <si>
    <t>S0001</t>
  </si>
  <si>
    <t>S0004</t>
  </si>
  <si>
    <t>S0003</t>
  </si>
  <si>
    <t>Balance</t>
  </si>
  <si>
    <t>Updated</t>
  </si>
  <si>
    <t>PSECU</t>
  </si>
  <si>
    <t>Sign up in March 2026</t>
  </si>
  <si>
    <t>total</t>
  </si>
  <si>
    <t>Thrivent Roth IRA</t>
  </si>
  <si>
    <t>Thrivent Annuaties</t>
  </si>
  <si>
    <t>VA2005675</t>
  </si>
  <si>
    <t>MY2056034</t>
  </si>
  <si>
    <t>Thrivent Guaranteed</t>
  </si>
  <si>
    <t>Vanguard</t>
  </si>
  <si>
    <t>Joint</t>
  </si>
  <si>
    <t>Fidelity traditional IRA</t>
  </si>
  <si>
    <t>Medicare $202</t>
  </si>
  <si>
    <t>Monthly</t>
  </si>
  <si>
    <t>Annual</t>
  </si>
  <si>
    <t>From investments per month</t>
  </si>
  <si>
    <t>From investments Annual</t>
  </si>
  <si>
    <t>Total Annual Income</t>
  </si>
  <si>
    <t>$100,000 Line of credit</t>
  </si>
  <si>
    <t>Chase Bank</t>
  </si>
  <si>
    <t>Info about about arrangemnets and wishes</t>
  </si>
  <si>
    <t>estimate</t>
  </si>
  <si>
    <t>With home value estimated 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</si>
</sst>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8" fontId="0" fillId="0" borderId="0" xfId="0" applyNumberFormat="1"/>
    <xf numFmtId="14" fontId="0" fillId="0" borderId="0" xfId="0" applyNumberFormat="1"/>
    <xf numFmtId="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F2AF-FAE0-441D-8D45-4BCA2F71A66A}">
  <dimension ref="A1:E33"/>
  <sheetViews>
    <sheetView tabSelected="1" workbookViewId="0">
      <selection activeCell="C12" sqref="C12"/>
    </sheetView>
  </sheetViews>
  <sheetFormatPr defaultRowHeight="15" x14ac:dyDescent="0.25"/>
  <cols>
    <col min="1" max="1" width="17" customWidth="1"/>
    <col min="2" max="3" width="11.140625" customWidth="1"/>
    <col min="4" max="4" width="9.7109375" customWidth="1"/>
  </cols>
  <sheetData>
    <row r="1" spans="1:5" x14ac:dyDescent="0.25">
      <c r="A1" s="2" t="s">
        <v>0</v>
      </c>
      <c r="B1" s="2" t="s">
        <v>1</v>
      </c>
      <c r="C1" s="2" t="s">
        <v>11</v>
      </c>
      <c r="D1" s="2" t="s">
        <v>2</v>
      </c>
    </row>
    <row r="2" spans="1:5" x14ac:dyDescent="0.25">
      <c r="A2" t="s">
        <v>3</v>
      </c>
      <c r="B2" s="1">
        <v>1162.43</v>
      </c>
      <c r="C2" s="1" t="s">
        <v>10</v>
      </c>
      <c r="D2" t="s">
        <v>5</v>
      </c>
    </row>
    <row r="3" spans="1:5" x14ac:dyDescent="0.25">
      <c r="A3" t="s">
        <v>4</v>
      </c>
      <c r="B3" s="1">
        <v>2230.9</v>
      </c>
      <c r="C3" s="1" t="s">
        <v>10</v>
      </c>
      <c r="D3" t="s">
        <v>5</v>
      </c>
      <c r="E3" t="s">
        <v>44</v>
      </c>
    </row>
    <row r="4" spans="1:5" x14ac:dyDescent="0.25">
      <c r="A4" t="s">
        <v>4</v>
      </c>
      <c r="B4" s="1">
        <v>2400</v>
      </c>
      <c r="C4" s="1" t="s">
        <v>10</v>
      </c>
      <c r="D4" t="s">
        <v>6</v>
      </c>
      <c r="E4" t="s">
        <v>34</v>
      </c>
    </row>
    <row r="5" spans="1:5" x14ac:dyDescent="0.25">
      <c r="B5" s="1"/>
    </row>
    <row r="6" spans="1:5" x14ac:dyDescent="0.25">
      <c r="B6" s="1">
        <f>SUM(B2:B4)</f>
        <v>5793.33</v>
      </c>
      <c r="C6" s="1" t="s">
        <v>45</v>
      </c>
    </row>
    <row r="7" spans="1:5" x14ac:dyDescent="0.25">
      <c r="B7" s="1">
        <f>B6*12</f>
        <v>69519.959999999992</v>
      </c>
      <c r="C7" s="1" t="s">
        <v>46</v>
      </c>
    </row>
    <row r="8" spans="1:5" x14ac:dyDescent="0.25">
      <c r="B8" s="1"/>
      <c r="C8" s="1"/>
    </row>
    <row r="9" spans="1:5" x14ac:dyDescent="0.25">
      <c r="B9" s="1">
        <v>2500</v>
      </c>
      <c r="C9" s="1" t="s">
        <v>47</v>
      </c>
    </row>
    <row r="10" spans="1:5" x14ac:dyDescent="0.25">
      <c r="B10" s="1">
        <f>B9*12</f>
        <v>30000</v>
      </c>
      <c r="C10" s="1" t="s">
        <v>48</v>
      </c>
    </row>
    <row r="11" spans="1:5" x14ac:dyDescent="0.25">
      <c r="B11" s="1">
        <f>B7+B10</f>
        <v>99519.959999999992</v>
      </c>
      <c r="C11" s="1" t="s">
        <v>49</v>
      </c>
    </row>
    <row r="12" spans="1:5" x14ac:dyDescent="0.25">
      <c r="B12" s="1"/>
    </row>
    <row r="13" spans="1:5" x14ac:dyDescent="0.25">
      <c r="B13" s="1"/>
    </row>
    <row r="14" spans="1:5" x14ac:dyDescent="0.25">
      <c r="B14" s="1"/>
    </row>
    <row r="15" spans="1:5" x14ac:dyDescent="0.25">
      <c r="B15" s="1"/>
    </row>
    <row r="16" spans="1:5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5F6B-8159-4836-A524-8D8D87AD058A}">
  <dimension ref="A1:G34"/>
  <sheetViews>
    <sheetView workbookViewId="0">
      <selection activeCell="D23" sqref="D23"/>
    </sheetView>
  </sheetViews>
  <sheetFormatPr defaultRowHeight="15" x14ac:dyDescent="0.25"/>
  <cols>
    <col min="1" max="1" width="26.28515625" customWidth="1"/>
    <col min="2" max="2" width="11.85546875" customWidth="1"/>
    <col min="3" max="3" width="17.140625" customWidth="1"/>
    <col min="4" max="4" width="14" customWidth="1"/>
    <col min="5" max="5" width="10.7109375" customWidth="1"/>
    <col min="7" max="7" width="11.7109375" bestFit="1" customWidth="1"/>
  </cols>
  <sheetData>
    <row r="1" spans="1:7" x14ac:dyDescent="0.25">
      <c r="A1" s="2" t="s">
        <v>13</v>
      </c>
      <c r="B1" s="2" t="s">
        <v>14</v>
      </c>
      <c r="C1" s="2" t="s">
        <v>16</v>
      </c>
      <c r="D1" s="2" t="s">
        <v>1</v>
      </c>
      <c r="E1" s="2" t="s">
        <v>17</v>
      </c>
      <c r="F1" s="2" t="s">
        <v>18</v>
      </c>
    </row>
    <row r="2" spans="1:7" x14ac:dyDescent="0.25">
      <c r="A2" t="s">
        <v>43</v>
      </c>
      <c r="B2" t="s">
        <v>5</v>
      </c>
      <c r="C2">
        <v>329354953</v>
      </c>
      <c r="D2" s="1">
        <v>60427.48</v>
      </c>
      <c r="E2" s="4">
        <v>46077</v>
      </c>
      <c r="F2" t="s">
        <v>19</v>
      </c>
    </row>
    <row r="3" spans="1:7" x14ac:dyDescent="0.25">
      <c r="A3" t="s">
        <v>26</v>
      </c>
      <c r="B3" t="s">
        <v>5</v>
      </c>
      <c r="C3">
        <v>8700406142</v>
      </c>
      <c r="D3" s="1">
        <v>25384.11</v>
      </c>
      <c r="E3" s="4">
        <v>46077</v>
      </c>
      <c r="F3" t="s">
        <v>19</v>
      </c>
    </row>
    <row r="4" spans="1:7" x14ac:dyDescent="0.25">
      <c r="A4" t="s">
        <v>36</v>
      </c>
      <c r="B4" t="s">
        <v>5</v>
      </c>
      <c r="C4">
        <v>9941308008</v>
      </c>
      <c r="D4" s="1">
        <v>81317.919999999998</v>
      </c>
      <c r="E4" s="4">
        <v>46077</v>
      </c>
      <c r="F4" t="s">
        <v>19</v>
      </c>
    </row>
    <row r="5" spans="1:7" x14ac:dyDescent="0.25">
      <c r="A5" t="s">
        <v>37</v>
      </c>
      <c r="B5" t="s">
        <v>5</v>
      </c>
      <c r="C5" t="s">
        <v>38</v>
      </c>
      <c r="D5" s="1">
        <v>52125.46</v>
      </c>
      <c r="E5" s="4">
        <v>46077</v>
      </c>
      <c r="F5" t="s">
        <v>19</v>
      </c>
    </row>
    <row r="6" spans="1:7" x14ac:dyDescent="0.25">
      <c r="A6" t="s">
        <v>40</v>
      </c>
      <c r="B6" t="s">
        <v>5</v>
      </c>
      <c r="C6" t="s">
        <v>39</v>
      </c>
      <c r="D6" s="1">
        <v>76448.94</v>
      </c>
      <c r="E6" s="4">
        <v>46077</v>
      </c>
      <c r="F6" t="s">
        <v>19</v>
      </c>
    </row>
    <row r="7" spans="1:7" x14ac:dyDescent="0.25">
      <c r="A7" t="s">
        <v>41</v>
      </c>
      <c r="B7" t="s">
        <v>42</v>
      </c>
      <c r="C7">
        <v>59958907</v>
      </c>
      <c r="D7" s="1">
        <v>33094.730000000003</v>
      </c>
      <c r="E7" s="4">
        <v>46077</v>
      </c>
      <c r="F7" t="s">
        <v>19</v>
      </c>
    </row>
    <row r="8" spans="1:7" x14ac:dyDescent="0.25">
      <c r="A8" t="s">
        <v>15</v>
      </c>
      <c r="B8" t="s">
        <v>5</v>
      </c>
      <c r="C8" t="s">
        <v>53</v>
      </c>
      <c r="D8" s="1">
        <v>140000</v>
      </c>
      <c r="F8" t="s">
        <v>19</v>
      </c>
      <c r="G8" s="5">
        <f>SUM(D2:D8)</f>
        <v>468798.64</v>
      </c>
    </row>
    <row r="9" spans="1:7" x14ac:dyDescent="0.25">
      <c r="D9" s="1"/>
    </row>
    <row r="10" spans="1:7" x14ac:dyDescent="0.25">
      <c r="A10" t="s">
        <v>26</v>
      </c>
      <c r="B10" t="s">
        <v>6</v>
      </c>
      <c r="C10">
        <v>9941307968</v>
      </c>
      <c r="D10" s="1">
        <v>437287.5</v>
      </c>
      <c r="E10" s="4">
        <v>46077</v>
      </c>
      <c r="F10" t="s">
        <v>19</v>
      </c>
    </row>
    <row r="11" spans="1:7" x14ac:dyDescent="0.25">
      <c r="A11" t="s">
        <v>27</v>
      </c>
      <c r="B11" t="s">
        <v>6</v>
      </c>
      <c r="C11">
        <v>805139217</v>
      </c>
      <c r="D11" s="1">
        <v>29553.05</v>
      </c>
      <c r="E11" s="4">
        <v>46077</v>
      </c>
      <c r="F11" t="s">
        <v>19</v>
      </c>
    </row>
    <row r="12" spans="1:7" x14ac:dyDescent="0.25">
      <c r="A12" t="s">
        <v>25</v>
      </c>
      <c r="B12" t="s">
        <v>6</v>
      </c>
      <c r="D12" s="1">
        <v>518900.71</v>
      </c>
      <c r="E12" s="4">
        <v>46077</v>
      </c>
      <c r="F12" t="s">
        <v>19</v>
      </c>
      <c r="G12" s="5">
        <f>SUM(D10:D12)</f>
        <v>985741.26</v>
      </c>
    </row>
    <row r="13" spans="1:7" x14ac:dyDescent="0.25">
      <c r="D13" s="1"/>
    </row>
    <row r="14" spans="1:7" x14ac:dyDescent="0.25">
      <c r="A14" t="s">
        <v>33</v>
      </c>
      <c r="B14" t="s">
        <v>24</v>
      </c>
      <c r="C14">
        <v>8782951308</v>
      </c>
      <c r="D14" s="1"/>
    </row>
    <row r="15" spans="1:7" x14ac:dyDescent="0.25">
      <c r="A15" t="s">
        <v>20</v>
      </c>
      <c r="B15" t="s">
        <v>24</v>
      </c>
      <c r="C15" t="s">
        <v>28</v>
      </c>
      <c r="D15" s="1">
        <v>331.93</v>
      </c>
      <c r="E15" s="4">
        <v>46077</v>
      </c>
    </row>
    <row r="16" spans="1:7" x14ac:dyDescent="0.25">
      <c r="A16" t="s">
        <v>21</v>
      </c>
      <c r="B16" t="s">
        <v>24</v>
      </c>
      <c r="C16" t="s">
        <v>29</v>
      </c>
      <c r="D16" s="1">
        <v>21178.16</v>
      </c>
      <c r="E16" s="4">
        <v>46077</v>
      </c>
    </row>
    <row r="17" spans="1:7" x14ac:dyDescent="0.25">
      <c r="A17" t="s">
        <v>22</v>
      </c>
      <c r="B17" t="s">
        <v>24</v>
      </c>
      <c r="C17" t="s">
        <v>30</v>
      </c>
      <c r="D17" s="1">
        <v>1779.44</v>
      </c>
      <c r="E17" s="4">
        <v>46077</v>
      </c>
    </row>
    <row r="18" spans="1:7" x14ac:dyDescent="0.25">
      <c r="D18" s="1"/>
      <c r="G18" s="5">
        <f>G8+G12</f>
        <v>1454539.9</v>
      </c>
    </row>
    <row r="19" spans="1:7" x14ac:dyDescent="0.25">
      <c r="D19" s="1"/>
    </row>
    <row r="20" spans="1:7" x14ac:dyDescent="0.25">
      <c r="A20" t="s">
        <v>54</v>
      </c>
      <c r="B20">
        <v>450000</v>
      </c>
      <c r="C20" s="5">
        <f>G18+B20</f>
        <v>1904539.9</v>
      </c>
      <c r="D20" s="1"/>
    </row>
    <row r="21" spans="1:7" x14ac:dyDescent="0.25">
      <c r="D21" s="1"/>
    </row>
    <row r="22" spans="1:7" x14ac:dyDescent="0.25">
      <c r="D22" s="1"/>
    </row>
    <row r="23" spans="1:7" x14ac:dyDescent="0.25">
      <c r="D23" s="1"/>
    </row>
    <row r="24" spans="1:7" x14ac:dyDescent="0.25">
      <c r="D24" s="1"/>
    </row>
    <row r="25" spans="1:7" x14ac:dyDescent="0.25">
      <c r="D25" s="1"/>
    </row>
    <row r="26" spans="1:7" x14ac:dyDescent="0.25">
      <c r="D26" s="1"/>
    </row>
    <row r="27" spans="1:7" x14ac:dyDescent="0.25">
      <c r="D27" s="1"/>
    </row>
    <row r="28" spans="1:7" x14ac:dyDescent="0.25">
      <c r="D28" s="1"/>
    </row>
    <row r="29" spans="1:7" x14ac:dyDescent="0.25">
      <c r="D29" s="1"/>
    </row>
    <row r="30" spans="1:7" x14ac:dyDescent="0.25">
      <c r="D30" s="1"/>
    </row>
    <row r="31" spans="1:7" x14ac:dyDescent="0.25">
      <c r="D31" s="1"/>
    </row>
    <row r="32" spans="1:7" x14ac:dyDescent="0.25">
      <c r="D32" s="1"/>
    </row>
    <row r="33" spans="4:4" x14ac:dyDescent="0.25">
      <c r="D33" s="1"/>
    </row>
    <row r="34" spans="4:4" x14ac:dyDescent="0.25">
      <c r="D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578D-918E-423F-A389-9AA1EFCCB757}">
  <dimension ref="A1:H27"/>
  <sheetViews>
    <sheetView workbookViewId="0">
      <selection activeCell="F3" sqref="F3"/>
    </sheetView>
  </sheetViews>
  <sheetFormatPr defaultRowHeight="15" x14ac:dyDescent="0.25"/>
  <cols>
    <col min="1" max="1" width="17.85546875" bestFit="1" customWidth="1"/>
    <col min="2" max="2" width="17.85546875" customWidth="1"/>
    <col min="3" max="3" width="11.28515625" customWidth="1"/>
    <col min="4" max="6" width="12" customWidth="1"/>
    <col min="7" max="7" width="12.140625" customWidth="1"/>
    <col min="8" max="8" width="18.28515625" customWidth="1"/>
  </cols>
  <sheetData>
    <row r="1" spans="1:8" x14ac:dyDescent="0.25">
      <c r="A1" s="2" t="s">
        <v>0</v>
      </c>
      <c r="B1" s="2" t="s">
        <v>16</v>
      </c>
      <c r="C1" s="2" t="s">
        <v>7</v>
      </c>
      <c r="D1" s="2" t="s">
        <v>11</v>
      </c>
      <c r="E1" s="2" t="s">
        <v>31</v>
      </c>
      <c r="F1" s="2" t="s">
        <v>32</v>
      </c>
      <c r="G1" s="2" t="s">
        <v>12</v>
      </c>
      <c r="H1" s="2" t="s">
        <v>16</v>
      </c>
    </row>
    <row r="2" spans="1:8" x14ac:dyDescent="0.25">
      <c r="A2" t="s">
        <v>8</v>
      </c>
      <c r="B2" t="s">
        <v>51</v>
      </c>
      <c r="C2" s="3">
        <v>598.1</v>
      </c>
      <c r="D2" t="s">
        <v>10</v>
      </c>
      <c r="E2" s="5"/>
      <c r="F2" s="4">
        <v>46077</v>
      </c>
      <c r="G2" s="6">
        <v>47574</v>
      </c>
    </row>
    <row r="3" spans="1:8" x14ac:dyDescent="0.25">
      <c r="A3" t="s">
        <v>9</v>
      </c>
      <c r="B3" t="s">
        <v>33</v>
      </c>
      <c r="C3" s="1">
        <v>369.95</v>
      </c>
      <c r="D3" t="s">
        <v>10</v>
      </c>
      <c r="E3" s="5">
        <v>1102.96</v>
      </c>
      <c r="F3" s="4">
        <v>46077</v>
      </c>
      <c r="G3" s="6">
        <v>46143</v>
      </c>
    </row>
    <row r="4" spans="1:8" x14ac:dyDescent="0.25">
      <c r="C4" s="1"/>
      <c r="E4" s="5"/>
      <c r="F4" s="4"/>
    </row>
    <row r="5" spans="1:8" x14ac:dyDescent="0.25">
      <c r="A5" t="s">
        <v>23</v>
      </c>
      <c r="B5">
        <v>6027915254</v>
      </c>
      <c r="C5" s="1">
        <v>2750</v>
      </c>
      <c r="D5" t="s">
        <v>35</v>
      </c>
      <c r="E5" s="5">
        <v>25752.080000000002</v>
      </c>
      <c r="F5" s="4">
        <v>46077</v>
      </c>
      <c r="H5" t="s">
        <v>50</v>
      </c>
    </row>
    <row r="6" spans="1:8" x14ac:dyDescent="0.25">
      <c r="C6" s="5"/>
      <c r="E6" s="5"/>
      <c r="F6" s="4"/>
    </row>
    <row r="7" spans="1:8" x14ac:dyDescent="0.25">
      <c r="C7" s="5"/>
      <c r="E7" s="5"/>
      <c r="F7" s="4"/>
    </row>
    <row r="8" spans="1:8" x14ac:dyDescent="0.25">
      <c r="C8" s="5"/>
      <c r="E8" s="5"/>
      <c r="F8" s="4"/>
    </row>
    <row r="9" spans="1:8" x14ac:dyDescent="0.25">
      <c r="C9" s="5"/>
      <c r="E9" s="5"/>
      <c r="F9" s="4"/>
    </row>
    <row r="10" spans="1:8" x14ac:dyDescent="0.25">
      <c r="C10" s="5"/>
      <c r="E10" s="5"/>
      <c r="F10" s="4"/>
    </row>
    <row r="11" spans="1:8" x14ac:dyDescent="0.25">
      <c r="C11" s="5"/>
      <c r="E11" s="5"/>
      <c r="F11" s="4"/>
    </row>
    <row r="12" spans="1:8" x14ac:dyDescent="0.25">
      <c r="C12" s="5"/>
      <c r="E12" s="5"/>
      <c r="F12" s="4"/>
    </row>
    <row r="13" spans="1:8" x14ac:dyDescent="0.25">
      <c r="C13" s="5"/>
      <c r="E13" s="5"/>
      <c r="F13" s="4"/>
    </row>
    <row r="14" spans="1:8" x14ac:dyDescent="0.25">
      <c r="C14" s="5"/>
      <c r="E14" s="5"/>
      <c r="F14" s="4"/>
    </row>
    <row r="15" spans="1:8" x14ac:dyDescent="0.25">
      <c r="C15" s="5"/>
      <c r="E15" s="5"/>
      <c r="F15" s="4"/>
    </row>
    <row r="16" spans="1:8" x14ac:dyDescent="0.25">
      <c r="C16" s="5"/>
      <c r="E16" s="5"/>
      <c r="F16" s="4"/>
    </row>
    <row r="17" spans="3:6" x14ac:dyDescent="0.25">
      <c r="C17" s="5"/>
      <c r="E17" s="5"/>
      <c r="F17" s="4"/>
    </row>
    <row r="18" spans="3:6" x14ac:dyDescent="0.25">
      <c r="C18" s="5"/>
      <c r="E18" s="5"/>
      <c r="F18" s="4"/>
    </row>
    <row r="19" spans="3:6" x14ac:dyDescent="0.25">
      <c r="C19" s="5"/>
      <c r="E19" s="5"/>
      <c r="F19" s="4"/>
    </row>
    <row r="20" spans="3:6" x14ac:dyDescent="0.25">
      <c r="C20" s="5"/>
      <c r="E20" s="5"/>
    </row>
    <row r="21" spans="3:6" x14ac:dyDescent="0.25">
      <c r="C21" s="5"/>
      <c r="E21" s="5"/>
    </row>
    <row r="22" spans="3:6" x14ac:dyDescent="0.25">
      <c r="E22" s="5"/>
    </row>
    <row r="23" spans="3:6" x14ac:dyDescent="0.25">
      <c r="E23" s="5"/>
    </row>
    <row r="24" spans="3:6" x14ac:dyDescent="0.25">
      <c r="E24" s="5"/>
    </row>
    <row r="25" spans="3:6" x14ac:dyDescent="0.25">
      <c r="E25" s="5"/>
    </row>
    <row r="26" spans="3:6" x14ac:dyDescent="0.25">
      <c r="E26" s="5"/>
    </row>
    <row r="27" spans="3:6" x14ac:dyDescent="0.25">
      <c r="E2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BABD-BABE-433D-A687-052C80F16604}">
  <dimension ref="A2"/>
  <sheetViews>
    <sheetView workbookViewId="0">
      <selection activeCell="A3" sqref="A3"/>
    </sheetView>
  </sheetViews>
  <sheetFormatPr defaultRowHeight="15" x14ac:dyDescent="0.25"/>
  <sheetData>
    <row r="2" spans="1:1" x14ac:dyDescent="0.25">
      <c r="A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</vt:lpstr>
      <vt:lpstr>Investments</vt:lpstr>
      <vt:lpstr>Debt</vt:lpstr>
      <vt:lpstr>Funeral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David P</dc:creator>
  <cp:lastModifiedBy>Smith, David P</cp:lastModifiedBy>
  <dcterms:created xsi:type="dcterms:W3CDTF">2026-02-24T18:18:22Z</dcterms:created>
  <dcterms:modified xsi:type="dcterms:W3CDTF">2026-02-24T20:34:54Z</dcterms:modified>
</cp:coreProperties>
</file>