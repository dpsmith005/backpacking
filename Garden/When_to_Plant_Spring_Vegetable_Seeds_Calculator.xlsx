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llspan-my.sharepoint.com/personal/dsmith14_wellspan_org/Documents/"/>
    </mc:Choice>
  </mc:AlternateContent>
  <xr:revisionPtr revIDLastSave="1" documentId="11_651DC55EDAB730C0391FEEA69F7D546BFBDA72EA" xr6:coauthVersionLast="47" xr6:coauthVersionMax="47" xr10:uidLastSave="{1FED56F3-46B3-4803-A246-B6CD61B95781}"/>
  <bookViews>
    <workbookView xWindow="3900" yWindow="3900" windowWidth="21600" windowHeight="118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B37" i="1"/>
  <c r="C36" i="1"/>
  <c r="C35" i="1"/>
  <c r="B35" i="1"/>
  <c r="C34" i="1"/>
  <c r="B34" i="1"/>
  <c r="C33" i="1"/>
  <c r="B33" i="1"/>
  <c r="C32" i="1"/>
  <c r="C31" i="1"/>
  <c r="C30" i="1"/>
  <c r="B30" i="1"/>
  <c r="C29" i="1"/>
  <c r="C28" i="1"/>
  <c r="B28" i="1"/>
  <c r="C27" i="1"/>
  <c r="B27" i="1"/>
  <c r="C26" i="1"/>
  <c r="C25" i="1"/>
  <c r="B25" i="1"/>
  <c r="C24" i="1"/>
  <c r="B24" i="1"/>
  <c r="C23" i="1"/>
  <c r="B23" i="1"/>
  <c r="C22" i="1"/>
  <c r="B22" i="1"/>
  <c r="B17" i="1"/>
  <c r="B16" i="1"/>
  <c r="B15" i="1"/>
  <c r="B14" i="1"/>
  <c r="B12" i="1"/>
  <c r="B11" i="1"/>
  <c r="B10" i="1"/>
  <c r="B9" i="1"/>
  <c r="C19" i="1"/>
  <c r="C18" i="1"/>
  <c r="C16" i="1"/>
  <c r="C14" i="1"/>
  <c r="C21" i="1"/>
  <c r="C17" i="1"/>
  <c r="C11" i="1"/>
  <c r="B7" i="1"/>
  <c r="C20" i="1"/>
  <c r="B20" i="1"/>
  <c r="C15" i="1"/>
  <c r="C13" i="1"/>
  <c r="C10" i="1"/>
  <c r="C7" i="1"/>
  <c r="C12" i="1"/>
  <c r="C8" i="1"/>
  <c r="C9" i="1"/>
</calcChain>
</file>

<file path=xl/sharedStrings.xml><?xml version="1.0" encoding="utf-8"?>
<sst xmlns="http://schemas.openxmlformats.org/spreadsheetml/2006/main" count="35" uniqueCount="35">
  <si>
    <t>When to Start Spring Vegetable Seeds Calculator</t>
  </si>
  <si>
    <t>Enter Your Spring Last Frost Date:</t>
  </si>
  <si>
    <t>Start Seeds Indoors</t>
  </si>
  <si>
    <t>Direct Sow/ Transplant</t>
  </si>
  <si>
    <t>Artichoke</t>
  </si>
  <si>
    <t>Beans</t>
  </si>
  <si>
    <t>Beets</t>
  </si>
  <si>
    <t>Broccoli</t>
  </si>
  <si>
    <t>Brussel Sprouts</t>
  </si>
  <si>
    <t>Cabbage</t>
  </si>
  <si>
    <t>Carrots</t>
  </si>
  <si>
    <t>Cauliflower</t>
  </si>
  <si>
    <t>Celery</t>
  </si>
  <si>
    <t>Chard</t>
  </si>
  <si>
    <t>Collards</t>
  </si>
  <si>
    <t>Corn</t>
  </si>
  <si>
    <t>Cucumbers</t>
  </si>
  <si>
    <t>Eggplant</t>
  </si>
  <si>
    <t>Gourds</t>
  </si>
  <si>
    <t>Kale</t>
  </si>
  <si>
    <t>Kohlrabi</t>
  </si>
  <si>
    <t>Leek</t>
  </si>
  <si>
    <t>Lettuce</t>
  </si>
  <si>
    <t>Melons</t>
  </si>
  <si>
    <t>Okra</t>
  </si>
  <si>
    <t>Onions</t>
  </si>
  <si>
    <t>Peas</t>
  </si>
  <si>
    <t>Peppers</t>
  </si>
  <si>
    <t>Pumpkins</t>
  </si>
  <si>
    <t>Radish</t>
  </si>
  <si>
    <t>Spinach</t>
  </si>
  <si>
    <t>Squash</t>
  </si>
  <si>
    <t>Tomatoes</t>
  </si>
  <si>
    <t>Turnips</t>
  </si>
  <si>
    <t>Watermelons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</si>
</sst>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1F9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1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1F9B8"/>
      <color rgb="FF30F0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C9" sqref="C9"/>
    </sheetView>
  </sheetViews>
  <sheetFormatPr defaultRowHeight="15.75" x14ac:dyDescent="0.25"/>
  <cols>
    <col min="1" max="1" width="17.375" customWidth="1"/>
    <col min="2" max="2" width="19" customWidth="1"/>
    <col min="3" max="3" width="20.75" customWidth="1"/>
    <col min="4" max="4" width="12.625" customWidth="1"/>
  </cols>
  <sheetData>
    <row r="1" spans="1:3" ht="21" x14ac:dyDescent="0.35">
      <c r="A1" s="4" t="s">
        <v>0</v>
      </c>
    </row>
    <row r="3" spans="1:3" x14ac:dyDescent="0.25">
      <c r="A3" t="s">
        <v>1</v>
      </c>
      <c r="C3" s="1"/>
    </row>
    <row r="4" spans="1:3" x14ac:dyDescent="0.25">
      <c r="A4" s="5">
        <v>41761</v>
      </c>
    </row>
    <row r="6" spans="1:3" x14ac:dyDescent="0.25">
      <c r="B6" s="3" t="s">
        <v>2</v>
      </c>
      <c r="C6" s="3" t="s">
        <v>3</v>
      </c>
    </row>
    <row r="7" spans="1:3" x14ac:dyDescent="0.25">
      <c r="A7" s="3" t="s">
        <v>4</v>
      </c>
      <c r="B7" s="2">
        <f>A4-56</f>
        <v>41705</v>
      </c>
      <c r="C7" s="2">
        <f>A4</f>
        <v>41761</v>
      </c>
    </row>
    <row r="8" spans="1:3" x14ac:dyDescent="0.25">
      <c r="A8" s="3" t="s">
        <v>5</v>
      </c>
      <c r="B8" s="2"/>
      <c r="C8" s="2">
        <f>A4</f>
        <v>41761</v>
      </c>
    </row>
    <row r="9" spans="1:3" x14ac:dyDescent="0.25">
      <c r="A9" s="3" t="s">
        <v>6</v>
      </c>
      <c r="B9" s="2">
        <f>A4-56</f>
        <v>41705</v>
      </c>
      <c r="C9" s="2">
        <f>A4-14</f>
        <v>41747</v>
      </c>
    </row>
    <row r="10" spans="1:3" x14ac:dyDescent="0.25">
      <c r="A10" s="3" t="s">
        <v>7</v>
      </c>
      <c r="B10" s="2">
        <f>A4-56</f>
        <v>41705</v>
      </c>
      <c r="C10" s="2">
        <f>A4-14</f>
        <v>41747</v>
      </c>
    </row>
    <row r="11" spans="1:3" x14ac:dyDescent="0.25">
      <c r="A11" s="3" t="s">
        <v>8</v>
      </c>
      <c r="B11" s="2">
        <f>A4-56</f>
        <v>41705</v>
      </c>
      <c r="C11" s="2">
        <f>A4-14</f>
        <v>41747</v>
      </c>
    </row>
    <row r="12" spans="1:3" x14ac:dyDescent="0.25">
      <c r="A12" s="3" t="s">
        <v>9</v>
      </c>
      <c r="B12" s="2">
        <f>A4-70</f>
        <v>41691</v>
      </c>
      <c r="C12" s="2">
        <f>A4-28</f>
        <v>41733</v>
      </c>
    </row>
    <row r="13" spans="1:3" x14ac:dyDescent="0.25">
      <c r="A13" s="3" t="s">
        <v>10</v>
      </c>
      <c r="B13" s="2"/>
      <c r="C13" s="2">
        <f>A4-21</f>
        <v>41740</v>
      </c>
    </row>
    <row r="14" spans="1:3" x14ac:dyDescent="0.25">
      <c r="A14" s="3" t="s">
        <v>11</v>
      </c>
      <c r="B14" s="2">
        <f>A4-56</f>
        <v>41705</v>
      </c>
      <c r="C14" s="2">
        <f>A4-14</f>
        <v>41747</v>
      </c>
    </row>
    <row r="15" spans="1:3" x14ac:dyDescent="0.25">
      <c r="A15" s="3" t="s">
        <v>12</v>
      </c>
      <c r="B15" s="2">
        <f>A4-77</f>
        <v>41684</v>
      </c>
      <c r="C15" s="2">
        <f>A4+7</f>
        <v>41768</v>
      </c>
    </row>
    <row r="16" spans="1:3" x14ac:dyDescent="0.25">
      <c r="A16" s="3" t="s">
        <v>13</v>
      </c>
      <c r="B16" s="2">
        <f>A4-56</f>
        <v>41705</v>
      </c>
      <c r="C16" s="2">
        <f>A4-14</f>
        <v>41747</v>
      </c>
    </row>
    <row r="17" spans="1:3" x14ac:dyDescent="0.25">
      <c r="A17" s="3" t="s">
        <v>14</v>
      </c>
      <c r="B17" s="2">
        <f>A4-63</f>
        <v>41698</v>
      </c>
      <c r="C17" s="2">
        <f>A4-28</f>
        <v>41733</v>
      </c>
    </row>
    <row r="18" spans="1:3" x14ac:dyDescent="0.25">
      <c r="A18" s="3" t="s">
        <v>15</v>
      </c>
      <c r="B18" s="2"/>
      <c r="C18" s="2">
        <f>A4+7</f>
        <v>41768</v>
      </c>
    </row>
    <row r="19" spans="1:3" x14ac:dyDescent="0.25">
      <c r="A19" s="3" t="s">
        <v>16</v>
      </c>
      <c r="B19" s="2"/>
      <c r="C19" s="2">
        <f>A4</f>
        <v>41761</v>
      </c>
    </row>
    <row r="20" spans="1:3" x14ac:dyDescent="0.25">
      <c r="A20" s="3" t="s">
        <v>17</v>
      </c>
      <c r="B20" s="2">
        <f>A4-42</f>
        <v>41719</v>
      </c>
      <c r="C20" s="2">
        <f>A4+14</f>
        <v>41775</v>
      </c>
    </row>
    <row r="21" spans="1:3" x14ac:dyDescent="0.25">
      <c r="A21" s="3" t="s">
        <v>18</v>
      </c>
      <c r="B21" s="2"/>
      <c r="C21" s="2">
        <f>A4+14</f>
        <v>41775</v>
      </c>
    </row>
    <row r="22" spans="1:3" x14ac:dyDescent="0.25">
      <c r="A22" s="3" t="s">
        <v>19</v>
      </c>
      <c r="B22" s="2">
        <f>A4-70</f>
        <v>41691</v>
      </c>
      <c r="C22" s="2">
        <f>A4-28</f>
        <v>41733</v>
      </c>
    </row>
    <row r="23" spans="1:3" x14ac:dyDescent="0.25">
      <c r="A23" s="3" t="s">
        <v>20</v>
      </c>
      <c r="B23" s="2">
        <f>A4-70</f>
        <v>41691</v>
      </c>
      <c r="C23" s="2">
        <f>A4-28</f>
        <v>41733</v>
      </c>
    </row>
    <row r="24" spans="1:3" x14ac:dyDescent="0.25">
      <c r="A24" s="3" t="s">
        <v>21</v>
      </c>
      <c r="B24" s="2">
        <f>A4-84</f>
        <v>41677</v>
      </c>
      <c r="C24" s="2">
        <f>A4-14</f>
        <v>41747</v>
      </c>
    </row>
    <row r="25" spans="1:3" x14ac:dyDescent="0.25">
      <c r="A25" s="3" t="s">
        <v>22</v>
      </c>
      <c r="B25" s="2">
        <f>A4-82</f>
        <v>41679</v>
      </c>
      <c r="C25" s="2">
        <f>A4-28</f>
        <v>41733</v>
      </c>
    </row>
    <row r="26" spans="1:3" x14ac:dyDescent="0.25">
      <c r="A26" s="3" t="s">
        <v>23</v>
      </c>
      <c r="B26" s="2"/>
      <c r="C26" s="2">
        <f>A4+14</f>
        <v>41775</v>
      </c>
    </row>
    <row r="27" spans="1:3" x14ac:dyDescent="0.25">
      <c r="A27" s="3" t="s">
        <v>24</v>
      </c>
      <c r="B27" s="2">
        <f>A4-42</f>
        <v>41719</v>
      </c>
      <c r="C27" s="2">
        <f>A4+14</f>
        <v>41775</v>
      </c>
    </row>
    <row r="28" spans="1:3" x14ac:dyDescent="0.25">
      <c r="A28" s="3" t="s">
        <v>25</v>
      </c>
      <c r="B28" s="2">
        <f>A4-98</f>
        <v>41663</v>
      </c>
      <c r="C28" s="2">
        <f>A4-28</f>
        <v>41733</v>
      </c>
    </row>
    <row r="29" spans="1:3" x14ac:dyDescent="0.25">
      <c r="A29" s="3" t="s">
        <v>26</v>
      </c>
      <c r="B29" s="2"/>
      <c r="C29" s="2">
        <f>A4-56</f>
        <v>41705</v>
      </c>
    </row>
    <row r="30" spans="1:3" x14ac:dyDescent="0.25">
      <c r="A30" s="3" t="s">
        <v>27</v>
      </c>
      <c r="B30" s="2">
        <f>A4-56</f>
        <v>41705</v>
      </c>
      <c r="C30" s="2">
        <f>A4+7</f>
        <v>41768</v>
      </c>
    </row>
    <row r="31" spans="1:3" x14ac:dyDescent="0.25">
      <c r="A31" s="3" t="s">
        <v>28</v>
      </c>
      <c r="B31" s="2"/>
      <c r="C31" s="2">
        <f>A4+14</f>
        <v>41775</v>
      </c>
    </row>
    <row r="32" spans="1:3" x14ac:dyDescent="0.25">
      <c r="A32" s="3" t="s">
        <v>29</v>
      </c>
      <c r="B32" s="2"/>
      <c r="C32" s="2">
        <f>A4-35</f>
        <v>41726</v>
      </c>
    </row>
    <row r="33" spans="1:3" x14ac:dyDescent="0.25">
      <c r="A33" s="3" t="s">
        <v>30</v>
      </c>
      <c r="B33" s="2">
        <f>A4-77</f>
        <v>41684</v>
      </c>
      <c r="C33" s="2">
        <f>A4-42</f>
        <v>41719</v>
      </c>
    </row>
    <row r="34" spans="1:3" x14ac:dyDescent="0.25">
      <c r="A34" s="3" t="s">
        <v>31</v>
      </c>
      <c r="B34" s="2">
        <f>A4-14</f>
        <v>41747</v>
      </c>
      <c r="C34" s="2">
        <f>A4+14</f>
        <v>41775</v>
      </c>
    </row>
    <row r="35" spans="1:3" x14ac:dyDescent="0.25">
      <c r="A35" s="3" t="s">
        <v>32</v>
      </c>
      <c r="B35" s="2">
        <f>A4-49</f>
        <v>41712</v>
      </c>
      <c r="C35" s="2">
        <f>A4+7</f>
        <v>41768</v>
      </c>
    </row>
    <row r="36" spans="1:3" x14ac:dyDescent="0.25">
      <c r="A36" s="3" t="s">
        <v>33</v>
      </c>
      <c r="B36" s="2"/>
      <c r="C36" s="2">
        <f>A4-35</f>
        <v>41726</v>
      </c>
    </row>
    <row r="37" spans="1:3" x14ac:dyDescent="0.25">
      <c r="A37" s="3" t="s">
        <v>34</v>
      </c>
      <c r="B37" s="2">
        <f>A4-14</f>
        <v>41747</v>
      </c>
      <c r="C37" s="2">
        <f>A4+14</f>
        <v>41775</v>
      </c>
    </row>
    <row r="38" spans="1:3" x14ac:dyDescent="0.25">
      <c r="B38" s="2"/>
      <c r="C38" s="2"/>
    </row>
    <row r="39" spans="1:3" x14ac:dyDescent="0.25">
      <c r="B39" s="2"/>
      <c r="C3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nrherron</dc:creator>
  <cp:keywords/>
  <dc:description/>
  <cp:lastModifiedBy>Smith, David P</cp:lastModifiedBy>
  <cp:revision/>
  <dcterms:created xsi:type="dcterms:W3CDTF">2014-07-22T13:41:30Z</dcterms:created>
  <dcterms:modified xsi:type="dcterms:W3CDTF">2026-04-08T13:30:36Z</dcterms:modified>
  <cp:category/>
  <cp:contentStatus/>
</cp:coreProperties>
</file>